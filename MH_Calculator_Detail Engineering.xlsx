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Bidding\PROMIGAS CPF\Backdata\"/>
    </mc:Choice>
  </mc:AlternateContent>
  <xr:revisionPtr revIDLastSave="0" documentId="13_ncr:101_{4406DDA4-7F3E-4390-84E5-B2D88004FB16}" xr6:coauthVersionLast="47" xr6:coauthVersionMax="47" xr10:uidLastSave="{00000000-0000-0000-0000-000000000000}"/>
  <bookViews>
    <workbookView xWindow="28680" yWindow="-1950" windowWidth="29040" windowHeight="17640" xr2:uid="{3E9BFF9F-2470-4D7A-894A-6625A6C751F9}"/>
  </bookViews>
  <sheets>
    <sheet name="가이드" sheetId="1" r:id="rId1"/>
    <sheet name="Summary" sheetId="2" r:id="rId2"/>
    <sheet name="산출기준_CI" sheetId="3" r:id="rId3"/>
    <sheet name="Input_CI" sheetId="4" r:id="rId4"/>
    <sheet name="OP1_CI" sheetId="5" r:id="rId5"/>
    <sheet name="OP2-1_CI" sheetId="6" r:id="rId6"/>
    <sheet name="OP2-2_CI" sheetId="7" r:id="rId7"/>
    <sheet name="OP2-3_CI" sheetId="8" r:id="rId8"/>
    <sheet name="산출기준_TEL" sheetId="9" r:id="rId9"/>
    <sheet name="Input_TEL" sheetId="10" r:id="rId10"/>
    <sheet name="OP1_TEL" sheetId="11" r:id="rId11"/>
    <sheet name="OP2-1_TEL" sheetId="12" r:id="rId12"/>
    <sheet name="OP2-2_TEL" sheetId="13" r:id="rId13"/>
    <sheet name="OP2-3_TEL" sheetId="14" r:id="rId14"/>
  </sheets>
  <externalReferences>
    <externalReference r:id="rId15"/>
  </externalReferences>
  <definedNames>
    <definedName name="__123Graph_A" localSheetId="5" hidden="1">#REF!</definedName>
    <definedName name="__123Graph_A" localSheetId="11" hidden="1">#REF!</definedName>
    <definedName name="__123Graph_A" localSheetId="6" hidden="1">#REF!</definedName>
    <definedName name="__123Graph_A" localSheetId="12" hidden="1">#REF!</definedName>
    <definedName name="__123Graph_A" localSheetId="7" hidden="1">#REF!</definedName>
    <definedName name="__123Graph_A" localSheetId="13" hidden="1">#REF!</definedName>
    <definedName name="__123Graph_A" localSheetId="8" hidden="1">#REF!</definedName>
    <definedName name="__123Graph_A" hidden="1">#REF!</definedName>
    <definedName name="__123Graph_AGraph1" localSheetId="5" hidden="1">#REF!</definedName>
    <definedName name="__123Graph_AGraph1" localSheetId="11" hidden="1">#REF!</definedName>
    <definedName name="__123Graph_AGraph1" localSheetId="6" hidden="1">#REF!</definedName>
    <definedName name="__123Graph_AGraph1" localSheetId="12" hidden="1">#REF!</definedName>
    <definedName name="__123Graph_AGraph1" localSheetId="7" hidden="1">#REF!</definedName>
    <definedName name="__123Graph_AGraph1" localSheetId="13" hidden="1">#REF!</definedName>
    <definedName name="__123Graph_AGraph1" hidden="1">#REF!</definedName>
    <definedName name="__123Graph_AGraph2" localSheetId="5" hidden="1">#REF!</definedName>
    <definedName name="__123Graph_AGraph2" localSheetId="11" hidden="1">#REF!</definedName>
    <definedName name="__123Graph_AGraph2" localSheetId="6" hidden="1">#REF!</definedName>
    <definedName name="__123Graph_AGraph2" localSheetId="12" hidden="1">#REF!</definedName>
    <definedName name="__123Graph_AGraph2" localSheetId="7" hidden="1">#REF!</definedName>
    <definedName name="__123Graph_AGraph2" localSheetId="13" hidden="1">#REF!</definedName>
    <definedName name="__123Graph_AGraph2" hidden="1">#REF!</definedName>
    <definedName name="__123Graph_Aｶﾚﾝﾄ" localSheetId="5" hidden="1">#REF!</definedName>
    <definedName name="__123Graph_Aｶﾚﾝﾄ" localSheetId="11" hidden="1">#REF!</definedName>
    <definedName name="__123Graph_Aｶﾚﾝﾄ" localSheetId="6" hidden="1">#REF!</definedName>
    <definedName name="__123Graph_Aｶﾚﾝﾄ" localSheetId="12" hidden="1">#REF!</definedName>
    <definedName name="__123Graph_Aｶﾚﾝﾄ" localSheetId="7" hidden="1">#REF!</definedName>
    <definedName name="__123Graph_Aｶﾚﾝﾄ" localSheetId="13" hidden="1">#REF!</definedName>
    <definedName name="__123Graph_Aｶﾚﾝﾄ" hidden="1">#REF!</definedName>
    <definedName name="__123Graph_A자금수지" localSheetId="5" hidden="1">#REF!</definedName>
    <definedName name="__123Graph_A자금수지" localSheetId="11" hidden="1">#REF!</definedName>
    <definedName name="__123Graph_A자금수지" localSheetId="6" hidden="1">#REF!</definedName>
    <definedName name="__123Graph_A자금수지" localSheetId="12" hidden="1">#REF!</definedName>
    <definedName name="__123Graph_A자금수지" localSheetId="7" hidden="1">#REF!</definedName>
    <definedName name="__123Graph_A자금수지" localSheetId="13" hidden="1">#REF!</definedName>
    <definedName name="__123Graph_A자금수지" hidden="1">#REF!</definedName>
    <definedName name="__123Graph_A자금운용" localSheetId="5" hidden="1">#REF!</definedName>
    <definedName name="__123Graph_A자금운용" localSheetId="11" hidden="1">#REF!</definedName>
    <definedName name="__123Graph_A자금운용" localSheetId="6" hidden="1">#REF!</definedName>
    <definedName name="__123Graph_A자금운용" localSheetId="12" hidden="1">#REF!</definedName>
    <definedName name="__123Graph_A자금운용" localSheetId="7" hidden="1">#REF!</definedName>
    <definedName name="__123Graph_A자금운용" localSheetId="13" hidden="1">#REF!</definedName>
    <definedName name="__123Graph_A자금운용" hidden="1">#REF!</definedName>
    <definedName name="__123Graph_B" localSheetId="5" hidden="1">#REF!</definedName>
    <definedName name="__123Graph_B" localSheetId="11" hidden="1">#REF!</definedName>
    <definedName name="__123Graph_B" localSheetId="6" hidden="1">#REF!</definedName>
    <definedName name="__123Graph_B" localSheetId="12" hidden="1">#REF!</definedName>
    <definedName name="__123Graph_B" localSheetId="7" hidden="1">#REF!</definedName>
    <definedName name="__123Graph_B" localSheetId="13" hidden="1">#REF!</definedName>
    <definedName name="__123Graph_B" hidden="1">#REF!</definedName>
    <definedName name="__123Graph_BGraph1" localSheetId="5" hidden="1">#REF!</definedName>
    <definedName name="__123Graph_BGraph1" localSheetId="11" hidden="1">#REF!</definedName>
    <definedName name="__123Graph_BGraph1" localSheetId="6" hidden="1">#REF!</definedName>
    <definedName name="__123Graph_BGraph1" localSheetId="12" hidden="1">#REF!</definedName>
    <definedName name="__123Graph_BGraph1" localSheetId="7" hidden="1">#REF!</definedName>
    <definedName name="__123Graph_BGraph1" localSheetId="13" hidden="1">#REF!</definedName>
    <definedName name="__123Graph_BGraph1" hidden="1">#REF!</definedName>
    <definedName name="__123Graph_BGraph2" localSheetId="5" hidden="1">#REF!</definedName>
    <definedName name="__123Graph_BGraph2" localSheetId="11" hidden="1">#REF!</definedName>
    <definedName name="__123Graph_BGraph2" localSheetId="6" hidden="1">#REF!</definedName>
    <definedName name="__123Graph_BGraph2" localSheetId="12" hidden="1">#REF!</definedName>
    <definedName name="__123Graph_BGraph2" localSheetId="7" hidden="1">#REF!</definedName>
    <definedName name="__123Graph_BGraph2" localSheetId="13" hidden="1">#REF!</definedName>
    <definedName name="__123Graph_BGraph2" hidden="1">#REF!</definedName>
    <definedName name="__123Graph_Bｶﾚﾝﾄ" localSheetId="5" hidden="1">#REF!</definedName>
    <definedName name="__123Graph_Bｶﾚﾝﾄ" localSheetId="11" hidden="1">#REF!</definedName>
    <definedName name="__123Graph_Bｶﾚﾝﾄ" localSheetId="6" hidden="1">#REF!</definedName>
    <definedName name="__123Graph_Bｶﾚﾝﾄ" localSheetId="12" hidden="1">#REF!</definedName>
    <definedName name="__123Graph_Bｶﾚﾝﾄ" localSheetId="7" hidden="1">#REF!</definedName>
    <definedName name="__123Graph_Bｶﾚﾝﾄ" localSheetId="13" hidden="1">#REF!</definedName>
    <definedName name="__123Graph_Bｶﾚﾝﾄ" hidden="1">#REF!</definedName>
    <definedName name="__123Graph_B자금수지" localSheetId="5" hidden="1">#REF!</definedName>
    <definedName name="__123Graph_B자금수지" localSheetId="11" hidden="1">#REF!</definedName>
    <definedName name="__123Graph_B자금수지" localSheetId="6" hidden="1">#REF!</definedName>
    <definedName name="__123Graph_B자금수지" localSheetId="12" hidden="1">#REF!</definedName>
    <definedName name="__123Graph_B자금수지" localSheetId="7" hidden="1">#REF!</definedName>
    <definedName name="__123Graph_B자금수지" localSheetId="13" hidden="1">#REF!</definedName>
    <definedName name="__123Graph_B자금수지" hidden="1">#REF!</definedName>
    <definedName name="__123Graph_B자금운용" localSheetId="5" hidden="1">#REF!</definedName>
    <definedName name="__123Graph_B자금운용" localSheetId="11" hidden="1">#REF!</definedName>
    <definedName name="__123Graph_B자금운용" localSheetId="6" hidden="1">#REF!</definedName>
    <definedName name="__123Graph_B자금운용" localSheetId="12" hidden="1">#REF!</definedName>
    <definedName name="__123Graph_B자금운용" localSheetId="7" hidden="1">#REF!</definedName>
    <definedName name="__123Graph_B자금운용" localSheetId="13" hidden="1">#REF!</definedName>
    <definedName name="__123Graph_B자금운용" hidden="1">#REF!</definedName>
    <definedName name="__123Graph_CGraph1" localSheetId="5" hidden="1">#REF!</definedName>
    <definedName name="__123Graph_CGraph1" localSheetId="11" hidden="1">#REF!</definedName>
    <definedName name="__123Graph_CGraph1" localSheetId="6" hidden="1">#REF!</definedName>
    <definedName name="__123Graph_CGraph1" localSheetId="12" hidden="1">#REF!</definedName>
    <definedName name="__123Graph_CGraph1" localSheetId="7" hidden="1">#REF!</definedName>
    <definedName name="__123Graph_CGraph1" localSheetId="13" hidden="1">#REF!</definedName>
    <definedName name="__123Graph_CGraph1" hidden="1">#REF!</definedName>
    <definedName name="__123Graph_CGraph2" localSheetId="5" hidden="1">#REF!</definedName>
    <definedName name="__123Graph_CGraph2" localSheetId="11" hidden="1">#REF!</definedName>
    <definedName name="__123Graph_CGraph2" localSheetId="6" hidden="1">#REF!</definedName>
    <definedName name="__123Graph_CGraph2" localSheetId="12" hidden="1">#REF!</definedName>
    <definedName name="__123Graph_CGraph2" localSheetId="7" hidden="1">#REF!</definedName>
    <definedName name="__123Graph_CGraph2" localSheetId="13" hidden="1">#REF!</definedName>
    <definedName name="__123Graph_CGraph2" hidden="1">#REF!</definedName>
    <definedName name="__123Graph_Cｶﾚﾝﾄ" localSheetId="5" hidden="1">#REF!</definedName>
    <definedName name="__123Graph_Cｶﾚﾝﾄ" localSheetId="11" hidden="1">#REF!</definedName>
    <definedName name="__123Graph_Cｶﾚﾝﾄ" localSheetId="6" hidden="1">#REF!</definedName>
    <definedName name="__123Graph_Cｶﾚﾝﾄ" localSheetId="12" hidden="1">#REF!</definedName>
    <definedName name="__123Graph_Cｶﾚﾝﾄ" localSheetId="7" hidden="1">#REF!</definedName>
    <definedName name="__123Graph_Cｶﾚﾝﾄ" localSheetId="13" hidden="1">#REF!</definedName>
    <definedName name="__123Graph_Cｶﾚﾝﾄ" hidden="1">#REF!</definedName>
    <definedName name="__123Graph_C자금운용" localSheetId="5" hidden="1">#REF!</definedName>
    <definedName name="__123Graph_C자금운용" localSheetId="11" hidden="1">#REF!</definedName>
    <definedName name="__123Graph_C자금운용" localSheetId="6" hidden="1">#REF!</definedName>
    <definedName name="__123Graph_C자금운용" localSheetId="12" hidden="1">#REF!</definedName>
    <definedName name="__123Graph_C자금운용" localSheetId="7" hidden="1">#REF!</definedName>
    <definedName name="__123Graph_C자금운용" localSheetId="13" hidden="1">#REF!</definedName>
    <definedName name="__123Graph_C자금운용" hidden="1">#REF!</definedName>
    <definedName name="__123Graph_D" localSheetId="5" hidden="1">#REF!</definedName>
    <definedName name="__123Graph_D" localSheetId="11" hidden="1">#REF!</definedName>
    <definedName name="__123Graph_D" localSheetId="6" hidden="1">#REF!</definedName>
    <definedName name="__123Graph_D" localSheetId="12" hidden="1">#REF!</definedName>
    <definedName name="__123Graph_D" localSheetId="7" hidden="1">#REF!</definedName>
    <definedName name="__123Graph_D" localSheetId="13" hidden="1">#REF!</definedName>
    <definedName name="__123Graph_D" hidden="1">#REF!</definedName>
    <definedName name="__123Graph_DGraph1" localSheetId="5" hidden="1">#REF!</definedName>
    <definedName name="__123Graph_DGraph1" localSheetId="11" hidden="1">#REF!</definedName>
    <definedName name="__123Graph_DGraph1" localSheetId="6" hidden="1">#REF!</definedName>
    <definedName name="__123Graph_DGraph1" localSheetId="12" hidden="1">#REF!</definedName>
    <definedName name="__123Graph_DGraph1" localSheetId="7" hidden="1">#REF!</definedName>
    <definedName name="__123Graph_DGraph1" localSheetId="13" hidden="1">#REF!</definedName>
    <definedName name="__123Graph_DGraph1" hidden="1">#REF!</definedName>
    <definedName name="__123Graph_DGraph2" localSheetId="5" hidden="1">#REF!</definedName>
    <definedName name="__123Graph_DGraph2" localSheetId="11" hidden="1">#REF!</definedName>
    <definedName name="__123Graph_DGraph2" localSheetId="6" hidden="1">#REF!</definedName>
    <definedName name="__123Graph_DGraph2" localSheetId="12" hidden="1">#REF!</definedName>
    <definedName name="__123Graph_DGraph2" localSheetId="7" hidden="1">#REF!</definedName>
    <definedName name="__123Graph_DGraph2" localSheetId="13" hidden="1">#REF!</definedName>
    <definedName name="__123Graph_DGraph2" hidden="1">#REF!</definedName>
    <definedName name="__123Graph_Dｶﾚﾝﾄ" localSheetId="5" hidden="1">#REF!</definedName>
    <definedName name="__123Graph_Dｶﾚﾝﾄ" localSheetId="11" hidden="1">#REF!</definedName>
    <definedName name="__123Graph_Dｶﾚﾝﾄ" localSheetId="6" hidden="1">#REF!</definedName>
    <definedName name="__123Graph_Dｶﾚﾝﾄ" localSheetId="12" hidden="1">#REF!</definedName>
    <definedName name="__123Graph_Dｶﾚﾝﾄ" localSheetId="7" hidden="1">#REF!</definedName>
    <definedName name="__123Graph_Dｶﾚﾝﾄ" localSheetId="13" hidden="1">#REF!</definedName>
    <definedName name="__123Graph_Dｶﾚﾝﾄ" hidden="1">#REF!</definedName>
    <definedName name="__123Graph_E" localSheetId="5" hidden="1">#REF!</definedName>
    <definedName name="__123Graph_E" localSheetId="11" hidden="1">#REF!</definedName>
    <definedName name="__123Graph_E" localSheetId="6" hidden="1">#REF!</definedName>
    <definedName name="__123Graph_E" localSheetId="12" hidden="1">#REF!</definedName>
    <definedName name="__123Graph_E" localSheetId="7" hidden="1">#REF!</definedName>
    <definedName name="__123Graph_E" localSheetId="13" hidden="1">#REF!</definedName>
    <definedName name="__123Graph_E" hidden="1">#REF!</definedName>
    <definedName name="__123Graph_EGraph1" localSheetId="5" hidden="1">#REF!</definedName>
    <definedName name="__123Graph_EGraph1" localSheetId="11" hidden="1">#REF!</definedName>
    <definedName name="__123Graph_EGraph1" localSheetId="6" hidden="1">#REF!</definedName>
    <definedName name="__123Graph_EGraph1" localSheetId="12" hidden="1">#REF!</definedName>
    <definedName name="__123Graph_EGraph1" localSheetId="7" hidden="1">#REF!</definedName>
    <definedName name="__123Graph_EGraph1" localSheetId="13" hidden="1">#REF!</definedName>
    <definedName name="__123Graph_EGraph1" hidden="1">#REF!</definedName>
    <definedName name="__123Graph_EGraph2" localSheetId="5" hidden="1">#REF!</definedName>
    <definedName name="__123Graph_EGraph2" localSheetId="11" hidden="1">#REF!</definedName>
    <definedName name="__123Graph_EGraph2" localSheetId="6" hidden="1">#REF!</definedName>
    <definedName name="__123Graph_EGraph2" localSheetId="12" hidden="1">#REF!</definedName>
    <definedName name="__123Graph_EGraph2" localSheetId="7" hidden="1">#REF!</definedName>
    <definedName name="__123Graph_EGraph2" localSheetId="13" hidden="1">#REF!</definedName>
    <definedName name="__123Graph_EGraph2" hidden="1">#REF!</definedName>
    <definedName name="__123Graph_Eｶﾚﾝﾄ" localSheetId="5" hidden="1">#REF!</definedName>
    <definedName name="__123Graph_Eｶﾚﾝﾄ" localSheetId="11" hidden="1">#REF!</definedName>
    <definedName name="__123Graph_Eｶﾚﾝﾄ" localSheetId="6" hidden="1">#REF!</definedName>
    <definedName name="__123Graph_Eｶﾚﾝﾄ" localSheetId="12" hidden="1">#REF!</definedName>
    <definedName name="__123Graph_Eｶﾚﾝﾄ" localSheetId="7" hidden="1">#REF!</definedName>
    <definedName name="__123Graph_Eｶﾚﾝﾄ" localSheetId="13" hidden="1">#REF!</definedName>
    <definedName name="__123Graph_Eｶﾚﾝﾄ" hidden="1">#REF!</definedName>
    <definedName name="__123Graph_FGraph1" localSheetId="5" hidden="1">#REF!</definedName>
    <definedName name="__123Graph_FGraph1" localSheetId="11" hidden="1">#REF!</definedName>
    <definedName name="__123Graph_FGraph1" localSheetId="6" hidden="1">#REF!</definedName>
    <definedName name="__123Graph_FGraph1" localSheetId="12" hidden="1">#REF!</definedName>
    <definedName name="__123Graph_FGraph1" localSheetId="7" hidden="1">#REF!</definedName>
    <definedName name="__123Graph_FGraph1" localSheetId="13" hidden="1">#REF!</definedName>
    <definedName name="__123Graph_FGraph1" hidden="1">#REF!</definedName>
    <definedName name="__123Graph_FGraph2" localSheetId="5" hidden="1">#REF!</definedName>
    <definedName name="__123Graph_FGraph2" localSheetId="11" hidden="1">#REF!</definedName>
    <definedName name="__123Graph_FGraph2" localSheetId="6" hidden="1">#REF!</definedName>
    <definedName name="__123Graph_FGraph2" localSheetId="12" hidden="1">#REF!</definedName>
    <definedName name="__123Graph_FGraph2" localSheetId="7" hidden="1">#REF!</definedName>
    <definedName name="__123Graph_FGraph2" localSheetId="13" hidden="1">#REF!</definedName>
    <definedName name="__123Graph_FGraph2" hidden="1">#REF!</definedName>
    <definedName name="__123Graph_Fｶﾚﾝﾄ" localSheetId="5" hidden="1">#REF!</definedName>
    <definedName name="__123Graph_Fｶﾚﾝﾄ" localSheetId="11" hidden="1">#REF!</definedName>
    <definedName name="__123Graph_Fｶﾚﾝﾄ" localSheetId="6" hidden="1">#REF!</definedName>
    <definedName name="__123Graph_Fｶﾚﾝﾄ" localSheetId="12" hidden="1">#REF!</definedName>
    <definedName name="__123Graph_Fｶﾚﾝﾄ" localSheetId="7" hidden="1">#REF!</definedName>
    <definedName name="__123Graph_Fｶﾚﾝﾄ" localSheetId="13" hidden="1">#REF!</definedName>
    <definedName name="__123Graph_Fｶﾚﾝﾄ" hidden="1">#REF!</definedName>
    <definedName name="__123Graph_X자금수지" localSheetId="5" hidden="1">#REF!</definedName>
    <definedName name="__123Graph_X자금수지" localSheetId="11" hidden="1">#REF!</definedName>
    <definedName name="__123Graph_X자금수지" localSheetId="6" hidden="1">#REF!</definedName>
    <definedName name="__123Graph_X자금수지" localSheetId="12" hidden="1">#REF!</definedName>
    <definedName name="__123Graph_X자금수지" localSheetId="7" hidden="1">#REF!</definedName>
    <definedName name="__123Graph_X자금수지" localSheetId="13" hidden="1">#REF!</definedName>
    <definedName name="__123Graph_X자금수지" hidden="1">#REF!</definedName>
    <definedName name="__123Graph_X자금운용" localSheetId="5" hidden="1">#REF!</definedName>
    <definedName name="__123Graph_X자금운용" localSheetId="11" hidden="1">#REF!</definedName>
    <definedName name="__123Graph_X자금운용" localSheetId="6" hidden="1">#REF!</definedName>
    <definedName name="__123Graph_X자금운용" localSheetId="12" hidden="1">#REF!</definedName>
    <definedName name="__123Graph_X자금운용" localSheetId="7" hidden="1">#REF!</definedName>
    <definedName name="__123Graph_X자금운용" localSheetId="13" hidden="1">#REF!</definedName>
    <definedName name="__123Graph_X자금운용" hidden="1">#REF!</definedName>
    <definedName name="__BP01" localSheetId="5" hidden="1">{#N/A,#N/A,FALSE,"TABLE"}</definedName>
    <definedName name="__BP01" localSheetId="11" hidden="1">{#N/A,#N/A,FALSE,"TABLE"}</definedName>
    <definedName name="__BP01" localSheetId="6" hidden="1">{#N/A,#N/A,FALSE,"TABLE"}</definedName>
    <definedName name="__BP01" localSheetId="12" hidden="1">{#N/A,#N/A,FALSE,"TABLE"}</definedName>
    <definedName name="__BP01" localSheetId="7" hidden="1">{#N/A,#N/A,FALSE,"TABLE"}</definedName>
    <definedName name="__BP01" localSheetId="13" hidden="1">{#N/A,#N/A,FALSE,"TABLE"}</definedName>
    <definedName name="__BP01" localSheetId="8" hidden="1">{#N/A,#N/A,FALSE,"TABLE"}</definedName>
    <definedName name="__BP01" hidden="1">{#N/A,#N/A,FALSE,"TABLE"}</definedName>
    <definedName name="__FLL2" localSheetId="5" hidden="1">#REF!</definedName>
    <definedName name="__FLL2" localSheetId="11" hidden="1">#REF!</definedName>
    <definedName name="__FLL2" localSheetId="6" hidden="1">#REF!</definedName>
    <definedName name="__FLL2" localSheetId="12" hidden="1">#REF!</definedName>
    <definedName name="__FLL2" localSheetId="7" hidden="1">#REF!</definedName>
    <definedName name="__FLL2" localSheetId="13" hidden="1">#REF!</definedName>
    <definedName name="__FLL2" localSheetId="8" hidden="1">#REF!</definedName>
    <definedName name="__FLL2" hidden="1">#REF!</definedName>
    <definedName name="_10__123Graph_B자금운용" localSheetId="5" hidden="1">#REF!</definedName>
    <definedName name="_10__123Graph_B자금운용" localSheetId="11" hidden="1">#REF!</definedName>
    <definedName name="_10__123Graph_B자금운용" localSheetId="6" hidden="1">#REF!</definedName>
    <definedName name="_10__123Graph_B자금운용" localSheetId="12" hidden="1">#REF!</definedName>
    <definedName name="_10__123Graph_B자금운용" localSheetId="7" hidden="1">#REF!</definedName>
    <definedName name="_10__123Graph_B자금운용" localSheetId="13" hidden="1">#REF!</definedName>
    <definedName name="_10__123Graph_B자금운용" hidden="1">#REF!</definedName>
    <definedName name="_126BP01_" localSheetId="11" hidden="1">{#N/A,#N/A,FALSE,"TABLE"}</definedName>
    <definedName name="_126BP01_" localSheetId="12" hidden="1">{#N/A,#N/A,FALSE,"TABLE"}</definedName>
    <definedName name="_126BP01_" localSheetId="13" hidden="1">{#N/A,#N/A,FALSE,"TABLE"}</definedName>
    <definedName name="_126BP01_" localSheetId="8" hidden="1">{#N/A,#N/A,FALSE,"TABLE"}</definedName>
    <definedName name="_126BP01_" hidden="1">{#N/A,#N/A,FALSE,"TABLE"}</definedName>
    <definedName name="_14__123Graph_C자금운용" localSheetId="5" hidden="1">#REF!</definedName>
    <definedName name="_14__123Graph_C자금운용" localSheetId="11" hidden="1">#REF!</definedName>
    <definedName name="_14__123Graph_C자금운용" localSheetId="6" hidden="1">#REF!</definedName>
    <definedName name="_14__123Graph_C자금운용" localSheetId="12" hidden="1">#REF!</definedName>
    <definedName name="_14__123Graph_C자금운용" localSheetId="7" hidden="1">#REF!</definedName>
    <definedName name="_14__123Graph_C자금운용" localSheetId="13" hidden="1">#REF!</definedName>
    <definedName name="_14__123Graph_C자금운용" localSheetId="8" hidden="1">#REF!</definedName>
    <definedName name="_14__123Graph_C자금운용" hidden="1">#REF!</definedName>
    <definedName name="_15__123Graph_X자금운용" localSheetId="5" hidden="1">#REF!</definedName>
    <definedName name="_15__123Graph_X자금운용" localSheetId="11" hidden="1">#REF!</definedName>
    <definedName name="_15__123Graph_X자금운용" localSheetId="6" hidden="1">#REF!</definedName>
    <definedName name="_15__123Graph_X자금운용" localSheetId="12" hidden="1">#REF!</definedName>
    <definedName name="_15__123Graph_X자금운용" localSheetId="7" hidden="1">#REF!</definedName>
    <definedName name="_15__123Graph_X자금운용" localSheetId="13" hidden="1">#REF!</definedName>
    <definedName name="_15__123Graph_X자금운용" hidden="1">#REF!</definedName>
    <definedName name="_5__123Graph_AChart_1A" localSheetId="11" hidden="1">#REF!</definedName>
    <definedName name="_5__123Graph_AChart_1A" localSheetId="12" hidden="1">#REF!</definedName>
    <definedName name="_5__123Graph_AChart_1A" localSheetId="13" hidden="1">#REF!</definedName>
    <definedName name="_5__123Graph_AChart_1A" hidden="1">#REF!</definedName>
    <definedName name="_50BP01_" localSheetId="11" hidden="1">{#N/A,#N/A,FALSE,"TABLE"}</definedName>
    <definedName name="_50BP01_" localSheetId="12" hidden="1">{#N/A,#N/A,FALSE,"TABLE"}</definedName>
    <definedName name="_50BP01_" localSheetId="13" hidden="1">{#N/A,#N/A,FALSE,"TABLE"}</definedName>
    <definedName name="_50BP01_" localSheetId="8" hidden="1">{#N/A,#N/A,FALSE,"TABLE"}</definedName>
    <definedName name="_50BP01_" hidden="1">{#N/A,#N/A,FALSE,"TABLE"}</definedName>
    <definedName name="_6__123Graph_A자금운용" localSheetId="5" hidden="1">#REF!</definedName>
    <definedName name="_6__123Graph_A자금운용" localSheetId="11" hidden="1">#REF!</definedName>
    <definedName name="_6__123Graph_A자금운용" localSheetId="6" hidden="1">#REF!</definedName>
    <definedName name="_6__123Graph_A자금운용" localSheetId="12" hidden="1">#REF!</definedName>
    <definedName name="_6__123Graph_A자금운용" localSheetId="7" hidden="1">#REF!</definedName>
    <definedName name="_6__123Graph_A자금운용" localSheetId="13" hidden="1">#REF!</definedName>
    <definedName name="_6__123Graph_A자금운용" localSheetId="8" hidden="1">#REF!</definedName>
    <definedName name="_6__123Graph_A자금운용" hidden="1">#REF!</definedName>
    <definedName name="_6__123Graph_BChart_1A" localSheetId="11" hidden="1">#REF!</definedName>
    <definedName name="_6__123Graph_BChart_1A" localSheetId="12" hidden="1">#REF!</definedName>
    <definedName name="_6__123Graph_BChart_1A" localSheetId="13" hidden="1">#REF!</definedName>
    <definedName name="_6__123Graph_BChart_1A" localSheetId="8" hidden="1">#REF!</definedName>
    <definedName name="_6__123Graph_BChart_1A" hidden="1">#REF!</definedName>
    <definedName name="_7__123Graph_XChart_1A" localSheetId="11" hidden="1">#REF!</definedName>
    <definedName name="_7__123Graph_XChart_1A" localSheetId="12" hidden="1">#REF!</definedName>
    <definedName name="_7__123Graph_XChart_1A" localSheetId="13" hidden="1">#REF!</definedName>
    <definedName name="_7__123Graph_XChart_1A" hidden="1">#REF!</definedName>
    <definedName name="_87__123Graph_A자금운용" localSheetId="5" hidden="1">#REF!</definedName>
    <definedName name="_87__123Graph_A자금운용" localSheetId="11" hidden="1">#REF!</definedName>
    <definedName name="_87__123Graph_A자금운용" localSheetId="6" hidden="1">#REF!</definedName>
    <definedName name="_87__123Graph_A자금운용" localSheetId="12" hidden="1">#REF!</definedName>
    <definedName name="_87__123Graph_A자금운용" localSheetId="7" hidden="1">#REF!</definedName>
    <definedName name="_87__123Graph_A자금운용" localSheetId="13" hidden="1">#REF!</definedName>
    <definedName name="_87__123Graph_A자금운용" localSheetId="8" hidden="1">#REF!</definedName>
    <definedName name="_87__123Graph_A자금운용" hidden="1">#REF!</definedName>
    <definedName name="_89__123Graph_B자금운용" localSheetId="5" hidden="1">#REF!</definedName>
    <definedName name="_89__123Graph_B자금운용" localSheetId="11" hidden="1">#REF!</definedName>
    <definedName name="_89__123Graph_B자금운용" localSheetId="6" hidden="1">#REF!</definedName>
    <definedName name="_89__123Graph_B자금운용" localSheetId="12" hidden="1">#REF!</definedName>
    <definedName name="_89__123Graph_B자금운용" localSheetId="7" hidden="1">#REF!</definedName>
    <definedName name="_89__123Graph_B자금운용" localSheetId="13" hidden="1">#REF!</definedName>
    <definedName name="_89__123Graph_B자금운용" hidden="1">#REF!</definedName>
    <definedName name="_91__123Graph_C자금운용" localSheetId="5" hidden="1">#REF!</definedName>
    <definedName name="_91__123Graph_C자금운용" localSheetId="11" hidden="1">#REF!</definedName>
    <definedName name="_91__123Graph_C자금운용" localSheetId="6" hidden="1">#REF!</definedName>
    <definedName name="_91__123Graph_C자금운용" localSheetId="12" hidden="1">#REF!</definedName>
    <definedName name="_91__123Graph_C자금운용" localSheetId="7" hidden="1">#REF!</definedName>
    <definedName name="_91__123Graph_C자금운용" localSheetId="13" hidden="1">#REF!</definedName>
    <definedName name="_91__123Graph_C자금운용" hidden="1">#REF!</definedName>
    <definedName name="_92__123Graph_X자금운용" localSheetId="5" hidden="1">#REF!</definedName>
    <definedName name="_92__123Graph_X자금운용" localSheetId="11" hidden="1">#REF!</definedName>
    <definedName name="_92__123Graph_X자금운용" localSheetId="6" hidden="1">#REF!</definedName>
    <definedName name="_92__123Graph_X자금운용" localSheetId="12" hidden="1">#REF!</definedName>
    <definedName name="_92__123Graph_X자금운용" localSheetId="7" hidden="1">#REF!</definedName>
    <definedName name="_92__123Graph_X자금운용" localSheetId="13" hidden="1">#REF!</definedName>
    <definedName name="_92__123Graph_X자금운용" hidden="1">#REF!</definedName>
    <definedName name="_A1" localSheetId="11" hidden="1">{#N/A,#N/A,TRUE,"Basic";#N/A,#N/A,TRUE,"EXT-TABLE";#N/A,#N/A,TRUE,"STEEL";#N/A,#N/A,TRUE,"INT-Table";#N/A,#N/A,TRUE,"STEEL";#N/A,#N/A,TRUE,"Door"}</definedName>
    <definedName name="_A1" localSheetId="12" hidden="1">{#N/A,#N/A,TRUE,"Basic";#N/A,#N/A,TRUE,"EXT-TABLE";#N/A,#N/A,TRUE,"STEEL";#N/A,#N/A,TRUE,"INT-Table";#N/A,#N/A,TRUE,"STEEL";#N/A,#N/A,TRUE,"Door"}</definedName>
    <definedName name="_A1" localSheetId="13" hidden="1">{#N/A,#N/A,TRUE,"Basic";#N/A,#N/A,TRUE,"EXT-TABLE";#N/A,#N/A,TRUE,"STEEL";#N/A,#N/A,TRUE,"INT-Table";#N/A,#N/A,TRUE,"STEEL";#N/A,#N/A,TRUE,"Door"}</definedName>
    <definedName name="_A1" localSheetId="8" hidden="1">{#N/A,#N/A,TRUE,"Basic";#N/A,#N/A,TRUE,"EXT-TABLE";#N/A,#N/A,TRUE,"STEEL";#N/A,#N/A,TRUE,"INT-Table";#N/A,#N/A,TRUE,"STEEL";#N/A,#N/A,TRUE,"Door"}</definedName>
    <definedName name="_A1" hidden="1">{#N/A,#N/A,TRUE,"Basic";#N/A,#N/A,TRUE,"EXT-TABLE";#N/A,#N/A,TRUE,"STEEL";#N/A,#N/A,TRUE,"INT-Table";#N/A,#N/A,TRUE,"STEEL";#N/A,#N/A,TRUE,"Door"}</definedName>
    <definedName name="_a122" localSheetId="11" hidden="1">{#N/A,#N/A,FALSE,"속도"}</definedName>
    <definedName name="_a122" localSheetId="12" hidden="1">{#N/A,#N/A,FALSE,"속도"}</definedName>
    <definedName name="_a122" localSheetId="13" hidden="1">{#N/A,#N/A,FALSE,"속도"}</definedName>
    <definedName name="_a122" localSheetId="8" hidden="1">{#N/A,#N/A,FALSE,"속도"}</definedName>
    <definedName name="_a122" hidden="1">{#N/A,#N/A,FALSE,"속도"}</definedName>
    <definedName name="_BP01" localSheetId="11" hidden="1">{#N/A,#N/A,FALSE,"TABLE"}</definedName>
    <definedName name="_BP01" localSheetId="12" hidden="1">{#N/A,#N/A,FALSE,"TABLE"}</definedName>
    <definedName name="_BP01" localSheetId="13" hidden="1">{#N/A,#N/A,FALSE,"TABLE"}</definedName>
    <definedName name="_BP01" localSheetId="8" hidden="1">{#N/A,#N/A,FALSE,"TABLE"}</definedName>
    <definedName name="_BP01" hidden="1">{#N/A,#N/A,FALSE,"TABLE"}</definedName>
    <definedName name="_cey" localSheetId="5" hidden="1">#REF!</definedName>
    <definedName name="_cey" localSheetId="11" hidden="1">#REF!</definedName>
    <definedName name="_cey" localSheetId="6" hidden="1">#REF!</definedName>
    <definedName name="_cey" localSheetId="12" hidden="1">#REF!</definedName>
    <definedName name="_cey" localSheetId="7" hidden="1">#REF!</definedName>
    <definedName name="_cey" localSheetId="13" hidden="1">#REF!</definedName>
    <definedName name="_cey" localSheetId="8" hidden="1">#REF!</definedName>
    <definedName name="_cey" hidden="1">#REF!</definedName>
    <definedName name="_cort" localSheetId="5" hidden="1">#REF!</definedName>
    <definedName name="_cort" localSheetId="11" hidden="1">#REF!</definedName>
    <definedName name="_cort" localSheetId="6" hidden="1">#REF!</definedName>
    <definedName name="_cort" localSheetId="12" hidden="1">#REF!</definedName>
    <definedName name="_cort" localSheetId="7" hidden="1">#REF!</definedName>
    <definedName name="_cort" localSheetId="13" hidden="1">#REF!</definedName>
    <definedName name="_cort" hidden="1">#REF!</definedName>
    <definedName name="_Fil" localSheetId="5" hidden="1">#REF!</definedName>
    <definedName name="_Fil" localSheetId="11" hidden="1">#REF!</definedName>
    <definedName name="_Fil" localSheetId="6" hidden="1">#REF!</definedName>
    <definedName name="_Fil" localSheetId="12" hidden="1">#REF!</definedName>
    <definedName name="_Fil" localSheetId="7" hidden="1">#REF!</definedName>
    <definedName name="_Fil" localSheetId="13" hidden="1">#REF!</definedName>
    <definedName name="_Fil" hidden="1">#REF!</definedName>
    <definedName name="_Fill" localSheetId="5" hidden="1">#REF!</definedName>
    <definedName name="_Fill" localSheetId="11" hidden="1">#REF!</definedName>
    <definedName name="_Fill" localSheetId="6" hidden="1">#REF!</definedName>
    <definedName name="_Fill" localSheetId="12" hidden="1">#REF!</definedName>
    <definedName name="_Fill" localSheetId="7" hidden="1">#REF!</definedName>
    <definedName name="_Fill" localSheetId="13" hidden="1">#REF!</definedName>
    <definedName name="_Fill" localSheetId="2" hidden="1">#REF!</definedName>
    <definedName name="_Fill" localSheetId="8" hidden="1">#REF!</definedName>
    <definedName name="_Fill" hidden="1">#REF!</definedName>
    <definedName name="_xlnm._FilterDatabase" localSheetId="3" hidden="1">Input_CI!$B$7:$AK$7</definedName>
    <definedName name="_xlnm._FilterDatabase" localSheetId="9" hidden="1">Input_TEL!$B$7:$AJ$7</definedName>
    <definedName name="_xlnm._FilterDatabase" localSheetId="4" hidden="1">OP1_CI!$A$20:$AI$133</definedName>
    <definedName name="_xlnm._FilterDatabase" localSheetId="10" hidden="1">OP1_TEL!$A$20:$AD$117</definedName>
    <definedName name="_xlnm._FilterDatabase" localSheetId="5" hidden="1">#REF!</definedName>
    <definedName name="_xlnm._FilterDatabase" localSheetId="11" hidden="1">#REF!</definedName>
    <definedName name="_xlnm._FilterDatabase" localSheetId="6" hidden="1">#REF!</definedName>
    <definedName name="_xlnm._FilterDatabase" localSheetId="12" hidden="1">'OP2-2_TEL'!$B$6:$O$126</definedName>
    <definedName name="_xlnm._FilterDatabase" localSheetId="7" hidden="1">#REF!</definedName>
    <definedName name="_xlnm._FilterDatabase" localSheetId="13" hidden="1">#REF!</definedName>
    <definedName name="_xlnm._FilterDatabase" localSheetId="8" hidden="1">#REF!</definedName>
    <definedName name="_xlnm._FilterDatabase" hidden="1">#REF!</definedName>
    <definedName name="_FLL2" localSheetId="5" hidden="1">#REF!</definedName>
    <definedName name="_FLL2" localSheetId="11" hidden="1">#REF!</definedName>
    <definedName name="_FLL2" localSheetId="6" hidden="1">#REF!</definedName>
    <definedName name="_FLL2" localSheetId="12" hidden="1">#REF!</definedName>
    <definedName name="_FLL2" localSheetId="7" hidden="1">#REF!</definedName>
    <definedName name="_FLL2" localSheetId="13" hidden="1">#REF!</definedName>
    <definedName name="_FLL2" localSheetId="8" hidden="1">#REF!</definedName>
    <definedName name="_FLL2" hidden="1">#REF!</definedName>
    <definedName name="_Key1" localSheetId="5" hidden="1">#REF!</definedName>
    <definedName name="_Key1" localSheetId="11" hidden="1">#REF!</definedName>
    <definedName name="_Key1" localSheetId="6" hidden="1">#REF!</definedName>
    <definedName name="_Key1" localSheetId="12" hidden="1">#REF!</definedName>
    <definedName name="_Key1" localSheetId="7" hidden="1">#REF!</definedName>
    <definedName name="_Key1" localSheetId="13" hidden="1">#REF!</definedName>
    <definedName name="_Key1" localSheetId="2" hidden="1">#REF!</definedName>
    <definedName name="_Key1" localSheetId="8" hidden="1">#REF!</definedName>
    <definedName name="_Key1" hidden="1">#REF!</definedName>
    <definedName name="_Key2" localSheetId="5" hidden="1">#REF!</definedName>
    <definedName name="_Key2" localSheetId="11" hidden="1">#REF!</definedName>
    <definedName name="_Key2" localSheetId="6" hidden="1">#REF!</definedName>
    <definedName name="_Key2" localSheetId="12" hidden="1">#REF!</definedName>
    <definedName name="_Key2" localSheetId="7" hidden="1">#REF!</definedName>
    <definedName name="_Key2" localSheetId="13" hidden="1">#REF!</definedName>
    <definedName name="_Key2" localSheetId="2" hidden="1">#REF!</definedName>
    <definedName name="_Key2" localSheetId="8" hidden="1">#REF!</definedName>
    <definedName name="_Key2" hidden="1">#REF!</definedName>
    <definedName name="_KEY3" localSheetId="5" hidden="1">#REF!</definedName>
    <definedName name="_KEY3" localSheetId="11" hidden="1">#REF!</definedName>
    <definedName name="_KEY3" localSheetId="6" hidden="1">#REF!</definedName>
    <definedName name="_KEY3" localSheetId="12" hidden="1">#REF!</definedName>
    <definedName name="_KEY3" localSheetId="7" hidden="1">#REF!</definedName>
    <definedName name="_KEY3" localSheetId="13" hidden="1">#REF!</definedName>
    <definedName name="_KEY3" hidden="1">#REF!</definedName>
    <definedName name="_key4" localSheetId="5" hidden="1">#REF!</definedName>
    <definedName name="_key4" localSheetId="11" hidden="1">#REF!</definedName>
    <definedName name="_key4" localSheetId="6" hidden="1">#REF!</definedName>
    <definedName name="_key4" localSheetId="12" hidden="1">#REF!</definedName>
    <definedName name="_key4" localSheetId="7" hidden="1">#REF!</definedName>
    <definedName name="_key4" localSheetId="13" hidden="1">#REF!</definedName>
    <definedName name="_key4" hidden="1">#REF!</definedName>
    <definedName name="_MS275" localSheetId="11" hidden="1">{#N/A,#N/A,FALSE,"TABLE"}</definedName>
    <definedName name="_MS275" localSheetId="12" hidden="1">{#N/A,#N/A,FALSE,"TABLE"}</definedName>
    <definedName name="_MS275" localSheetId="13" hidden="1">{#N/A,#N/A,FALSE,"TABLE"}</definedName>
    <definedName name="_MS275" localSheetId="8" hidden="1">{#N/A,#N/A,FALSE,"TABLE"}</definedName>
    <definedName name="_MS275" hidden="1">{#N/A,#N/A,FALSE,"TABLE"}</definedName>
    <definedName name="_Order1" hidden="1">255</definedName>
    <definedName name="_Order2" hidden="1">255</definedName>
    <definedName name="_Parse_In" localSheetId="5" hidden="1">#REF!</definedName>
    <definedName name="_Parse_In" localSheetId="11" hidden="1">#REF!</definedName>
    <definedName name="_Parse_In" localSheetId="6" hidden="1">#REF!</definedName>
    <definedName name="_Parse_In" localSheetId="12" hidden="1">#REF!</definedName>
    <definedName name="_Parse_In" localSheetId="7" hidden="1">#REF!</definedName>
    <definedName name="_Parse_In" localSheetId="13" hidden="1">#REF!</definedName>
    <definedName name="_Parse_In" localSheetId="8" hidden="1">#REF!</definedName>
    <definedName name="_Parse_In" hidden="1">#REF!</definedName>
    <definedName name="_Parse_Out" localSheetId="5" hidden="1">#REF!</definedName>
    <definedName name="_Parse_Out" localSheetId="11" hidden="1">#REF!</definedName>
    <definedName name="_Parse_Out" localSheetId="6" hidden="1">#REF!</definedName>
    <definedName name="_Parse_Out" localSheetId="12" hidden="1">#REF!</definedName>
    <definedName name="_Parse_Out" localSheetId="7" hidden="1">#REF!</definedName>
    <definedName name="_Parse_Out" localSheetId="13" hidden="1">#REF!</definedName>
    <definedName name="_Parse_Out" hidden="1">#REF!</definedName>
    <definedName name="_pill" localSheetId="5" hidden="1">#REF!</definedName>
    <definedName name="_pill" localSheetId="11" hidden="1">#REF!</definedName>
    <definedName name="_pill" localSheetId="6" hidden="1">#REF!</definedName>
    <definedName name="_pill" localSheetId="12" hidden="1">#REF!</definedName>
    <definedName name="_pill" localSheetId="7" hidden="1">#REF!</definedName>
    <definedName name="_pill" localSheetId="13" hidden="1">#REF!</definedName>
    <definedName name="_pill" hidden="1">#REF!</definedName>
    <definedName name="_Regression_Int" hidden="1">1</definedName>
    <definedName name="_Regression_Out" localSheetId="5" hidden="1">#REF!</definedName>
    <definedName name="_Regression_Out" localSheetId="11" hidden="1">#REF!</definedName>
    <definedName name="_Regression_Out" localSheetId="6" hidden="1">#REF!</definedName>
    <definedName name="_Regression_Out" localSheetId="12" hidden="1">#REF!</definedName>
    <definedName name="_Regression_Out" localSheetId="7" hidden="1">#REF!</definedName>
    <definedName name="_Regression_Out" localSheetId="13" hidden="1">#REF!</definedName>
    <definedName name="_Regression_Out" localSheetId="8" hidden="1">#REF!</definedName>
    <definedName name="_Regression_Out" hidden="1">#REF!</definedName>
    <definedName name="_Regression_X" localSheetId="5" hidden="1">#REF!</definedName>
    <definedName name="_Regression_X" localSheetId="11" hidden="1">#REF!</definedName>
    <definedName name="_Regression_X" localSheetId="6" hidden="1">#REF!</definedName>
    <definedName name="_Regression_X" localSheetId="12" hidden="1">#REF!</definedName>
    <definedName name="_Regression_X" localSheetId="7" hidden="1">#REF!</definedName>
    <definedName name="_Regression_X" localSheetId="13" hidden="1">#REF!</definedName>
    <definedName name="_Regression_X" hidden="1">#REF!</definedName>
    <definedName name="_Regression_Y" localSheetId="5" hidden="1">#REF!</definedName>
    <definedName name="_Regression_Y" localSheetId="11" hidden="1">#REF!</definedName>
    <definedName name="_Regression_Y" localSheetId="6" hidden="1">#REF!</definedName>
    <definedName name="_Regression_Y" localSheetId="12" hidden="1">#REF!</definedName>
    <definedName name="_Regression_Y" localSheetId="7" hidden="1">#REF!</definedName>
    <definedName name="_Regression_Y" localSheetId="13" hidden="1">#REF!</definedName>
    <definedName name="_Regression_Y" hidden="1">#REF!</definedName>
    <definedName name="_Sort" localSheetId="5" hidden="1">#REF!</definedName>
    <definedName name="_Sort" localSheetId="11" hidden="1">#REF!</definedName>
    <definedName name="_Sort" localSheetId="6" hidden="1">#REF!</definedName>
    <definedName name="_Sort" localSheetId="12" hidden="1">#REF!</definedName>
    <definedName name="_Sort" localSheetId="7" hidden="1">#REF!</definedName>
    <definedName name="_Sort" localSheetId="13" hidden="1">#REF!</definedName>
    <definedName name="_Sort" localSheetId="2" hidden="1">#REF!</definedName>
    <definedName name="_Sort" localSheetId="8" hidden="1">#REF!</definedName>
    <definedName name="_Sort" hidden="1">#REF!</definedName>
    <definedName name="_t1" localSheetId="5" hidden="1">#REF!</definedName>
    <definedName name="_t1" localSheetId="11" hidden="1">#REF!</definedName>
    <definedName name="_t1" localSheetId="6" hidden="1">#REF!</definedName>
    <definedName name="_t1" localSheetId="12" hidden="1">#REF!</definedName>
    <definedName name="_t1" localSheetId="7" hidden="1">#REF!</definedName>
    <definedName name="_t1" localSheetId="13" hidden="1">#REF!</definedName>
    <definedName name="_t1" hidden="1">#REF!</definedName>
    <definedName name="_t2" localSheetId="5" hidden="1">#REF!</definedName>
    <definedName name="_t2" localSheetId="11" hidden="1">#REF!</definedName>
    <definedName name="_t2" localSheetId="6" hidden="1">#REF!</definedName>
    <definedName name="_t2" localSheetId="12" hidden="1">#REF!</definedName>
    <definedName name="_t2" localSheetId="7" hidden="1">#REF!</definedName>
    <definedName name="_t2" localSheetId="13" hidden="1">#REF!</definedName>
    <definedName name="_t2" hidden="1">#REF!</definedName>
    <definedName name="_Table1_In1" localSheetId="5" hidden="1">#REF!</definedName>
    <definedName name="_Table1_In1" localSheetId="11" hidden="1">#REF!</definedName>
    <definedName name="_Table1_In1" localSheetId="6" hidden="1">#REF!</definedName>
    <definedName name="_Table1_In1" localSheetId="12" hidden="1">#REF!</definedName>
    <definedName name="_Table1_In1" localSheetId="7" hidden="1">#REF!</definedName>
    <definedName name="_Table1_In1" localSheetId="13" hidden="1">#REF!</definedName>
    <definedName name="_Table1_In1" hidden="1">#REF!</definedName>
    <definedName name="_Table1_Out" localSheetId="5" hidden="1">#REF!</definedName>
    <definedName name="_Table1_Out" localSheetId="11" hidden="1">#REF!</definedName>
    <definedName name="_Table1_Out" localSheetId="6" hidden="1">#REF!</definedName>
    <definedName name="_Table1_Out" localSheetId="12" hidden="1">#REF!</definedName>
    <definedName name="_Table1_Out" localSheetId="7" hidden="1">#REF!</definedName>
    <definedName name="_Table1_Out" localSheetId="13" hidden="1">#REF!</definedName>
    <definedName name="_Table1_Out" hidden="1">#REF!</definedName>
    <definedName name="_U113" localSheetId="11" hidden="1">{#N/A,#N/A,TRUE,"Basic";#N/A,#N/A,TRUE,"EXT-TABLE";#N/A,#N/A,TRUE,"STEEL";#N/A,#N/A,TRUE,"INT-Table";#N/A,#N/A,TRUE,"STEEL";#N/A,#N/A,TRUE,"Door"}</definedName>
    <definedName name="_U113" localSheetId="12" hidden="1">{#N/A,#N/A,TRUE,"Basic";#N/A,#N/A,TRUE,"EXT-TABLE";#N/A,#N/A,TRUE,"STEEL";#N/A,#N/A,TRUE,"INT-Table";#N/A,#N/A,TRUE,"STEEL";#N/A,#N/A,TRUE,"Door"}</definedName>
    <definedName name="_U113" localSheetId="13" hidden="1">{#N/A,#N/A,TRUE,"Basic";#N/A,#N/A,TRUE,"EXT-TABLE";#N/A,#N/A,TRUE,"STEEL";#N/A,#N/A,TRUE,"INT-Table";#N/A,#N/A,TRUE,"STEEL";#N/A,#N/A,TRUE,"Door"}</definedName>
    <definedName name="_U113" localSheetId="8" hidden="1">{#N/A,#N/A,TRUE,"Basic";#N/A,#N/A,TRUE,"EXT-TABLE";#N/A,#N/A,TRUE,"STEEL";#N/A,#N/A,TRUE,"INT-Table";#N/A,#N/A,TRUE,"STEEL";#N/A,#N/A,TRUE,"Door"}</definedName>
    <definedName name="_U113" hidden="1">{#N/A,#N/A,TRUE,"Basic";#N/A,#N/A,TRUE,"EXT-TABLE";#N/A,#N/A,TRUE,"STEEL";#N/A,#N/A,TRUE,"INT-Table";#N/A,#N/A,TRUE,"STEEL";#N/A,#N/A,TRUE,"Door"}</definedName>
    <definedName name="´cAE°eE¹" localSheetId="5" hidden="1">#REF!</definedName>
    <definedName name="´cAE°eE¹" localSheetId="11" hidden="1">#REF!</definedName>
    <definedName name="´cAE°eE¹" localSheetId="6" hidden="1">#REF!</definedName>
    <definedName name="´cAE°eE¹" localSheetId="12" hidden="1">#REF!</definedName>
    <definedName name="´cAE°eE¹" localSheetId="7" hidden="1">#REF!</definedName>
    <definedName name="´cAE°eE¹" localSheetId="13" hidden="1">#REF!</definedName>
    <definedName name="´cAE°eE¹" localSheetId="2" hidden="1">#REF!</definedName>
    <definedName name="´cAE°eE¹" localSheetId="8" hidden="1">#REF!</definedName>
    <definedName name="´cAE°eE¹" hidden="1">#REF!</definedName>
    <definedName name="￠￥cAE¡ÆeEⓒo" localSheetId="5" hidden="1">#REF!</definedName>
    <definedName name="￠￥cAE¡ÆeEⓒo" localSheetId="11" hidden="1">#REF!</definedName>
    <definedName name="￠￥cAE¡ÆeEⓒo" localSheetId="6" hidden="1">#REF!</definedName>
    <definedName name="￠￥cAE¡ÆeEⓒo" localSheetId="12" hidden="1">#REF!</definedName>
    <definedName name="￠￥cAE¡ÆeEⓒo" localSheetId="7" hidden="1">#REF!</definedName>
    <definedName name="￠￥cAE¡ÆeEⓒo" localSheetId="13" hidden="1">#REF!</definedName>
    <definedName name="￠￥cAE¡ÆeEⓒo" localSheetId="2" hidden="1">#REF!</definedName>
    <definedName name="￠￥cAE¡ÆeEⓒo" localSheetId="8" hidden="1">#REF!</definedName>
    <definedName name="￠￥cAE¡ÆeEⓒo" hidden="1">#REF!</definedName>
    <definedName name="aaaaa" localSheetId="5" hidden="1">{#N/A,#N/A,TRUE,"Basic";#N/A,#N/A,TRUE,"EXT-TABLE";#N/A,#N/A,TRUE,"STEEL";#N/A,#N/A,TRUE,"INT-Table";#N/A,#N/A,TRUE,"STEEL";#N/A,#N/A,TRUE,"Door"}</definedName>
    <definedName name="aaaaa" localSheetId="11" hidden="1">{#N/A,#N/A,TRUE,"Basic";#N/A,#N/A,TRUE,"EXT-TABLE";#N/A,#N/A,TRUE,"STEEL";#N/A,#N/A,TRUE,"INT-Table";#N/A,#N/A,TRUE,"STEEL";#N/A,#N/A,TRUE,"Door"}</definedName>
    <definedName name="aaaaa" localSheetId="6" hidden="1">{#N/A,#N/A,TRUE,"Basic";#N/A,#N/A,TRUE,"EXT-TABLE";#N/A,#N/A,TRUE,"STEEL";#N/A,#N/A,TRUE,"INT-Table";#N/A,#N/A,TRUE,"STEEL";#N/A,#N/A,TRUE,"Door"}</definedName>
    <definedName name="aaaaa" localSheetId="12" hidden="1">{#N/A,#N/A,TRUE,"Basic";#N/A,#N/A,TRUE,"EXT-TABLE";#N/A,#N/A,TRUE,"STEEL";#N/A,#N/A,TRUE,"INT-Table";#N/A,#N/A,TRUE,"STEEL";#N/A,#N/A,TRUE,"Door"}</definedName>
    <definedName name="aaaaa" localSheetId="7" hidden="1">{#N/A,#N/A,TRUE,"Basic";#N/A,#N/A,TRUE,"EXT-TABLE";#N/A,#N/A,TRUE,"STEEL";#N/A,#N/A,TRUE,"INT-Table";#N/A,#N/A,TRUE,"STEEL";#N/A,#N/A,TRUE,"Door"}</definedName>
    <definedName name="aaaaa" localSheetId="13" hidden="1">{#N/A,#N/A,TRUE,"Basic";#N/A,#N/A,TRUE,"EXT-TABLE";#N/A,#N/A,TRUE,"STEEL";#N/A,#N/A,TRUE,"INT-Table";#N/A,#N/A,TRUE,"STEEL";#N/A,#N/A,TRUE,"Door"}</definedName>
    <definedName name="aaaaa" localSheetId="8" hidden="1">{#N/A,#N/A,TRUE,"Basic";#N/A,#N/A,TRUE,"EXT-TABLE";#N/A,#N/A,TRUE,"STEEL";#N/A,#N/A,TRUE,"INT-Table";#N/A,#N/A,TRUE,"STEEL";#N/A,#N/A,TRUE,"Door"}</definedName>
    <definedName name="aaaaa" hidden="1">{#N/A,#N/A,TRUE,"Basic";#N/A,#N/A,TRUE,"EXT-TABLE";#N/A,#N/A,TRUE,"STEEL";#N/A,#N/A,TRUE,"INT-Table";#N/A,#N/A,TRUE,"STEEL";#N/A,#N/A,TRUE,"Door"}</definedName>
    <definedName name="ab" localSheetId="5" hidden="1">{#N/A,#N/A,TRUE,"Basic";#N/A,#N/A,TRUE,"EXT-TABLE";#N/A,#N/A,TRUE,"STEEL";#N/A,#N/A,TRUE,"INT-Table";#N/A,#N/A,TRUE,"STEEL";#N/A,#N/A,TRUE,"Door"}</definedName>
    <definedName name="ab" localSheetId="11" hidden="1">{#N/A,#N/A,TRUE,"Basic";#N/A,#N/A,TRUE,"EXT-TABLE";#N/A,#N/A,TRUE,"STEEL";#N/A,#N/A,TRUE,"INT-Table";#N/A,#N/A,TRUE,"STEEL";#N/A,#N/A,TRUE,"Door"}</definedName>
    <definedName name="ab" localSheetId="6" hidden="1">{#N/A,#N/A,TRUE,"Basic";#N/A,#N/A,TRUE,"EXT-TABLE";#N/A,#N/A,TRUE,"STEEL";#N/A,#N/A,TRUE,"INT-Table";#N/A,#N/A,TRUE,"STEEL";#N/A,#N/A,TRUE,"Door"}</definedName>
    <definedName name="ab" localSheetId="12" hidden="1">{#N/A,#N/A,TRUE,"Basic";#N/A,#N/A,TRUE,"EXT-TABLE";#N/A,#N/A,TRUE,"STEEL";#N/A,#N/A,TRUE,"INT-Table";#N/A,#N/A,TRUE,"STEEL";#N/A,#N/A,TRUE,"Door"}</definedName>
    <definedName name="ab" localSheetId="7" hidden="1">{#N/A,#N/A,TRUE,"Basic";#N/A,#N/A,TRUE,"EXT-TABLE";#N/A,#N/A,TRUE,"STEEL";#N/A,#N/A,TRUE,"INT-Table";#N/A,#N/A,TRUE,"STEEL";#N/A,#N/A,TRUE,"Door"}</definedName>
    <definedName name="ab" localSheetId="13" hidden="1">{#N/A,#N/A,TRUE,"Basic";#N/A,#N/A,TRUE,"EXT-TABLE";#N/A,#N/A,TRUE,"STEEL";#N/A,#N/A,TRUE,"INT-Table";#N/A,#N/A,TRUE,"STEEL";#N/A,#N/A,TRUE,"Door"}</definedName>
    <definedName name="ab" localSheetId="8" hidden="1">{#N/A,#N/A,TRUE,"Basic";#N/A,#N/A,TRUE,"EXT-TABLE";#N/A,#N/A,TRUE,"STEEL";#N/A,#N/A,TRUE,"INT-Table";#N/A,#N/A,TRUE,"STEEL";#N/A,#N/A,TRUE,"Door"}</definedName>
    <definedName name="ab" hidden="1">{#N/A,#N/A,TRUE,"Basic";#N/A,#N/A,TRUE,"EXT-TABLE";#N/A,#N/A,TRUE,"STEEL";#N/A,#N/A,TRUE,"INT-Table";#N/A,#N/A,TRUE,"STEEL";#N/A,#N/A,TRUE,"Door"}</definedName>
    <definedName name="abc" localSheetId="5" hidden="1">{#N/A,#N/A,TRUE,"Basic";#N/A,#N/A,TRUE,"EXT-TABLE";#N/A,#N/A,TRUE,"STEEL";#N/A,#N/A,TRUE,"INT-Table";#N/A,#N/A,TRUE,"STEEL";#N/A,#N/A,TRUE,"Door"}</definedName>
    <definedName name="abc" localSheetId="11" hidden="1">{#N/A,#N/A,TRUE,"Basic";#N/A,#N/A,TRUE,"EXT-TABLE";#N/A,#N/A,TRUE,"STEEL";#N/A,#N/A,TRUE,"INT-Table";#N/A,#N/A,TRUE,"STEEL";#N/A,#N/A,TRUE,"Door"}</definedName>
    <definedName name="abc" localSheetId="6" hidden="1">{#N/A,#N/A,TRUE,"Basic";#N/A,#N/A,TRUE,"EXT-TABLE";#N/A,#N/A,TRUE,"STEEL";#N/A,#N/A,TRUE,"INT-Table";#N/A,#N/A,TRUE,"STEEL";#N/A,#N/A,TRUE,"Door"}</definedName>
    <definedName name="abc" localSheetId="12" hidden="1">{#N/A,#N/A,TRUE,"Basic";#N/A,#N/A,TRUE,"EXT-TABLE";#N/A,#N/A,TRUE,"STEEL";#N/A,#N/A,TRUE,"INT-Table";#N/A,#N/A,TRUE,"STEEL";#N/A,#N/A,TRUE,"Door"}</definedName>
    <definedName name="abc" localSheetId="7" hidden="1">{#N/A,#N/A,TRUE,"Basic";#N/A,#N/A,TRUE,"EXT-TABLE";#N/A,#N/A,TRUE,"STEEL";#N/A,#N/A,TRUE,"INT-Table";#N/A,#N/A,TRUE,"STEEL";#N/A,#N/A,TRUE,"Door"}</definedName>
    <definedName name="abc" localSheetId="13" hidden="1">{#N/A,#N/A,TRUE,"Basic";#N/A,#N/A,TRUE,"EXT-TABLE";#N/A,#N/A,TRUE,"STEEL";#N/A,#N/A,TRUE,"INT-Table";#N/A,#N/A,TRUE,"STEEL";#N/A,#N/A,TRUE,"Door"}</definedName>
    <definedName name="abc" localSheetId="8" hidden="1">{#N/A,#N/A,TRUE,"Basic";#N/A,#N/A,TRUE,"EXT-TABLE";#N/A,#N/A,TRUE,"STEEL";#N/A,#N/A,TRUE,"INT-Table";#N/A,#N/A,TRUE,"STEEL";#N/A,#N/A,TRUE,"Door"}</definedName>
    <definedName name="abc" hidden="1">{#N/A,#N/A,TRUE,"Basic";#N/A,#N/A,TRUE,"EXT-TABLE";#N/A,#N/A,TRUE,"STEEL";#N/A,#N/A,TRUE,"INT-Table";#N/A,#N/A,TRUE,"STEEL";#N/A,#N/A,TRUE,"Door"}</definedName>
    <definedName name="ac" localSheetId="11" hidden="1">{#N/A,#N/A,FALSE,"이태원철근"}</definedName>
    <definedName name="ac" localSheetId="12" hidden="1">{#N/A,#N/A,FALSE,"이태원철근"}</definedName>
    <definedName name="ac" localSheetId="13" hidden="1">{#N/A,#N/A,FALSE,"이태원철근"}</definedName>
    <definedName name="ac" localSheetId="8" hidden="1">{#N/A,#N/A,FALSE,"이태원철근"}</definedName>
    <definedName name="ac" hidden="1">{#N/A,#N/A,FALSE,"이태원철근"}</definedName>
    <definedName name="AccessDatabase" hidden="1">"I:\Supervision\Confidential\np-364 hdpe pars\rev2\estimate.mdb"</definedName>
    <definedName name="ad" localSheetId="11" hidden="1">{#N/A,#N/A,FALSE,"이태원철근"}</definedName>
    <definedName name="ad" localSheetId="12" hidden="1">{#N/A,#N/A,FALSE,"이태원철근"}</definedName>
    <definedName name="ad" localSheetId="13" hidden="1">{#N/A,#N/A,FALSE,"이태원철근"}</definedName>
    <definedName name="ad" localSheetId="8" hidden="1">{#N/A,#N/A,FALSE,"이태원철근"}</definedName>
    <definedName name="ad" hidden="1">{#N/A,#N/A,FALSE,"이태원철근"}</definedName>
    <definedName name="ada" localSheetId="11" hidden="1">{#N/A,#N/A,FALSE,"이태원철근"}</definedName>
    <definedName name="ada" localSheetId="12" hidden="1">{#N/A,#N/A,FALSE,"이태원철근"}</definedName>
    <definedName name="ada" localSheetId="13" hidden="1">{#N/A,#N/A,FALSE,"이태원철근"}</definedName>
    <definedName name="ada" localSheetId="8" hidden="1">{#N/A,#N/A,FALSE,"이태원철근"}</definedName>
    <definedName name="ada" hidden="1">{#N/A,#N/A,FALSE,"이태원철근"}</definedName>
    <definedName name="ae" localSheetId="11" hidden="1">{#N/A,#N/A,FALSE,"이태원철근"}</definedName>
    <definedName name="ae" localSheetId="12" hidden="1">{#N/A,#N/A,FALSE,"이태원철근"}</definedName>
    <definedName name="ae" localSheetId="13" hidden="1">{#N/A,#N/A,FALSE,"이태원철근"}</definedName>
    <definedName name="ae" localSheetId="8" hidden="1">{#N/A,#N/A,FALSE,"이태원철근"}</definedName>
    <definedName name="ae" hidden="1">{#N/A,#N/A,FALSE,"이태원철근"}</definedName>
    <definedName name="af" localSheetId="11" hidden="1">{#N/A,#N/A,FALSE,"이태원철근"}</definedName>
    <definedName name="af" localSheetId="12" hidden="1">{#N/A,#N/A,FALSE,"이태원철근"}</definedName>
    <definedName name="af" localSheetId="13" hidden="1">{#N/A,#N/A,FALSE,"이태원철근"}</definedName>
    <definedName name="af" localSheetId="8" hidden="1">{#N/A,#N/A,FALSE,"이태원철근"}</definedName>
    <definedName name="af" hidden="1">{#N/A,#N/A,FALSE,"이태원철근"}</definedName>
    <definedName name="ag" localSheetId="11" hidden="1">{#N/A,#N/A,FALSE,"이태원철근"}</definedName>
    <definedName name="ag" localSheetId="12" hidden="1">{#N/A,#N/A,FALSE,"이태원철근"}</definedName>
    <definedName name="ag" localSheetId="13" hidden="1">{#N/A,#N/A,FALSE,"이태원철근"}</definedName>
    <definedName name="ag" localSheetId="8" hidden="1">{#N/A,#N/A,FALSE,"이태원철근"}</definedName>
    <definedName name="ag" hidden="1">{#N/A,#N/A,FALSE,"이태원철근"}</definedName>
    <definedName name="ah" localSheetId="11" hidden="1">{#N/A,#N/A,FALSE,"이태원철근"}</definedName>
    <definedName name="ah" localSheetId="12" hidden="1">{#N/A,#N/A,FALSE,"이태원철근"}</definedName>
    <definedName name="ah" localSheetId="13" hidden="1">{#N/A,#N/A,FALSE,"이태원철근"}</definedName>
    <definedName name="ah" localSheetId="8" hidden="1">{#N/A,#N/A,FALSE,"이태원철근"}</definedName>
    <definedName name="ah" hidden="1">{#N/A,#N/A,FALSE,"이태원철근"}</definedName>
    <definedName name="aheh" localSheetId="11" hidden="1">{#N/A,#N/A,FALSE,"이태원철근"}</definedName>
    <definedName name="aheh" localSheetId="12" hidden="1">{#N/A,#N/A,FALSE,"이태원철근"}</definedName>
    <definedName name="aheh" localSheetId="13" hidden="1">{#N/A,#N/A,FALSE,"이태원철근"}</definedName>
    <definedName name="aheh" localSheetId="8" hidden="1">{#N/A,#N/A,FALSE,"이태원철근"}</definedName>
    <definedName name="aheh" hidden="1">{#N/A,#N/A,FALSE,"이태원철근"}</definedName>
    <definedName name="ai" localSheetId="11" hidden="1">{#N/A,#N/A,FALSE,"이태원철근"}</definedName>
    <definedName name="ai" localSheetId="12" hidden="1">{#N/A,#N/A,FALSE,"이태원철근"}</definedName>
    <definedName name="ai" localSheetId="13" hidden="1">{#N/A,#N/A,FALSE,"이태원철근"}</definedName>
    <definedName name="ai" localSheetId="8" hidden="1">{#N/A,#N/A,FALSE,"이태원철근"}</definedName>
    <definedName name="ai" hidden="1">{#N/A,#N/A,FALSE,"이태원철근"}</definedName>
    <definedName name="AJ" localSheetId="11" hidden="1">{#N/A,#N/A,FALSE,"이태원철근"}</definedName>
    <definedName name="AJ" localSheetId="12" hidden="1">{#N/A,#N/A,FALSE,"이태원철근"}</definedName>
    <definedName name="AJ" localSheetId="13" hidden="1">{#N/A,#N/A,FALSE,"이태원철근"}</definedName>
    <definedName name="AJ" localSheetId="8" hidden="1">{#N/A,#N/A,FALSE,"이태원철근"}</definedName>
    <definedName name="AJ" hidden="1">{#N/A,#N/A,FALSE,"이태원철근"}</definedName>
    <definedName name="ak" localSheetId="11" hidden="1">{#N/A,#N/A,FALSE,"이태원철근"}</definedName>
    <definedName name="ak" localSheetId="12" hidden="1">{#N/A,#N/A,FALSE,"이태원철근"}</definedName>
    <definedName name="ak" localSheetId="13" hidden="1">{#N/A,#N/A,FALSE,"이태원철근"}</definedName>
    <definedName name="ak" localSheetId="8" hidden="1">{#N/A,#N/A,FALSE,"이태원철근"}</definedName>
    <definedName name="ak" hidden="1">{#N/A,#N/A,FALSE,"이태원철근"}</definedName>
    <definedName name="al" localSheetId="11" hidden="1">{#N/A,#N/A,FALSE,"이태원철근"}</definedName>
    <definedName name="al" localSheetId="12" hidden="1">{#N/A,#N/A,FALSE,"이태원철근"}</definedName>
    <definedName name="al" localSheetId="13" hidden="1">{#N/A,#N/A,FALSE,"이태원철근"}</definedName>
    <definedName name="al" localSheetId="8" hidden="1">{#N/A,#N/A,FALSE,"이태원철근"}</definedName>
    <definedName name="al" hidden="1">{#N/A,#N/A,FALSE,"이태원철근"}</definedName>
    <definedName name="an" localSheetId="11" hidden="1">{#N/A,#N/A,FALSE,"이태원철근"}</definedName>
    <definedName name="an" localSheetId="12" hidden="1">{#N/A,#N/A,FALSE,"이태원철근"}</definedName>
    <definedName name="an" localSheetId="13" hidden="1">{#N/A,#N/A,FALSE,"이태원철근"}</definedName>
    <definedName name="an" localSheetId="8" hidden="1">{#N/A,#N/A,FALSE,"이태원철근"}</definedName>
    <definedName name="an" hidden="1">{#N/A,#N/A,FALSE,"이태원철근"}</definedName>
    <definedName name="ans" localSheetId="11" hidden="1">{#N/A,#N/A,FALSE,"이태원철근"}</definedName>
    <definedName name="ans" localSheetId="12" hidden="1">{#N/A,#N/A,FALSE,"이태원철근"}</definedName>
    <definedName name="ans" localSheetId="13" hidden="1">{#N/A,#N/A,FALSE,"이태원철근"}</definedName>
    <definedName name="ans" localSheetId="8" hidden="1">{#N/A,#N/A,FALSE,"이태원철근"}</definedName>
    <definedName name="ans" hidden="1">{#N/A,#N/A,FALSE,"이태원철근"}</definedName>
    <definedName name="anscount" hidden="1">1</definedName>
    <definedName name="ao" localSheetId="11" hidden="1">{#N/A,#N/A,FALSE,"이태원철근"}</definedName>
    <definedName name="ao" localSheetId="12" hidden="1">{#N/A,#N/A,FALSE,"이태원철근"}</definedName>
    <definedName name="ao" localSheetId="13" hidden="1">{#N/A,#N/A,FALSE,"이태원철근"}</definedName>
    <definedName name="ao" localSheetId="8" hidden="1">{#N/A,#N/A,FALSE,"이태원철근"}</definedName>
    <definedName name="ao" hidden="1">{#N/A,#N/A,FALSE,"이태원철근"}</definedName>
    <definedName name="ap" localSheetId="11" hidden="1">{#N/A,#N/A,FALSE,"이태원철근"}</definedName>
    <definedName name="ap" localSheetId="12" hidden="1">{#N/A,#N/A,FALSE,"이태원철근"}</definedName>
    <definedName name="ap" localSheetId="13" hidden="1">{#N/A,#N/A,FALSE,"이태원철근"}</definedName>
    <definedName name="ap" localSheetId="8" hidden="1">{#N/A,#N/A,FALSE,"이태원철근"}</definedName>
    <definedName name="ap" hidden="1">{#N/A,#N/A,FALSE,"이태원철근"}</definedName>
    <definedName name="aq" localSheetId="11" hidden="1">{#N/A,#N/A,FALSE,"이태원철근"}</definedName>
    <definedName name="aq" localSheetId="12" hidden="1">{#N/A,#N/A,FALSE,"이태원철근"}</definedName>
    <definedName name="aq" localSheetId="13" hidden="1">{#N/A,#N/A,FALSE,"이태원철근"}</definedName>
    <definedName name="aq" localSheetId="8" hidden="1">{#N/A,#N/A,FALSE,"이태원철근"}</definedName>
    <definedName name="aq" hidden="1">{#N/A,#N/A,FALSE,"이태원철근"}</definedName>
    <definedName name="ar" localSheetId="11" hidden="1">{#N/A,#N/A,FALSE,"이태원철근"}</definedName>
    <definedName name="ar" localSheetId="12" hidden="1">{#N/A,#N/A,FALSE,"이태원철근"}</definedName>
    <definedName name="ar" localSheetId="13" hidden="1">{#N/A,#N/A,FALSE,"이태원철근"}</definedName>
    <definedName name="ar" localSheetId="8" hidden="1">{#N/A,#N/A,FALSE,"이태원철근"}</definedName>
    <definedName name="ar" hidden="1">{#N/A,#N/A,FALSE,"이태원철근"}</definedName>
    <definedName name="AS2DocOpenMode" hidden="1">"AS2DocumentEdit"</definedName>
    <definedName name="asas" localSheetId="11" hidden="1">{#N/A,#N/A,TRUE,"Basic";#N/A,#N/A,TRUE,"EXT-TABLE";#N/A,#N/A,TRUE,"STEEL";#N/A,#N/A,TRUE,"INT-Table";#N/A,#N/A,TRUE,"STEEL";#N/A,#N/A,TRUE,"Door"}</definedName>
    <definedName name="asas" localSheetId="12" hidden="1">{#N/A,#N/A,TRUE,"Basic";#N/A,#N/A,TRUE,"EXT-TABLE";#N/A,#N/A,TRUE,"STEEL";#N/A,#N/A,TRUE,"INT-Table";#N/A,#N/A,TRUE,"STEEL";#N/A,#N/A,TRUE,"Door"}</definedName>
    <definedName name="asas" localSheetId="13" hidden="1">{#N/A,#N/A,TRUE,"Basic";#N/A,#N/A,TRUE,"EXT-TABLE";#N/A,#N/A,TRUE,"STEEL";#N/A,#N/A,TRUE,"INT-Table";#N/A,#N/A,TRUE,"STEEL";#N/A,#N/A,TRUE,"Door"}</definedName>
    <definedName name="asas" localSheetId="8" hidden="1">{#N/A,#N/A,TRUE,"Basic";#N/A,#N/A,TRUE,"EXT-TABLE";#N/A,#N/A,TRUE,"STEEL";#N/A,#N/A,TRUE,"INT-Table";#N/A,#N/A,TRUE,"STEEL";#N/A,#N/A,TRUE,"Door"}</definedName>
    <definedName name="asas" hidden="1">{#N/A,#N/A,TRUE,"Basic";#N/A,#N/A,TRUE,"EXT-TABLE";#N/A,#N/A,TRUE,"STEEL";#N/A,#N/A,TRUE,"INT-Table";#N/A,#N/A,TRUE,"STEEL";#N/A,#N/A,TRUE,"Door"}</definedName>
    <definedName name="asdga" localSheetId="11" hidden="1">{#N/A,#N/A,FALSE,"이태원철근"}</definedName>
    <definedName name="asdga" localSheetId="12" hidden="1">{#N/A,#N/A,FALSE,"이태원철근"}</definedName>
    <definedName name="asdga" localSheetId="13" hidden="1">{#N/A,#N/A,FALSE,"이태원철근"}</definedName>
    <definedName name="asdga" localSheetId="8" hidden="1">{#N/A,#N/A,FALSE,"이태원철근"}</definedName>
    <definedName name="asdga" hidden="1">{#N/A,#N/A,FALSE,"이태원철근"}</definedName>
    <definedName name="AZ" localSheetId="5" hidden="1">#REF!</definedName>
    <definedName name="AZ" localSheetId="11" hidden="1">#REF!</definedName>
    <definedName name="AZ" localSheetId="6" hidden="1">#REF!</definedName>
    <definedName name="AZ" localSheetId="12" hidden="1">#REF!</definedName>
    <definedName name="AZ" localSheetId="7" hidden="1">#REF!</definedName>
    <definedName name="AZ" localSheetId="13" hidden="1">#REF!</definedName>
    <definedName name="AZ" localSheetId="8" hidden="1">#REF!</definedName>
    <definedName name="AZ" hidden="1">#REF!</definedName>
    <definedName name="B3송" localSheetId="5" hidden="1">#REF!</definedName>
    <definedName name="B3송" localSheetId="11" hidden="1">#REF!</definedName>
    <definedName name="B3송" localSheetId="6" hidden="1">#REF!</definedName>
    <definedName name="B3송" localSheetId="12" hidden="1">#REF!</definedName>
    <definedName name="B3송" localSheetId="7" hidden="1">#REF!</definedName>
    <definedName name="B3송" localSheetId="13" hidden="1">#REF!</definedName>
    <definedName name="B3송" hidden="1">#REF!</definedName>
    <definedName name="BASE" localSheetId="5" hidden="1">{#N/A,#N/A,TRUE,"Basic";#N/A,#N/A,TRUE,"EXT-TABLE";#N/A,#N/A,TRUE,"STEEL";#N/A,#N/A,TRUE,"INT-Table";#N/A,#N/A,TRUE,"STEEL";#N/A,#N/A,TRUE,"Door"}</definedName>
    <definedName name="BASE" localSheetId="11" hidden="1">{#N/A,#N/A,TRUE,"Basic";#N/A,#N/A,TRUE,"EXT-TABLE";#N/A,#N/A,TRUE,"STEEL";#N/A,#N/A,TRUE,"INT-Table";#N/A,#N/A,TRUE,"STEEL";#N/A,#N/A,TRUE,"Door"}</definedName>
    <definedName name="BASE" localSheetId="6" hidden="1">{#N/A,#N/A,TRUE,"Basic";#N/A,#N/A,TRUE,"EXT-TABLE";#N/A,#N/A,TRUE,"STEEL";#N/A,#N/A,TRUE,"INT-Table";#N/A,#N/A,TRUE,"STEEL";#N/A,#N/A,TRUE,"Door"}</definedName>
    <definedName name="BASE" localSheetId="12" hidden="1">{#N/A,#N/A,TRUE,"Basic";#N/A,#N/A,TRUE,"EXT-TABLE";#N/A,#N/A,TRUE,"STEEL";#N/A,#N/A,TRUE,"INT-Table";#N/A,#N/A,TRUE,"STEEL";#N/A,#N/A,TRUE,"Door"}</definedName>
    <definedName name="BASE" localSheetId="7" hidden="1">{#N/A,#N/A,TRUE,"Basic";#N/A,#N/A,TRUE,"EXT-TABLE";#N/A,#N/A,TRUE,"STEEL";#N/A,#N/A,TRUE,"INT-Table";#N/A,#N/A,TRUE,"STEEL";#N/A,#N/A,TRUE,"Door"}</definedName>
    <definedName name="BASE" localSheetId="13" hidden="1">{#N/A,#N/A,TRUE,"Basic";#N/A,#N/A,TRUE,"EXT-TABLE";#N/A,#N/A,TRUE,"STEEL";#N/A,#N/A,TRUE,"INT-Table";#N/A,#N/A,TRUE,"STEEL";#N/A,#N/A,TRUE,"Door"}</definedName>
    <definedName name="BC" localSheetId="11" hidden="1">{#N/A,#N/A,FALSE,"이태원철근"}</definedName>
    <definedName name="BC" localSheetId="12" hidden="1">{#N/A,#N/A,FALSE,"이태원철근"}</definedName>
    <definedName name="BC" localSheetId="13" hidden="1">{#N/A,#N/A,FALSE,"이태원철근"}</definedName>
    <definedName name="BC" localSheetId="8" hidden="1">{#N/A,#N/A,FALSE,"이태원철근"}</definedName>
    <definedName name="BC" hidden="1">{#N/A,#N/A,FALSE,"이태원철근"}</definedName>
    <definedName name="BELL" localSheetId="11" hidden="1">{#N/A,#N/A,TRUE,"Basic";#N/A,#N/A,TRUE,"EXT-TABLE";#N/A,#N/A,TRUE,"STEEL";#N/A,#N/A,TRUE,"INT-Table";#N/A,#N/A,TRUE,"STEEL";#N/A,#N/A,TRUE,"Door"}</definedName>
    <definedName name="BELL" localSheetId="12" hidden="1">{#N/A,#N/A,TRUE,"Basic";#N/A,#N/A,TRUE,"EXT-TABLE";#N/A,#N/A,TRUE,"STEEL";#N/A,#N/A,TRUE,"INT-Table";#N/A,#N/A,TRUE,"STEEL";#N/A,#N/A,TRUE,"Door"}</definedName>
    <definedName name="BELL" localSheetId="13" hidden="1">{#N/A,#N/A,TRUE,"Basic";#N/A,#N/A,TRUE,"EXT-TABLE";#N/A,#N/A,TRUE,"STEEL";#N/A,#N/A,TRUE,"INT-Table";#N/A,#N/A,TRUE,"STEEL";#N/A,#N/A,TRUE,"Door"}</definedName>
    <definedName name="BELL" localSheetId="8" hidden="1">{#N/A,#N/A,TRUE,"Basic";#N/A,#N/A,TRUE,"EXT-TABLE";#N/A,#N/A,TRUE,"STEEL";#N/A,#N/A,TRUE,"INT-Table";#N/A,#N/A,TRUE,"STEEL";#N/A,#N/A,TRUE,"Door"}</definedName>
    <definedName name="BELL" hidden="1">{#N/A,#N/A,TRUE,"Basic";#N/A,#N/A,TRUE,"EXT-TABLE";#N/A,#N/A,TRUE,"STEEL";#N/A,#N/A,TRUE,"INT-Table";#N/A,#N/A,TRUE,"STEEL";#N/A,#N/A,TRUE,"Door"}</definedName>
    <definedName name="BI" localSheetId="11" hidden="1">{#N/A,#N/A,FALSE,"이태원철근"}</definedName>
    <definedName name="BI" localSheetId="12" hidden="1">{#N/A,#N/A,FALSE,"이태원철근"}</definedName>
    <definedName name="BI" localSheetId="13" hidden="1">{#N/A,#N/A,FALSE,"이태원철근"}</definedName>
    <definedName name="BI" localSheetId="8" hidden="1">{#N/A,#N/A,FALSE,"이태원철근"}</definedName>
    <definedName name="BI" hidden="1">{#N/A,#N/A,FALSE,"이태원철근"}</definedName>
    <definedName name="BV" localSheetId="5" hidden="1">#REF!</definedName>
    <definedName name="BV" localSheetId="11" hidden="1">#REF!</definedName>
    <definedName name="BV" localSheetId="6" hidden="1">#REF!</definedName>
    <definedName name="BV" localSheetId="12" hidden="1">#REF!</definedName>
    <definedName name="BV" localSheetId="7" hidden="1">#REF!</definedName>
    <definedName name="BV" localSheetId="13" hidden="1">#REF!</definedName>
    <definedName name="BV" localSheetId="8" hidden="1">#REF!</definedName>
    <definedName name="BV" hidden="1">#REF!</definedName>
    <definedName name="chl" localSheetId="5" hidden="1">{#N/A,#N/A,TRUE,"Basic";#N/A,#N/A,TRUE,"EXT-TABLE";#N/A,#N/A,TRUE,"STEEL";#N/A,#N/A,TRUE,"INT-Table";#N/A,#N/A,TRUE,"STEEL";#N/A,#N/A,TRUE,"Door"}</definedName>
    <definedName name="chl" localSheetId="11" hidden="1">{#N/A,#N/A,TRUE,"Basic";#N/A,#N/A,TRUE,"EXT-TABLE";#N/A,#N/A,TRUE,"STEEL";#N/A,#N/A,TRUE,"INT-Table";#N/A,#N/A,TRUE,"STEEL";#N/A,#N/A,TRUE,"Door"}</definedName>
    <definedName name="chl" localSheetId="6" hidden="1">{#N/A,#N/A,TRUE,"Basic";#N/A,#N/A,TRUE,"EXT-TABLE";#N/A,#N/A,TRUE,"STEEL";#N/A,#N/A,TRUE,"INT-Table";#N/A,#N/A,TRUE,"STEEL";#N/A,#N/A,TRUE,"Door"}</definedName>
    <definedName name="chl" localSheetId="12" hidden="1">{#N/A,#N/A,TRUE,"Basic";#N/A,#N/A,TRUE,"EXT-TABLE";#N/A,#N/A,TRUE,"STEEL";#N/A,#N/A,TRUE,"INT-Table";#N/A,#N/A,TRUE,"STEEL";#N/A,#N/A,TRUE,"Door"}</definedName>
    <definedName name="chl" localSheetId="7" hidden="1">{#N/A,#N/A,TRUE,"Basic";#N/A,#N/A,TRUE,"EXT-TABLE";#N/A,#N/A,TRUE,"STEEL";#N/A,#N/A,TRUE,"INT-Table";#N/A,#N/A,TRUE,"STEEL";#N/A,#N/A,TRUE,"Door"}</definedName>
    <definedName name="chl" localSheetId="13" hidden="1">{#N/A,#N/A,TRUE,"Basic";#N/A,#N/A,TRUE,"EXT-TABLE";#N/A,#N/A,TRUE,"STEEL";#N/A,#N/A,TRUE,"INT-Table";#N/A,#N/A,TRUE,"STEEL";#N/A,#N/A,TRUE,"Door"}</definedName>
    <definedName name="chl" localSheetId="8" hidden="1">{#N/A,#N/A,TRUE,"Basic";#N/A,#N/A,TRUE,"EXT-TABLE";#N/A,#N/A,TRUE,"STEEL";#N/A,#N/A,TRUE,"INT-Table";#N/A,#N/A,TRUE,"STEEL";#N/A,#N/A,TRUE,"Door"}</definedName>
    <definedName name="chl" hidden="1">{#N/A,#N/A,TRUE,"Basic";#N/A,#N/A,TRUE,"EXT-TABLE";#N/A,#N/A,TRUE,"STEEL";#N/A,#N/A,TRUE,"INT-Table";#N/A,#N/A,TRUE,"STEEL";#N/A,#N/A,TRUE,"Door"}</definedName>
    <definedName name="cnf" localSheetId="11" hidden="1">{#N/A,#N/A,FALSE,"이태원철근"}</definedName>
    <definedName name="cnf" localSheetId="12" hidden="1">{#N/A,#N/A,FALSE,"이태원철근"}</definedName>
    <definedName name="cnf" localSheetId="13" hidden="1">{#N/A,#N/A,FALSE,"이태원철근"}</definedName>
    <definedName name="cnf" localSheetId="8" hidden="1">{#N/A,#N/A,FALSE,"이태원철근"}</definedName>
    <definedName name="cnf" hidden="1">{#N/A,#N/A,FALSE,"이태원철근"}</definedName>
    <definedName name="cost" localSheetId="5" hidden="1">{#N/A,#N/A,TRUE,"Basic";#N/A,#N/A,TRUE,"EXT-TABLE";#N/A,#N/A,TRUE,"STEEL";#N/A,#N/A,TRUE,"INT-Table";#N/A,#N/A,TRUE,"STEEL";#N/A,#N/A,TRUE,"Door"}</definedName>
    <definedName name="cost" localSheetId="11" hidden="1">{#N/A,#N/A,TRUE,"Basic";#N/A,#N/A,TRUE,"EXT-TABLE";#N/A,#N/A,TRUE,"STEEL";#N/A,#N/A,TRUE,"INT-Table";#N/A,#N/A,TRUE,"STEEL";#N/A,#N/A,TRUE,"Door"}</definedName>
    <definedName name="cost" localSheetId="6" hidden="1">{#N/A,#N/A,TRUE,"Basic";#N/A,#N/A,TRUE,"EXT-TABLE";#N/A,#N/A,TRUE,"STEEL";#N/A,#N/A,TRUE,"INT-Table";#N/A,#N/A,TRUE,"STEEL";#N/A,#N/A,TRUE,"Door"}</definedName>
    <definedName name="cost" localSheetId="12" hidden="1">{#N/A,#N/A,TRUE,"Basic";#N/A,#N/A,TRUE,"EXT-TABLE";#N/A,#N/A,TRUE,"STEEL";#N/A,#N/A,TRUE,"INT-Table";#N/A,#N/A,TRUE,"STEEL";#N/A,#N/A,TRUE,"Door"}</definedName>
    <definedName name="cost" localSheetId="7" hidden="1">{#N/A,#N/A,TRUE,"Basic";#N/A,#N/A,TRUE,"EXT-TABLE";#N/A,#N/A,TRUE,"STEEL";#N/A,#N/A,TRUE,"INT-Table";#N/A,#N/A,TRUE,"STEEL";#N/A,#N/A,TRUE,"Door"}</definedName>
    <definedName name="cost" localSheetId="13" hidden="1">{#N/A,#N/A,TRUE,"Basic";#N/A,#N/A,TRUE,"EXT-TABLE";#N/A,#N/A,TRUE,"STEEL";#N/A,#N/A,TRUE,"INT-Table";#N/A,#N/A,TRUE,"STEEL";#N/A,#N/A,TRUE,"Door"}</definedName>
    <definedName name="cost" localSheetId="8" hidden="1">{#N/A,#N/A,TRUE,"Basic";#N/A,#N/A,TRUE,"EXT-TABLE";#N/A,#N/A,TRUE,"STEEL";#N/A,#N/A,TRUE,"INT-Table";#N/A,#N/A,TRUE,"STEEL";#N/A,#N/A,TRUE,"Door"}</definedName>
    <definedName name="cost" hidden="1">{#N/A,#N/A,TRUE,"Basic";#N/A,#N/A,TRUE,"EXT-TABLE";#N/A,#N/A,TRUE,"STEEL";#N/A,#N/A,TRUE,"INT-Table";#N/A,#N/A,TRUE,"STEEL";#N/A,#N/A,TRUE,"Door"}</definedName>
    <definedName name="COST2" localSheetId="5" hidden="1">{#N/A,#N/A,TRUE,"Basic";#N/A,#N/A,TRUE,"EXT-TABLE";#N/A,#N/A,TRUE,"STEEL";#N/A,#N/A,TRUE,"INT-Table";#N/A,#N/A,TRUE,"STEEL";#N/A,#N/A,TRUE,"Door"}</definedName>
    <definedName name="COST2" localSheetId="11" hidden="1">{#N/A,#N/A,TRUE,"Basic";#N/A,#N/A,TRUE,"EXT-TABLE";#N/A,#N/A,TRUE,"STEEL";#N/A,#N/A,TRUE,"INT-Table";#N/A,#N/A,TRUE,"STEEL";#N/A,#N/A,TRUE,"Door"}</definedName>
    <definedName name="COST2" localSheetId="6" hidden="1">{#N/A,#N/A,TRUE,"Basic";#N/A,#N/A,TRUE,"EXT-TABLE";#N/A,#N/A,TRUE,"STEEL";#N/A,#N/A,TRUE,"INT-Table";#N/A,#N/A,TRUE,"STEEL";#N/A,#N/A,TRUE,"Door"}</definedName>
    <definedName name="COST2" localSheetId="12" hidden="1">{#N/A,#N/A,TRUE,"Basic";#N/A,#N/A,TRUE,"EXT-TABLE";#N/A,#N/A,TRUE,"STEEL";#N/A,#N/A,TRUE,"INT-Table";#N/A,#N/A,TRUE,"STEEL";#N/A,#N/A,TRUE,"Door"}</definedName>
    <definedName name="COST2" localSheetId="7" hidden="1">{#N/A,#N/A,TRUE,"Basic";#N/A,#N/A,TRUE,"EXT-TABLE";#N/A,#N/A,TRUE,"STEEL";#N/A,#N/A,TRUE,"INT-Table";#N/A,#N/A,TRUE,"STEEL";#N/A,#N/A,TRUE,"Door"}</definedName>
    <definedName name="COST2" localSheetId="13" hidden="1">{#N/A,#N/A,TRUE,"Basic";#N/A,#N/A,TRUE,"EXT-TABLE";#N/A,#N/A,TRUE,"STEEL";#N/A,#N/A,TRUE,"INT-Table";#N/A,#N/A,TRUE,"STEEL";#N/A,#N/A,TRUE,"Door"}</definedName>
    <definedName name="COST2" localSheetId="8" hidden="1">{#N/A,#N/A,TRUE,"Basic";#N/A,#N/A,TRUE,"EXT-TABLE";#N/A,#N/A,TRUE,"STEEL";#N/A,#N/A,TRUE,"INT-Table";#N/A,#N/A,TRUE,"STEEL";#N/A,#N/A,TRUE,"Door"}</definedName>
    <definedName name="COST2" hidden="1">{#N/A,#N/A,TRUE,"Basic";#N/A,#N/A,TRUE,"EXT-TABLE";#N/A,#N/A,TRUE,"STEEL";#N/A,#N/A,TRUE,"INT-Table";#N/A,#N/A,TRUE,"STEEL";#N/A,#N/A,TRUE,"Door"}</definedName>
    <definedName name="cover" localSheetId="5" hidden="1">#REF!</definedName>
    <definedName name="cover" localSheetId="11" hidden="1">#REF!</definedName>
    <definedName name="cover" localSheetId="6" hidden="1">#REF!</definedName>
    <definedName name="cover" localSheetId="12" hidden="1">#REF!</definedName>
    <definedName name="cover" localSheetId="7" hidden="1">#REF!</definedName>
    <definedName name="cover" localSheetId="13" hidden="1">#REF!</definedName>
    <definedName name="cover" localSheetId="8" hidden="1">#REF!</definedName>
    <definedName name="cover" hidden="1">#REF!</definedName>
    <definedName name="cpf" localSheetId="11" hidden="1">{#N/A,#N/A,TRUE,"Basic";#N/A,#N/A,TRUE,"EXT-TABLE";#N/A,#N/A,TRUE,"STEEL";#N/A,#N/A,TRUE,"INT-Table";#N/A,#N/A,TRUE,"STEEL";#N/A,#N/A,TRUE,"Door"}</definedName>
    <definedName name="cpf" localSheetId="12" hidden="1">{#N/A,#N/A,TRUE,"Basic";#N/A,#N/A,TRUE,"EXT-TABLE";#N/A,#N/A,TRUE,"STEEL";#N/A,#N/A,TRUE,"INT-Table";#N/A,#N/A,TRUE,"STEEL";#N/A,#N/A,TRUE,"Door"}</definedName>
    <definedName name="cpf" localSheetId="13" hidden="1">{#N/A,#N/A,TRUE,"Basic";#N/A,#N/A,TRUE,"EXT-TABLE";#N/A,#N/A,TRUE,"STEEL";#N/A,#N/A,TRUE,"INT-Table";#N/A,#N/A,TRUE,"STEEL";#N/A,#N/A,TRUE,"Door"}</definedName>
    <definedName name="cpf" localSheetId="8" hidden="1">{#N/A,#N/A,TRUE,"Basic";#N/A,#N/A,TRUE,"EXT-TABLE";#N/A,#N/A,TRUE,"STEEL";#N/A,#N/A,TRUE,"INT-Table";#N/A,#N/A,TRUE,"STEEL";#N/A,#N/A,TRUE,"Door"}</definedName>
    <definedName name="cpf" hidden="1">{#N/A,#N/A,TRUE,"Basic";#N/A,#N/A,TRUE,"EXT-TABLE";#N/A,#N/A,TRUE,"STEEL";#N/A,#N/A,TRUE,"INT-Table";#N/A,#N/A,TRUE,"STEEL";#N/A,#N/A,TRUE,"Door"}</definedName>
    <definedName name="dddd" localSheetId="11" hidden="1">{#N/A,#N/A,FALSE,"TABLE"}</definedName>
    <definedName name="dddd" localSheetId="12" hidden="1">{#N/A,#N/A,FALSE,"TABLE"}</definedName>
    <definedName name="dddd" localSheetId="13" hidden="1">{#N/A,#N/A,FALSE,"TABLE"}</definedName>
    <definedName name="dddd" localSheetId="8" hidden="1">{#N/A,#N/A,FALSE,"TABLE"}</definedName>
    <definedName name="dddd" hidden="1">{#N/A,#N/A,FALSE,"TABLE"}</definedName>
    <definedName name="ddddd" localSheetId="11" hidden="1">{#N/A,#N/A,TRUE,"Basic";#N/A,#N/A,TRUE,"EXT-TABLE";#N/A,#N/A,TRUE,"STEEL";#N/A,#N/A,TRUE,"INT-Table";#N/A,#N/A,TRUE,"STEEL";#N/A,#N/A,TRUE,"Door"}</definedName>
    <definedName name="ddddd" localSheetId="12" hidden="1">{#N/A,#N/A,TRUE,"Basic";#N/A,#N/A,TRUE,"EXT-TABLE";#N/A,#N/A,TRUE,"STEEL";#N/A,#N/A,TRUE,"INT-Table";#N/A,#N/A,TRUE,"STEEL";#N/A,#N/A,TRUE,"Door"}</definedName>
    <definedName name="ddddd" localSheetId="13" hidden="1">{#N/A,#N/A,TRUE,"Basic";#N/A,#N/A,TRUE,"EXT-TABLE";#N/A,#N/A,TRUE,"STEEL";#N/A,#N/A,TRUE,"INT-Table";#N/A,#N/A,TRUE,"STEEL";#N/A,#N/A,TRUE,"Door"}</definedName>
    <definedName name="ddddd" localSheetId="8" hidden="1">{#N/A,#N/A,TRUE,"Basic";#N/A,#N/A,TRUE,"EXT-TABLE";#N/A,#N/A,TRUE,"STEEL";#N/A,#N/A,TRUE,"INT-Table";#N/A,#N/A,TRUE,"STEEL";#N/A,#N/A,TRUE,"Door"}</definedName>
    <definedName name="ddddd" hidden="1">{#N/A,#N/A,TRUE,"Basic";#N/A,#N/A,TRUE,"EXT-TABLE";#N/A,#N/A,TRUE,"STEEL";#N/A,#N/A,TRUE,"INT-Table";#N/A,#N/A,TRUE,"STEEL";#N/A,#N/A,TRUE,"Door"}</definedName>
    <definedName name="ddddddd" localSheetId="11" hidden="1">{#N/A,#N/A,FALSE,"TABLE"}</definedName>
    <definedName name="ddddddd" localSheetId="12" hidden="1">{#N/A,#N/A,FALSE,"TABLE"}</definedName>
    <definedName name="ddddddd" localSheetId="13" hidden="1">{#N/A,#N/A,FALSE,"TABLE"}</definedName>
    <definedName name="ddddddd" localSheetId="8" hidden="1">{#N/A,#N/A,FALSE,"TABLE"}</definedName>
    <definedName name="ddddddd" hidden="1">{#N/A,#N/A,FALSE,"TABLE"}</definedName>
    <definedName name="dddddddddddddd" localSheetId="5" hidden="1">{#N/A,#N/A,TRUE,"Basic";#N/A,#N/A,TRUE,"EXT-TABLE";#N/A,#N/A,TRUE,"STEEL";#N/A,#N/A,TRUE,"INT-Table";#N/A,#N/A,TRUE,"STEEL";#N/A,#N/A,TRUE,"Door"}</definedName>
    <definedName name="dddddddddddddd" localSheetId="11" hidden="1">{#N/A,#N/A,TRUE,"Basic";#N/A,#N/A,TRUE,"EXT-TABLE";#N/A,#N/A,TRUE,"STEEL";#N/A,#N/A,TRUE,"INT-Table";#N/A,#N/A,TRUE,"STEEL";#N/A,#N/A,TRUE,"Door"}</definedName>
    <definedName name="dddddddddddddd" localSheetId="6" hidden="1">{#N/A,#N/A,TRUE,"Basic";#N/A,#N/A,TRUE,"EXT-TABLE";#N/A,#N/A,TRUE,"STEEL";#N/A,#N/A,TRUE,"INT-Table";#N/A,#N/A,TRUE,"STEEL";#N/A,#N/A,TRUE,"Door"}</definedName>
    <definedName name="dddddddddddddd" localSheetId="12" hidden="1">{#N/A,#N/A,TRUE,"Basic";#N/A,#N/A,TRUE,"EXT-TABLE";#N/A,#N/A,TRUE,"STEEL";#N/A,#N/A,TRUE,"INT-Table";#N/A,#N/A,TRUE,"STEEL";#N/A,#N/A,TRUE,"Door"}</definedName>
    <definedName name="dddddddddddddd" localSheetId="7" hidden="1">{#N/A,#N/A,TRUE,"Basic";#N/A,#N/A,TRUE,"EXT-TABLE";#N/A,#N/A,TRUE,"STEEL";#N/A,#N/A,TRUE,"INT-Table";#N/A,#N/A,TRUE,"STEEL";#N/A,#N/A,TRUE,"Door"}</definedName>
    <definedName name="dddddddddddddd" localSheetId="13" hidden="1">{#N/A,#N/A,TRUE,"Basic";#N/A,#N/A,TRUE,"EXT-TABLE";#N/A,#N/A,TRUE,"STEEL";#N/A,#N/A,TRUE,"INT-Table";#N/A,#N/A,TRUE,"STEEL";#N/A,#N/A,TRUE,"Door"}</definedName>
    <definedName name="dddddddddddddd" localSheetId="8" hidden="1">{#N/A,#N/A,TRUE,"Basic";#N/A,#N/A,TRUE,"EXT-TABLE";#N/A,#N/A,TRUE,"STEEL";#N/A,#N/A,TRUE,"INT-Table";#N/A,#N/A,TRUE,"STEEL";#N/A,#N/A,TRUE,"Door"}</definedName>
    <definedName name="dddddddddddddd" hidden="1">{#N/A,#N/A,TRUE,"Basic";#N/A,#N/A,TRUE,"EXT-TABLE";#N/A,#N/A,TRUE,"STEEL";#N/A,#N/A,TRUE,"INT-Table";#N/A,#N/A,TRUE,"STEEL";#N/A,#N/A,TRUE,"Door"}</definedName>
    <definedName name="DFSARWE" localSheetId="11" hidden="1">{#N/A,#N/A,FALSE,"TABLE"}</definedName>
    <definedName name="DFSARWE" localSheetId="12" hidden="1">{#N/A,#N/A,FALSE,"TABLE"}</definedName>
    <definedName name="DFSARWE" localSheetId="13" hidden="1">{#N/A,#N/A,FALSE,"TABLE"}</definedName>
    <definedName name="DFSARWE" localSheetId="8" hidden="1">{#N/A,#N/A,FALSE,"TABLE"}</definedName>
    <definedName name="DFSARWE" hidden="1">{#N/A,#N/A,FALSE,"TABLE"}</definedName>
    <definedName name="dgagd" localSheetId="5" hidden="1">{#N/A,#N/A,TRUE,"Basic";#N/A,#N/A,TRUE,"EXT-TABLE";#N/A,#N/A,TRUE,"STEEL";#N/A,#N/A,TRUE,"INT-Table";#N/A,#N/A,TRUE,"STEEL";#N/A,#N/A,TRUE,"Door"}</definedName>
    <definedName name="dgagd" localSheetId="11" hidden="1">{#N/A,#N/A,TRUE,"Basic";#N/A,#N/A,TRUE,"EXT-TABLE";#N/A,#N/A,TRUE,"STEEL";#N/A,#N/A,TRUE,"INT-Table";#N/A,#N/A,TRUE,"STEEL";#N/A,#N/A,TRUE,"Door"}</definedName>
    <definedName name="dgagd" localSheetId="6" hidden="1">{#N/A,#N/A,TRUE,"Basic";#N/A,#N/A,TRUE,"EXT-TABLE";#N/A,#N/A,TRUE,"STEEL";#N/A,#N/A,TRUE,"INT-Table";#N/A,#N/A,TRUE,"STEEL";#N/A,#N/A,TRUE,"Door"}</definedName>
    <definedName name="dgagd" localSheetId="12" hidden="1">{#N/A,#N/A,TRUE,"Basic";#N/A,#N/A,TRUE,"EXT-TABLE";#N/A,#N/A,TRUE,"STEEL";#N/A,#N/A,TRUE,"INT-Table";#N/A,#N/A,TRUE,"STEEL";#N/A,#N/A,TRUE,"Door"}</definedName>
    <definedName name="dgagd" localSheetId="7" hidden="1">{#N/A,#N/A,TRUE,"Basic";#N/A,#N/A,TRUE,"EXT-TABLE";#N/A,#N/A,TRUE,"STEEL";#N/A,#N/A,TRUE,"INT-Table";#N/A,#N/A,TRUE,"STEEL";#N/A,#N/A,TRUE,"Door"}</definedName>
    <definedName name="dgagd" localSheetId="13" hidden="1">{#N/A,#N/A,TRUE,"Basic";#N/A,#N/A,TRUE,"EXT-TABLE";#N/A,#N/A,TRUE,"STEEL";#N/A,#N/A,TRUE,"INT-Table";#N/A,#N/A,TRUE,"STEEL";#N/A,#N/A,TRUE,"Door"}</definedName>
    <definedName name="dgagd" localSheetId="8" hidden="1">{#N/A,#N/A,TRUE,"Basic";#N/A,#N/A,TRUE,"EXT-TABLE";#N/A,#N/A,TRUE,"STEEL";#N/A,#N/A,TRUE,"INT-Table";#N/A,#N/A,TRUE,"STEEL";#N/A,#N/A,TRUE,"Door"}</definedName>
    <definedName name="dgagd" hidden="1">{#N/A,#N/A,TRUE,"Basic";#N/A,#N/A,TRUE,"EXT-TABLE";#N/A,#N/A,TRUE,"STEEL";#N/A,#N/A,TRUE,"INT-Table";#N/A,#N/A,TRUE,"STEEL";#N/A,#N/A,TRUE,"Door"}</definedName>
    <definedName name="DIGN" localSheetId="5" hidden="1">{#N/A,#N/A,TRUE,"Basic";#N/A,#N/A,TRUE,"EXT-TABLE";#N/A,#N/A,TRUE,"STEEL";#N/A,#N/A,TRUE,"INT-Table";#N/A,#N/A,TRUE,"STEEL";#N/A,#N/A,TRUE,"Door"}</definedName>
    <definedName name="DIGN" localSheetId="11" hidden="1">{#N/A,#N/A,TRUE,"Basic";#N/A,#N/A,TRUE,"EXT-TABLE";#N/A,#N/A,TRUE,"STEEL";#N/A,#N/A,TRUE,"INT-Table";#N/A,#N/A,TRUE,"STEEL";#N/A,#N/A,TRUE,"Door"}</definedName>
    <definedName name="DIGN" localSheetId="6" hidden="1">{#N/A,#N/A,TRUE,"Basic";#N/A,#N/A,TRUE,"EXT-TABLE";#N/A,#N/A,TRUE,"STEEL";#N/A,#N/A,TRUE,"INT-Table";#N/A,#N/A,TRUE,"STEEL";#N/A,#N/A,TRUE,"Door"}</definedName>
    <definedName name="DIGN" localSheetId="12" hidden="1">{#N/A,#N/A,TRUE,"Basic";#N/A,#N/A,TRUE,"EXT-TABLE";#N/A,#N/A,TRUE,"STEEL";#N/A,#N/A,TRUE,"INT-Table";#N/A,#N/A,TRUE,"STEEL";#N/A,#N/A,TRUE,"Door"}</definedName>
    <definedName name="DIGN" localSheetId="7" hidden="1">{#N/A,#N/A,TRUE,"Basic";#N/A,#N/A,TRUE,"EXT-TABLE";#N/A,#N/A,TRUE,"STEEL";#N/A,#N/A,TRUE,"INT-Table";#N/A,#N/A,TRUE,"STEEL";#N/A,#N/A,TRUE,"Door"}</definedName>
    <definedName name="DIGN" localSheetId="13" hidden="1">{#N/A,#N/A,TRUE,"Basic";#N/A,#N/A,TRUE,"EXT-TABLE";#N/A,#N/A,TRUE,"STEEL";#N/A,#N/A,TRUE,"INT-Table";#N/A,#N/A,TRUE,"STEEL";#N/A,#N/A,TRUE,"Door"}</definedName>
    <definedName name="DIGN" localSheetId="8" hidden="1">{#N/A,#N/A,TRUE,"Basic";#N/A,#N/A,TRUE,"EXT-TABLE";#N/A,#N/A,TRUE,"STEEL";#N/A,#N/A,TRUE,"INT-Table";#N/A,#N/A,TRUE,"STEEL";#N/A,#N/A,TRUE,"Door"}</definedName>
    <definedName name="DIGN" hidden="1">{#N/A,#N/A,TRUE,"Basic";#N/A,#N/A,TRUE,"EXT-TABLE";#N/A,#N/A,TRUE,"STEEL";#N/A,#N/A,TRUE,"INT-Table";#N/A,#N/A,TRUE,"STEEL";#N/A,#N/A,TRUE,"Door"}</definedName>
    <definedName name="DKDLFJKDS" localSheetId="5" hidden="1">{#N/A,#N/A,TRUE,"Basic";#N/A,#N/A,TRUE,"EXT-TABLE";#N/A,#N/A,TRUE,"STEEL";#N/A,#N/A,TRUE,"INT-Table";#N/A,#N/A,TRUE,"STEEL";#N/A,#N/A,TRUE,"Door"}</definedName>
    <definedName name="DKDLFJKDS" localSheetId="11" hidden="1">{#N/A,#N/A,TRUE,"Basic";#N/A,#N/A,TRUE,"EXT-TABLE";#N/A,#N/A,TRUE,"STEEL";#N/A,#N/A,TRUE,"INT-Table";#N/A,#N/A,TRUE,"STEEL";#N/A,#N/A,TRUE,"Door"}</definedName>
    <definedName name="DKDLFJKDS" localSheetId="6" hidden="1">{#N/A,#N/A,TRUE,"Basic";#N/A,#N/A,TRUE,"EXT-TABLE";#N/A,#N/A,TRUE,"STEEL";#N/A,#N/A,TRUE,"INT-Table";#N/A,#N/A,TRUE,"STEEL";#N/A,#N/A,TRUE,"Door"}</definedName>
    <definedName name="DKDLFJKDS" localSheetId="12" hidden="1">{#N/A,#N/A,TRUE,"Basic";#N/A,#N/A,TRUE,"EXT-TABLE";#N/A,#N/A,TRUE,"STEEL";#N/A,#N/A,TRUE,"INT-Table";#N/A,#N/A,TRUE,"STEEL";#N/A,#N/A,TRUE,"Door"}</definedName>
    <definedName name="DKDLFJKDS" localSheetId="7" hidden="1">{#N/A,#N/A,TRUE,"Basic";#N/A,#N/A,TRUE,"EXT-TABLE";#N/A,#N/A,TRUE,"STEEL";#N/A,#N/A,TRUE,"INT-Table";#N/A,#N/A,TRUE,"STEEL";#N/A,#N/A,TRUE,"Door"}</definedName>
    <definedName name="DKDLFJKDS" localSheetId="13" hidden="1">{#N/A,#N/A,TRUE,"Basic";#N/A,#N/A,TRUE,"EXT-TABLE";#N/A,#N/A,TRUE,"STEEL";#N/A,#N/A,TRUE,"INT-Table";#N/A,#N/A,TRUE,"STEEL";#N/A,#N/A,TRUE,"Door"}</definedName>
    <definedName name="DKDLFJKDS" localSheetId="8" hidden="1">{#N/A,#N/A,TRUE,"Basic";#N/A,#N/A,TRUE,"EXT-TABLE";#N/A,#N/A,TRUE,"STEEL";#N/A,#N/A,TRUE,"INT-Table";#N/A,#N/A,TRUE,"STEEL";#N/A,#N/A,TRUE,"Door"}</definedName>
    <definedName name="DKDLFJKDS" hidden="1">{#N/A,#N/A,TRUE,"Basic";#N/A,#N/A,TRUE,"EXT-TABLE";#N/A,#N/A,TRUE,"STEEL";#N/A,#N/A,TRUE,"INT-Table";#N/A,#N/A,TRUE,"STEEL";#N/A,#N/A,TRUE,"Door"}</definedName>
    <definedName name="DpFKDL" localSheetId="11" hidden="1">{#N/A,#N/A,FALSE,"이태원철근"}</definedName>
    <definedName name="DpFKDL" localSheetId="12" hidden="1">{#N/A,#N/A,FALSE,"이태원철근"}</definedName>
    <definedName name="DpFKDL" localSheetId="13" hidden="1">{#N/A,#N/A,FALSE,"이태원철근"}</definedName>
    <definedName name="DpFKDL" localSheetId="8" hidden="1">{#N/A,#N/A,FALSE,"이태원철근"}</definedName>
    <definedName name="DpFKDL" hidden="1">{#N/A,#N/A,FALSE,"이태원철근"}</definedName>
    <definedName name="dwv" localSheetId="5" hidden="1">{#N/A,#N/A,TRUE,"Basic";#N/A,#N/A,TRUE,"EXT-TABLE";#N/A,#N/A,TRUE,"STEEL";#N/A,#N/A,TRUE,"INT-Table";#N/A,#N/A,TRUE,"STEEL";#N/A,#N/A,TRUE,"Door"}</definedName>
    <definedName name="dwv" localSheetId="11" hidden="1">{#N/A,#N/A,TRUE,"Basic";#N/A,#N/A,TRUE,"EXT-TABLE";#N/A,#N/A,TRUE,"STEEL";#N/A,#N/A,TRUE,"INT-Table";#N/A,#N/A,TRUE,"STEEL";#N/A,#N/A,TRUE,"Door"}</definedName>
    <definedName name="dwv" localSheetId="6" hidden="1">{#N/A,#N/A,TRUE,"Basic";#N/A,#N/A,TRUE,"EXT-TABLE";#N/A,#N/A,TRUE,"STEEL";#N/A,#N/A,TRUE,"INT-Table";#N/A,#N/A,TRUE,"STEEL";#N/A,#N/A,TRUE,"Door"}</definedName>
    <definedName name="dwv" localSheetId="12" hidden="1">{#N/A,#N/A,TRUE,"Basic";#N/A,#N/A,TRUE,"EXT-TABLE";#N/A,#N/A,TRUE,"STEEL";#N/A,#N/A,TRUE,"INT-Table";#N/A,#N/A,TRUE,"STEEL";#N/A,#N/A,TRUE,"Door"}</definedName>
    <definedName name="dwv" localSheetId="7" hidden="1">{#N/A,#N/A,TRUE,"Basic";#N/A,#N/A,TRUE,"EXT-TABLE";#N/A,#N/A,TRUE,"STEEL";#N/A,#N/A,TRUE,"INT-Table";#N/A,#N/A,TRUE,"STEEL";#N/A,#N/A,TRUE,"Door"}</definedName>
    <definedName name="dwv" localSheetId="13" hidden="1">{#N/A,#N/A,TRUE,"Basic";#N/A,#N/A,TRUE,"EXT-TABLE";#N/A,#N/A,TRUE,"STEEL";#N/A,#N/A,TRUE,"INT-Table";#N/A,#N/A,TRUE,"STEEL";#N/A,#N/A,TRUE,"Door"}</definedName>
    <definedName name="dwv" localSheetId="8" hidden="1">{#N/A,#N/A,TRUE,"Basic";#N/A,#N/A,TRUE,"EXT-TABLE";#N/A,#N/A,TRUE,"STEEL";#N/A,#N/A,TRUE,"INT-Table";#N/A,#N/A,TRUE,"STEEL";#N/A,#N/A,TRUE,"Door"}</definedName>
    <definedName name="dwv" hidden="1">{#N/A,#N/A,TRUE,"Basic";#N/A,#N/A,TRUE,"EXT-TABLE";#N/A,#N/A,TRUE,"STEEL";#N/A,#N/A,TRUE,"INT-Table";#N/A,#N/A,TRUE,"STEEL";#N/A,#N/A,TRUE,"Door"}</definedName>
    <definedName name="EEEE" localSheetId="5" hidden="1">{#N/A,#N/A,TRUE,"Basic";#N/A,#N/A,TRUE,"EXT-TABLE";#N/A,#N/A,TRUE,"STEEL";#N/A,#N/A,TRUE,"INT-Table";#N/A,#N/A,TRUE,"STEEL";#N/A,#N/A,TRUE,"Door"}</definedName>
    <definedName name="EEEE" localSheetId="11" hidden="1">{#N/A,#N/A,TRUE,"Basic";#N/A,#N/A,TRUE,"EXT-TABLE";#N/A,#N/A,TRUE,"STEEL";#N/A,#N/A,TRUE,"INT-Table";#N/A,#N/A,TRUE,"STEEL";#N/A,#N/A,TRUE,"Door"}</definedName>
    <definedName name="EEEE" localSheetId="6" hidden="1">{#N/A,#N/A,TRUE,"Basic";#N/A,#N/A,TRUE,"EXT-TABLE";#N/A,#N/A,TRUE,"STEEL";#N/A,#N/A,TRUE,"INT-Table";#N/A,#N/A,TRUE,"STEEL";#N/A,#N/A,TRUE,"Door"}</definedName>
    <definedName name="EEEE" localSheetId="12" hidden="1">{#N/A,#N/A,TRUE,"Basic";#N/A,#N/A,TRUE,"EXT-TABLE";#N/A,#N/A,TRUE,"STEEL";#N/A,#N/A,TRUE,"INT-Table";#N/A,#N/A,TRUE,"STEEL";#N/A,#N/A,TRUE,"Door"}</definedName>
    <definedName name="EEEE" localSheetId="7" hidden="1">{#N/A,#N/A,TRUE,"Basic";#N/A,#N/A,TRUE,"EXT-TABLE";#N/A,#N/A,TRUE,"STEEL";#N/A,#N/A,TRUE,"INT-Table";#N/A,#N/A,TRUE,"STEEL";#N/A,#N/A,TRUE,"Door"}</definedName>
    <definedName name="EEEE" localSheetId="13" hidden="1">{#N/A,#N/A,TRUE,"Basic";#N/A,#N/A,TRUE,"EXT-TABLE";#N/A,#N/A,TRUE,"STEEL";#N/A,#N/A,TRUE,"INT-Table";#N/A,#N/A,TRUE,"STEEL";#N/A,#N/A,TRUE,"Door"}</definedName>
    <definedName name="EEEE" localSheetId="8" hidden="1">{#N/A,#N/A,TRUE,"Basic";#N/A,#N/A,TRUE,"EXT-TABLE";#N/A,#N/A,TRUE,"STEEL";#N/A,#N/A,TRUE,"INT-Table";#N/A,#N/A,TRUE,"STEEL";#N/A,#N/A,TRUE,"Door"}</definedName>
    <definedName name="EEEE" hidden="1">{#N/A,#N/A,TRUE,"Basic";#N/A,#N/A,TRUE,"EXT-TABLE";#N/A,#N/A,TRUE,"STEEL";#N/A,#N/A,TRUE,"INT-Table";#N/A,#N/A,TRUE,"STEEL";#N/A,#N/A,TRUE,"Door"}</definedName>
    <definedName name="ERD" localSheetId="5" hidden="1">{#N/A,#N/A,TRUE,"Basic";#N/A,#N/A,TRUE,"EXT-TABLE";#N/A,#N/A,TRUE,"STEEL";#N/A,#N/A,TRUE,"INT-Table";#N/A,#N/A,TRUE,"STEEL";#N/A,#N/A,TRUE,"Door"}</definedName>
    <definedName name="ERD" localSheetId="11" hidden="1">{#N/A,#N/A,TRUE,"Basic";#N/A,#N/A,TRUE,"EXT-TABLE";#N/A,#N/A,TRUE,"STEEL";#N/A,#N/A,TRUE,"INT-Table";#N/A,#N/A,TRUE,"STEEL";#N/A,#N/A,TRUE,"Door"}</definedName>
    <definedName name="ERD" localSheetId="6" hidden="1">{#N/A,#N/A,TRUE,"Basic";#N/A,#N/A,TRUE,"EXT-TABLE";#N/A,#N/A,TRUE,"STEEL";#N/A,#N/A,TRUE,"INT-Table";#N/A,#N/A,TRUE,"STEEL";#N/A,#N/A,TRUE,"Door"}</definedName>
    <definedName name="ERD" localSheetId="12" hidden="1">{#N/A,#N/A,TRUE,"Basic";#N/A,#N/A,TRUE,"EXT-TABLE";#N/A,#N/A,TRUE,"STEEL";#N/A,#N/A,TRUE,"INT-Table";#N/A,#N/A,TRUE,"STEEL";#N/A,#N/A,TRUE,"Door"}</definedName>
    <definedName name="ERD" localSheetId="7" hidden="1">{#N/A,#N/A,TRUE,"Basic";#N/A,#N/A,TRUE,"EXT-TABLE";#N/A,#N/A,TRUE,"STEEL";#N/A,#N/A,TRUE,"INT-Table";#N/A,#N/A,TRUE,"STEEL";#N/A,#N/A,TRUE,"Door"}</definedName>
    <definedName name="ERD" localSheetId="13" hidden="1">{#N/A,#N/A,TRUE,"Basic";#N/A,#N/A,TRUE,"EXT-TABLE";#N/A,#N/A,TRUE,"STEEL";#N/A,#N/A,TRUE,"INT-Table";#N/A,#N/A,TRUE,"STEEL";#N/A,#N/A,TRUE,"Door"}</definedName>
    <definedName name="ERD" localSheetId="8" hidden="1">{#N/A,#N/A,TRUE,"Basic";#N/A,#N/A,TRUE,"EXT-TABLE";#N/A,#N/A,TRUE,"STEEL";#N/A,#N/A,TRUE,"INT-Table";#N/A,#N/A,TRUE,"STEEL";#N/A,#N/A,TRUE,"Door"}</definedName>
    <definedName name="ERD" hidden="1">{#N/A,#N/A,TRUE,"Basic";#N/A,#N/A,TRUE,"EXT-TABLE";#N/A,#N/A,TRUE,"STEEL";#N/A,#N/A,TRUE,"INT-Table";#N/A,#N/A,TRUE,"STEEL";#N/A,#N/A,TRUE,"Door"}</definedName>
    <definedName name="ErrName301948010" localSheetId="11" hidden="1">{0,0,0,0;0,0,0,0;0,0,0,0;0,0,0,0;0,0,0,0;0,0,0,0}</definedName>
    <definedName name="ErrName301948010" localSheetId="12" hidden="1">{0,0,0,0;0,0,0,0;0,0,0,0;0,0,0,0;0,0,0,0;0,0,0,0}</definedName>
    <definedName name="ErrName301948010" localSheetId="13" hidden="1">{0,0,0,0;0,0,0,0;0,0,0,0;0,0,0,0;0,0,0,0;0,0,0,0}</definedName>
    <definedName name="ErrName301948010" localSheetId="8" hidden="1">{0,0,0,0;0,0,0,0;0,0,0,0;0,0,0,0;0,0,0,0;0,0,0,0}</definedName>
    <definedName name="ErrName301948010" hidden="1">{0,0,0,0;0,0,0,0;0,0,0,0;0,0,0,0;0,0,0,0;0,0,0,0}</definedName>
    <definedName name="fasfsdfsdfasdfsdfsd" localSheetId="5" hidden="1">{#N/A,#N/A,TRUE,"Basic";#N/A,#N/A,TRUE,"EXT-TABLE";#N/A,#N/A,TRUE,"STEEL";#N/A,#N/A,TRUE,"INT-Table";#N/A,#N/A,TRUE,"STEEL";#N/A,#N/A,TRUE,"Door"}</definedName>
    <definedName name="fasfsdfsdfasdfsdfsd" localSheetId="11" hidden="1">{#N/A,#N/A,TRUE,"Basic";#N/A,#N/A,TRUE,"EXT-TABLE";#N/A,#N/A,TRUE,"STEEL";#N/A,#N/A,TRUE,"INT-Table";#N/A,#N/A,TRUE,"STEEL";#N/A,#N/A,TRUE,"Door"}</definedName>
    <definedName name="fasfsdfsdfasdfsdfsd" localSheetId="6" hidden="1">{#N/A,#N/A,TRUE,"Basic";#N/A,#N/A,TRUE,"EXT-TABLE";#N/A,#N/A,TRUE,"STEEL";#N/A,#N/A,TRUE,"INT-Table";#N/A,#N/A,TRUE,"STEEL";#N/A,#N/A,TRUE,"Door"}</definedName>
    <definedName name="fasfsdfsdfasdfsdfsd" localSheetId="12" hidden="1">{#N/A,#N/A,TRUE,"Basic";#N/A,#N/A,TRUE,"EXT-TABLE";#N/A,#N/A,TRUE,"STEEL";#N/A,#N/A,TRUE,"INT-Table";#N/A,#N/A,TRUE,"STEEL";#N/A,#N/A,TRUE,"Door"}</definedName>
    <definedName name="fasfsdfsdfasdfsdfsd" localSheetId="7" hidden="1">{#N/A,#N/A,TRUE,"Basic";#N/A,#N/A,TRUE,"EXT-TABLE";#N/A,#N/A,TRUE,"STEEL";#N/A,#N/A,TRUE,"INT-Table";#N/A,#N/A,TRUE,"STEEL";#N/A,#N/A,TRUE,"Door"}</definedName>
    <definedName name="fasfsdfsdfasdfsdfsd" localSheetId="13" hidden="1">{#N/A,#N/A,TRUE,"Basic";#N/A,#N/A,TRUE,"EXT-TABLE";#N/A,#N/A,TRUE,"STEEL";#N/A,#N/A,TRUE,"INT-Table";#N/A,#N/A,TRUE,"STEEL";#N/A,#N/A,TRUE,"Door"}</definedName>
    <definedName name="fasfsdfsdfasdfsdfsd" localSheetId="8" hidden="1">{#N/A,#N/A,TRUE,"Basic";#N/A,#N/A,TRUE,"EXT-TABLE";#N/A,#N/A,TRUE,"STEEL";#N/A,#N/A,TRUE,"INT-Table";#N/A,#N/A,TRUE,"STEEL";#N/A,#N/A,TRUE,"Door"}</definedName>
    <definedName name="fasfsdfsdfasdfsdfsd" hidden="1">{#N/A,#N/A,TRUE,"Basic";#N/A,#N/A,TRUE,"EXT-TABLE";#N/A,#N/A,TRUE,"STEEL";#N/A,#N/A,TRUE,"INT-Table";#N/A,#N/A,TRUE,"STEEL";#N/A,#N/A,TRUE,"Door"}</definedName>
    <definedName name="fdhg" localSheetId="11" hidden="1">{#N/A,#N/A,FALSE,"이태원철근"}</definedName>
    <definedName name="fdhg" localSheetId="12" hidden="1">{#N/A,#N/A,FALSE,"이태원철근"}</definedName>
    <definedName name="fdhg" localSheetId="13" hidden="1">{#N/A,#N/A,FALSE,"이태원철근"}</definedName>
    <definedName name="fdhg" localSheetId="8" hidden="1">{#N/A,#N/A,FALSE,"이태원철근"}</definedName>
    <definedName name="fdhg" hidden="1">{#N/A,#N/A,FALSE,"이태원철근"}</definedName>
    <definedName name="ffff" localSheetId="5" hidden="1">{#N/A,#N/A,TRUE,"Basic";#N/A,#N/A,TRUE,"EXT-TABLE";#N/A,#N/A,TRUE,"STEEL";#N/A,#N/A,TRUE,"INT-Table";#N/A,#N/A,TRUE,"STEEL";#N/A,#N/A,TRUE,"Door"}</definedName>
    <definedName name="ffff" localSheetId="11" hidden="1">{#N/A,#N/A,TRUE,"Basic";#N/A,#N/A,TRUE,"EXT-TABLE";#N/A,#N/A,TRUE,"STEEL";#N/A,#N/A,TRUE,"INT-Table";#N/A,#N/A,TRUE,"STEEL";#N/A,#N/A,TRUE,"Door"}</definedName>
    <definedName name="ffff" localSheetId="6" hidden="1">{#N/A,#N/A,TRUE,"Basic";#N/A,#N/A,TRUE,"EXT-TABLE";#N/A,#N/A,TRUE,"STEEL";#N/A,#N/A,TRUE,"INT-Table";#N/A,#N/A,TRUE,"STEEL";#N/A,#N/A,TRUE,"Door"}</definedName>
    <definedName name="ffff" localSheetId="12" hidden="1">{#N/A,#N/A,TRUE,"Basic";#N/A,#N/A,TRUE,"EXT-TABLE";#N/A,#N/A,TRUE,"STEEL";#N/A,#N/A,TRUE,"INT-Table";#N/A,#N/A,TRUE,"STEEL";#N/A,#N/A,TRUE,"Door"}</definedName>
    <definedName name="ffff" localSheetId="7" hidden="1">{#N/A,#N/A,TRUE,"Basic";#N/A,#N/A,TRUE,"EXT-TABLE";#N/A,#N/A,TRUE,"STEEL";#N/A,#N/A,TRUE,"INT-Table";#N/A,#N/A,TRUE,"STEEL";#N/A,#N/A,TRUE,"Door"}</definedName>
    <definedName name="ffff" localSheetId="13" hidden="1">{#N/A,#N/A,TRUE,"Basic";#N/A,#N/A,TRUE,"EXT-TABLE";#N/A,#N/A,TRUE,"STEEL";#N/A,#N/A,TRUE,"INT-Table";#N/A,#N/A,TRUE,"STEEL";#N/A,#N/A,TRUE,"Door"}</definedName>
    <definedName name="ffff" localSheetId="8" hidden="1">{#N/A,#N/A,TRUE,"Basic";#N/A,#N/A,TRUE,"EXT-TABLE";#N/A,#N/A,TRUE,"STEEL";#N/A,#N/A,TRUE,"INT-Table";#N/A,#N/A,TRUE,"STEEL";#N/A,#N/A,TRUE,"Door"}</definedName>
    <definedName name="ffff" hidden="1">{#N/A,#N/A,TRUE,"Basic";#N/A,#N/A,TRUE,"EXT-TABLE";#N/A,#N/A,TRUE,"STEEL";#N/A,#N/A,TRUE,"INT-Table";#N/A,#N/A,TRUE,"STEEL";#N/A,#N/A,TRUE,"Door"}</definedName>
    <definedName name="fffff" localSheetId="5" hidden="1">{#N/A,#N/A,TRUE,"Basic";#N/A,#N/A,TRUE,"EXT-TABLE";#N/A,#N/A,TRUE,"STEEL";#N/A,#N/A,TRUE,"INT-Table";#N/A,#N/A,TRUE,"STEEL";#N/A,#N/A,TRUE,"Door"}</definedName>
    <definedName name="fffff" localSheetId="11" hidden="1">{#N/A,#N/A,TRUE,"Basic";#N/A,#N/A,TRUE,"EXT-TABLE";#N/A,#N/A,TRUE,"STEEL";#N/A,#N/A,TRUE,"INT-Table";#N/A,#N/A,TRUE,"STEEL";#N/A,#N/A,TRUE,"Door"}</definedName>
    <definedName name="fffff" localSheetId="6" hidden="1">{#N/A,#N/A,TRUE,"Basic";#N/A,#N/A,TRUE,"EXT-TABLE";#N/A,#N/A,TRUE,"STEEL";#N/A,#N/A,TRUE,"INT-Table";#N/A,#N/A,TRUE,"STEEL";#N/A,#N/A,TRUE,"Door"}</definedName>
    <definedName name="fffff" localSheetId="12" hidden="1">{#N/A,#N/A,TRUE,"Basic";#N/A,#N/A,TRUE,"EXT-TABLE";#N/A,#N/A,TRUE,"STEEL";#N/A,#N/A,TRUE,"INT-Table";#N/A,#N/A,TRUE,"STEEL";#N/A,#N/A,TRUE,"Door"}</definedName>
    <definedName name="fffff" localSheetId="7" hidden="1">{#N/A,#N/A,TRUE,"Basic";#N/A,#N/A,TRUE,"EXT-TABLE";#N/A,#N/A,TRUE,"STEEL";#N/A,#N/A,TRUE,"INT-Table";#N/A,#N/A,TRUE,"STEEL";#N/A,#N/A,TRUE,"Door"}</definedName>
    <definedName name="fffff" localSheetId="13" hidden="1">{#N/A,#N/A,TRUE,"Basic";#N/A,#N/A,TRUE,"EXT-TABLE";#N/A,#N/A,TRUE,"STEEL";#N/A,#N/A,TRUE,"INT-Table";#N/A,#N/A,TRUE,"STEEL";#N/A,#N/A,TRUE,"Door"}</definedName>
    <definedName name="fffff" localSheetId="8" hidden="1">{#N/A,#N/A,TRUE,"Basic";#N/A,#N/A,TRUE,"EXT-TABLE";#N/A,#N/A,TRUE,"STEEL";#N/A,#N/A,TRUE,"INT-Table";#N/A,#N/A,TRUE,"STEEL";#N/A,#N/A,TRUE,"Door"}</definedName>
    <definedName name="fffff" hidden="1">{#N/A,#N/A,TRUE,"Basic";#N/A,#N/A,TRUE,"EXT-TABLE";#N/A,#N/A,TRUE,"STEEL";#N/A,#N/A,TRUE,"INT-Table";#N/A,#N/A,TRUE,"STEEL";#N/A,#N/A,TRUE,"Door"}</definedName>
    <definedName name="fsda" localSheetId="5" hidden="1">{#N/A,#N/A,TRUE,"Basic";#N/A,#N/A,TRUE,"EXT-TABLE";#N/A,#N/A,TRUE,"STEEL";#N/A,#N/A,TRUE,"INT-Table";#N/A,#N/A,TRUE,"STEEL";#N/A,#N/A,TRUE,"Door"}</definedName>
    <definedName name="fsda" localSheetId="11" hidden="1">{#N/A,#N/A,TRUE,"Basic";#N/A,#N/A,TRUE,"EXT-TABLE";#N/A,#N/A,TRUE,"STEEL";#N/A,#N/A,TRUE,"INT-Table";#N/A,#N/A,TRUE,"STEEL";#N/A,#N/A,TRUE,"Door"}</definedName>
    <definedName name="fsda" localSheetId="6" hidden="1">{#N/A,#N/A,TRUE,"Basic";#N/A,#N/A,TRUE,"EXT-TABLE";#N/A,#N/A,TRUE,"STEEL";#N/A,#N/A,TRUE,"INT-Table";#N/A,#N/A,TRUE,"STEEL";#N/A,#N/A,TRUE,"Door"}</definedName>
    <definedName name="fsda" localSheetId="12" hidden="1">{#N/A,#N/A,TRUE,"Basic";#N/A,#N/A,TRUE,"EXT-TABLE";#N/A,#N/A,TRUE,"STEEL";#N/A,#N/A,TRUE,"INT-Table";#N/A,#N/A,TRUE,"STEEL";#N/A,#N/A,TRUE,"Door"}</definedName>
    <definedName name="fsda" localSheetId="7" hidden="1">{#N/A,#N/A,TRUE,"Basic";#N/A,#N/A,TRUE,"EXT-TABLE";#N/A,#N/A,TRUE,"STEEL";#N/A,#N/A,TRUE,"INT-Table";#N/A,#N/A,TRUE,"STEEL";#N/A,#N/A,TRUE,"Door"}</definedName>
    <definedName name="fsda" localSheetId="13" hidden="1">{#N/A,#N/A,TRUE,"Basic";#N/A,#N/A,TRUE,"EXT-TABLE";#N/A,#N/A,TRUE,"STEEL";#N/A,#N/A,TRUE,"INT-Table";#N/A,#N/A,TRUE,"STEEL";#N/A,#N/A,TRUE,"Door"}</definedName>
    <definedName name="fsda" localSheetId="8" hidden="1">{#N/A,#N/A,TRUE,"Basic";#N/A,#N/A,TRUE,"EXT-TABLE";#N/A,#N/A,TRUE,"STEEL";#N/A,#N/A,TRUE,"INT-Table";#N/A,#N/A,TRUE,"STEEL";#N/A,#N/A,TRUE,"Door"}</definedName>
    <definedName name="fsda" hidden="1">{#N/A,#N/A,TRUE,"Basic";#N/A,#N/A,TRUE,"EXT-TABLE";#N/A,#N/A,TRUE,"STEEL";#N/A,#N/A,TRUE,"INT-Table";#N/A,#N/A,TRUE,"STEEL";#N/A,#N/A,TRUE,"Door"}</definedName>
    <definedName name="Furniture" localSheetId="11" hidden="1">{#N/A,#N/A,TRUE,"Basic";#N/A,#N/A,TRUE,"EXT-TABLE";#N/A,#N/A,TRUE,"STEEL";#N/A,#N/A,TRUE,"INT-Table";#N/A,#N/A,TRUE,"STEEL";#N/A,#N/A,TRUE,"Door"}</definedName>
    <definedName name="Furniture" localSheetId="12" hidden="1">{#N/A,#N/A,TRUE,"Basic";#N/A,#N/A,TRUE,"EXT-TABLE";#N/A,#N/A,TRUE,"STEEL";#N/A,#N/A,TRUE,"INT-Table";#N/A,#N/A,TRUE,"STEEL";#N/A,#N/A,TRUE,"Door"}</definedName>
    <definedName name="Furniture" localSheetId="13" hidden="1">{#N/A,#N/A,TRUE,"Basic";#N/A,#N/A,TRUE,"EXT-TABLE";#N/A,#N/A,TRUE,"STEEL";#N/A,#N/A,TRUE,"INT-Table";#N/A,#N/A,TRUE,"STEEL";#N/A,#N/A,TRUE,"Door"}</definedName>
    <definedName name="Furniture" localSheetId="8" hidden="1">{#N/A,#N/A,TRUE,"Basic";#N/A,#N/A,TRUE,"EXT-TABLE";#N/A,#N/A,TRUE,"STEEL";#N/A,#N/A,TRUE,"INT-Table";#N/A,#N/A,TRUE,"STEEL";#N/A,#N/A,TRUE,"Door"}</definedName>
    <definedName name="Furniture" hidden="1">{#N/A,#N/A,TRUE,"Basic";#N/A,#N/A,TRUE,"EXT-TABLE";#N/A,#N/A,TRUE,"STEEL";#N/A,#N/A,TRUE,"INT-Table";#N/A,#N/A,TRUE,"STEEL";#N/A,#N/A,TRUE,"Door"}</definedName>
    <definedName name="gfsfg" localSheetId="11" hidden="1">{#N/A,#N/A,FALSE,"이태원철근"}</definedName>
    <definedName name="gfsfg" localSheetId="12" hidden="1">{#N/A,#N/A,FALSE,"이태원철근"}</definedName>
    <definedName name="gfsfg" localSheetId="13" hidden="1">{#N/A,#N/A,FALSE,"이태원철근"}</definedName>
    <definedName name="gfsfg" localSheetId="8" hidden="1">{#N/A,#N/A,FALSE,"이태원철근"}</definedName>
    <definedName name="gfsfg" hidden="1">{#N/A,#N/A,FALSE,"이태원철근"}</definedName>
    <definedName name="ghdghdg" localSheetId="11" hidden="1">{#N/A,#N/A,FALSE,"이태원철근"}</definedName>
    <definedName name="ghdghdg" localSheetId="12" hidden="1">{#N/A,#N/A,FALSE,"이태원철근"}</definedName>
    <definedName name="ghdghdg" localSheetId="13" hidden="1">{#N/A,#N/A,FALSE,"이태원철근"}</definedName>
    <definedName name="ghdghdg" localSheetId="8" hidden="1">{#N/A,#N/A,FALSE,"이태원철근"}</definedName>
    <definedName name="ghdghdg" hidden="1">{#N/A,#N/A,FALSE,"이태원철근"}</definedName>
    <definedName name="HEDAL" localSheetId="11" hidden="1">{#N/A,#N/A,FALSE,"TABLE"}</definedName>
    <definedName name="HEDAL" localSheetId="12" hidden="1">{#N/A,#N/A,FALSE,"TABLE"}</definedName>
    <definedName name="HEDAL" localSheetId="13" hidden="1">{#N/A,#N/A,FALSE,"TABLE"}</definedName>
    <definedName name="HEDAL" localSheetId="8" hidden="1">{#N/A,#N/A,FALSE,"TABLE"}</definedName>
    <definedName name="HEDAL" hidden="1">{#N/A,#N/A,FALSE,"TABLE"}</definedName>
    <definedName name="HHH" localSheetId="5" hidden="1">{#N/A,#N/A,TRUE,"Basic";#N/A,#N/A,TRUE,"EXT-TABLE";#N/A,#N/A,TRUE,"STEEL";#N/A,#N/A,TRUE,"INT-Table";#N/A,#N/A,TRUE,"STEEL";#N/A,#N/A,TRUE,"Door"}</definedName>
    <definedName name="HHH" localSheetId="11" hidden="1">{#N/A,#N/A,TRUE,"Basic";#N/A,#N/A,TRUE,"EXT-TABLE";#N/A,#N/A,TRUE,"STEEL";#N/A,#N/A,TRUE,"INT-Table";#N/A,#N/A,TRUE,"STEEL";#N/A,#N/A,TRUE,"Door"}</definedName>
    <definedName name="HHH" localSheetId="6" hidden="1">{#N/A,#N/A,TRUE,"Basic";#N/A,#N/A,TRUE,"EXT-TABLE";#N/A,#N/A,TRUE,"STEEL";#N/A,#N/A,TRUE,"INT-Table";#N/A,#N/A,TRUE,"STEEL";#N/A,#N/A,TRUE,"Door"}</definedName>
    <definedName name="HHH" localSheetId="12" hidden="1">{#N/A,#N/A,TRUE,"Basic";#N/A,#N/A,TRUE,"EXT-TABLE";#N/A,#N/A,TRUE,"STEEL";#N/A,#N/A,TRUE,"INT-Table";#N/A,#N/A,TRUE,"STEEL";#N/A,#N/A,TRUE,"Door"}</definedName>
    <definedName name="HHH" localSheetId="7" hidden="1">{#N/A,#N/A,TRUE,"Basic";#N/A,#N/A,TRUE,"EXT-TABLE";#N/A,#N/A,TRUE,"STEEL";#N/A,#N/A,TRUE,"INT-Table";#N/A,#N/A,TRUE,"STEEL";#N/A,#N/A,TRUE,"Door"}</definedName>
    <definedName name="HHH" localSheetId="13" hidden="1">{#N/A,#N/A,TRUE,"Basic";#N/A,#N/A,TRUE,"EXT-TABLE";#N/A,#N/A,TRUE,"STEEL";#N/A,#N/A,TRUE,"INT-Table";#N/A,#N/A,TRUE,"STEEL";#N/A,#N/A,TRUE,"Door"}</definedName>
    <definedName name="HHH" localSheetId="8" hidden="1">{#N/A,#N/A,TRUE,"Basic";#N/A,#N/A,TRUE,"EXT-TABLE";#N/A,#N/A,TRUE,"STEEL";#N/A,#N/A,TRUE,"INT-Table";#N/A,#N/A,TRUE,"STEEL";#N/A,#N/A,TRUE,"Door"}</definedName>
    <definedName name="HHH" hidden="1">{#N/A,#N/A,TRUE,"Basic";#N/A,#N/A,TRUE,"EXT-TABLE";#N/A,#N/A,TRUE,"STEEL";#N/A,#N/A,TRUE,"INT-Table";#N/A,#N/A,TRUE,"STEEL";#N/A,#N/A,TRUE,"Door"}</definedName>
    <definedName name="hik" localSheetId="11" hidden="1">{#N/A,#N/A,FALSE,"TABLE"}</definedName>
    <definedName name="hik" localSheetId="12" hidden="1">{#N/A,#N/A,FALSE,"TABLE"}</definedName>
    <definedName name="hik" localSheetId="13" hidden="1">{#N/A,#N/A,FALSE,"TABLE"}</definedName>
    <definedName name="hik" localSheetId="8" hidden="1">{#N/A,#N/A,FALSE,"TABLE"}</definedName>
    <definedName name="hik" hidden="1">{#N/A,#N/A,FALSE,"TABLE"}</definedName>
    <definedName name="HJK" localSheetId="11" hidden="1">{#N/A,#N/A,FALSE,"이태원철근"}</definedName>
    <definedName name="HJK" localSheetId="12" hidden="1">{#N/A,#N/A,FALSE,"이태원철근"}</definedName>
    <definedName name="HJK" localSheetId="13" hidden="1">{#N/A,#N/A,FALSE,"이태원철근"}</definedName>
    <definedName name="HJK" localSheetId="8" hidden="1">{#N/A,#N/A,FALSE,"이태원철근"}</definedName>
    <definedName name="HJK" hidden="1">{#N/A,#N/A,FALSE,"이태원철근"}</definedName>
    <definedName name="ho" localSheetId="11" hidden="1">{#N/A,#N/A,FALSE,"TABLE"}</definedName>
    <definedName name="ho" localSheetId="12" hidden="1">{#N/A,#N/A,FALSE,"TABLE"}</definedName>
    <definedName name="ho" localSheetId="13" hidden="1">{#N/A,#N/A,FALSE,"TABLE"}</definedName>
    <definedName name="ho" localSheetId="8" hidden="1">{#N/A,#N/A,FALSE,"TABLE"}</definedName>
    <definedName name="ho" hidden="1">{#N/A,#N/A,FALSE,"TABLE"}</definedName>
    <definedName name="HTML_CodePage" hidden="1">949</definedName>
    <definedName name="HTML_Control" localSheetId="5" hidden="1">{"'Total_curve(ABT)'!$A$1:$AN$60"}</definedName>
    <definedName name="HTML_Control" localSheetId="11" hidden="1">{"'Total_curve(ABT)'!$A$1:$AN$60"}</definedName>
    <definedName name="HTML_Control" localSheetId="6" hidden="1">{"'Total_curve(ABT)'!$A$1:$AN$60"}</definedName>
    <definedName name="HTML_Control" localSheetId="12" hidden="1">{"'Total_curve(ABT)'!$A$1:$AN$60"}</definedName>
    <definedName name="HTML_Control" localSheetId="7" hidden="1">{"'Total_curve(ABT)'!$A$1:$AN$60"}</definedName>
    <definedName name="HTML_Control" localSheetId="13" hidden="1">{"'Total_curve(ABT)'!$A$1:$AN$60"}</definedName>
    <definedName name="HTML_Control" localSheetId="8" hidden="1">{"'Total_curve(ABT)'!$A$1:$AN$60"}</definedName>
    <definedName name="HTML_Control" hidden="1">{"'Total_curve(ABT)'!$A$1:$AN$60"}</definedName>
    <definedName name="HTML_Description" hidden="1">""</definedName>
    <definedName name="HTML_Email" hidden="1">""</definedName>
    <definedName name="HTML_Header" hidden="1">"Total_curve(ABT)"</definedName>
    <definedName name="HTML_LastUpdate" hidden="1">"02-05-09"</definedName>
    <definedName name="HTML_LineAfter" hidden="1">FALSE</definedName>
    <definedName name="HTML_LineBefore" hidden="1">FALSE</definedName>
    <definedName name="HTML_Name" hidden="1">"하상용"</definedName>
    <definedName name="HTML_OBDlg2" hidden="1">TRUE</definedName>
    <definedName name="HTML_OBDlg4" hidden="1">TRUE</definedName>
    <definedName name="HTML_OS" hidden="1">0</definedName>
    <definedName name="HTML_PathFile" hidden="1">"C:\My Documents\MyHTML.htm"</definedName>
    <definedName name="HTML_Title" hidden="1">"0509Scurve"</definedName>
    <definedName name="HTR" localSheetId="11" hidden="1">{#N/A,#N/A,FALSE,"이태원철근"}</definedName>
    <definedName name="HTR" localSheetId="12" hidden="1">{#N/A,#N/A,FALSE,"이태원철근"}</definedName>
    <definedName name="HTR" localSheetId="13" hidden="1">{#N/A,#N/A,FALSE,"이태원철근"}</definedName>
    <definedName name="HTR" localSheetId="8" hidden="1">{#N/A,#N/A,FALSE,"이태원철근"}</definedName>
    <definedName name="HTR" hidden="1">{#N/A,#N/A,FALSE,"이태원철근"}</definedName>
    <definedName name="IC" localSheetId="5" hidden="1">#REF!</definedName>
    <definedName name="IC" localSheetId="11" hidden="1">#REF!</definedName>
    <definedName name="IC" localSheetId="6" hidden="1">#REF!</definedName>
    <definedName name="IC" localSheetId="12" hidden="1">#REF!</definedName>
    <definedName name="IC" localSheetId="7" hidden="1">#REF!</definedName>
    <definedName name="IC" localSheetId="13" hidden="1">#REF!</definedName>
    <definedName name="IC" localSheetId="8" hidden="1">#REF!</definedName>
    <definedName name="IC" hidden="1">#REF!</definedName>
    <definedName name="intel" localSheetId="11" hidden="1">{#N/A,#N/A,FALSE,"TABLE"}</definedName>
    <definedName name="intel" localSheetId="12" hidden="1">{#N/A,#N/A,FALSE,"TABLE"}</definedName>
    <definedName name="intel" localSheetId="13" hidden="1">{#N/A,#N/A,FALSE,"TABLE"}</definedName>
    <definedName name="intel" localSheetId="8" hidden="1">{#N/A,#N/A,FALSE,"TABLE"}</definedName>
    <definedName name="intel" hidden="1">{#N/A,#N/A,FALSE,"TABLE"}</definedName>
    <definedName name="JKK" localSheetId="11" hidden="1">{#N/A,#N/A,FALSE,"TABLE"}</definedName>
    <definedName name="JKK" localSheetId="12" hidden="1">{#N/A,#N/A,FALSE,"TABLE"}</definedName>
    <definedName name="JKK" localSheetId="13" hidden="1">{#N/A,#N/A,FALSE,"TABLE"}</definedName>
    <definedName name="JKK" localSheetId="8" hidden="1">{#N/A,#N/A,FALSE,"TABLE"}</definedName>
    <definedName name="JKK" hidden="1">{#N/A,#N/A,FALSE,"TABLE"}</definedName>
    <definedName name="JY" localSheetId="5" hidden="1">#REF!</definedName>
    <definedName name="JY" localSheetId="11" hidden="1">#REF!</definedName>
    <definedName name="JY" localSheetId="6" hidden="1">#REF!</definedName>
    <definedName name="JY" localSheetId="12" hidden="1">#REF!</definedName>
    <definedName name="JY" localSheetId="7" hidden="1">#REF!</definedName>
    <definedName name="JY" localSheetId="13" hidden="1">#REF!</definedName>
    <definedName name="JY" localSheetId="8" hidden="1">#REF!</definedName>
    <definedName name="JY" hidden="1">#REF!</definedName>
    <definedName name="kj" localSheetId="5" hidden="1">#REF!</definedName>
    <definedName name="kj" localSheetId="11" hidden="1">#REF!</definedName>
    <definedName name="kj" localSheetId="6" hidden="1">#REF!</definedName>
    <definedName name="kj" localSheetId="12" hidden="1">#REF!</definedName>
    <definedName name="kj" localSheetId="7" hidden="1">#REF!</definedName>
    <definedName name="kj" localSheetId="13" hidden="1">#REF!</definedName>
    <definedName name="kj" hidden="1">#REF!</definedName>
    <definedName name="KKK" localSheetId="11" hidden="1">{#N/A,#N/A,FALSE,"TABLE"}</definedName>
    <definedName name="KKK" localSheetId="12" hidden="1">{#N/A,#N/A,FALSE,"TABLE"}</definedName>
    <definedName name="KKK" localSheetId="13" hidden="1">{#N/A,#N/A,FALSE,"TABLE"}</definedName>
    <definedName name="KKK" localSheetId="8" hidden="1">{#N/A,#N/A,FALSE,"TABLE"}</definedName>
    <definedName name="KKK" hidden="1">{#N/A,#N/A,FALSE,"TABLE"}</definedName>
    <definedName name="list" localSheetId="5" hidden="1">{#N/A,#N/A,TRUE,"Basic";#N/A,#N/A,TRUE,"EXT-TABLE";#N/A,#N/A,TRUE,"STEEL";#N/A,#N/A,TRUE,"INT-Table";#N/A,#N/A,TRUE,"STEEL";#N/A,#N/A,TRUE,"Door"}</definedName>
    <definedName name="list" localSheetId="11" hidden="1">{#N/A,#N/A,TRUE,"Basic";#N/A,#N/A,TRUE,"EXT-TABLE";#N/A,#N/A,TRUE,"STEEL";#N/A,#N/A,TRUE,"INT-Table";#N/A,#N/A,TRUE,"STEEL";#N/A,#N/A,TRUE,"Door"}</definedName>
    <definedName name="list" localSheetId="6" hidden="1">{#N/A,#N/A,TRUE,"Basic";#N/A,#N/A,TRUE,"EXT-TABLE";#N/A,#N/A,TRUE,"STEEL";#N/A,#N/A,TRUE,"INT-Table";#N/A,#N/A,TRUE,"STEEL";#N/A,#N/A,TRUE,"Door"}</definedName>
    <definedName name="list" localSheetId="12" hidden="1">{#N/A,#N/A,TRUE,"Basic";#N/A,#N/A,TRUE,"EXT-TABLE";#N/A,#N/A,TRUE,"STEEL";#N/A,#N/A,TRUE,"INT-Table";#N/A,#N/A,TRUE,"STEEL";#N/A,#N/A,TRUE,"Door"}</definedName>
    <definedName name="list" localSheetId="7" hidden="1">{#N/A,#N/A,TRUE,"Basic";#N/A,#N/A,TRUE,"EXT-TABLE";#N/A,#N/A,TRUE,"STEEL";#N/A,#N/A,TRUE,"INT-Table";#N/A,#N/A,TRUE,"STEEL";#N/A,#N/A,TRUE,"Door"}</definedName>
    <definedName name="list" localSheetId="13" hidden="1">{#N/A,#N/A,TRUE,"Basic";#N/A,#N/A,TRUE,"EXT-TABLE";#N/A,#N/A,TRUE,"STEEL";#N/A,#N/A,TRUE,"INT-Table";#N/A,#N/A,TRUE,"STEEL";#N/A,#N/A,TRUE,"Door"}</definedName>
    <definedName name="list" localSheetId="8" hidden="1">{#N/A,#N/A,TRUE,"Basic";#N/A,#N/A,TRUE,"EXT-TABLE";#N/A,#N/A,TRUE,"STEEL";#N/A,#N/A,TRUE,"INT-Table";#N/A,#N/A,TRUE,"STEEL";#N/A,#N/A,TRUE,"Door"}</definedName>
    <definedName name="list" hidden="1">{#N/A,#N/A,TRUE,"Basic";#N/A,#N/A,TRUE,"EXT-TABLE";#N/A,#N/A,TRUE,"STEEL";#N/A,#N/A,TRUE,"INT-Table";#N/A,#N/A,TRUE,"STEEL";#N/A,#N/A,TRUE,"Door"}</definedName>
    <definedName name="list01" localSheetId="5" hidden="1">{#N/A,#N/A,TRUE,"Basic";#N/A,#N/A,TRUE,"EXT-TABLE";#N/A,#N/A,TRUE,"STEEL";#N/A,#N/A,TRUE,"INT-Table";#N/A,#N/A,TRUE,"STEEL";#N/A,#N/A,TRUE,"Door"}</definedName>
    <definedName name="list01" localSheetId="11" hidden="1">{#N/A,#N/A,TRUE,"Basic";#N/A,#N/A,TRUE,"EXT-TABLE";#N/A,#N/A,TRUE,"STEEL";#N/A,#N/A,TRUE,"INT-Table";#N/A,#N/A,TRUE,"STEEL";#N/A,#N/A,TRUE,"Door"}</definedName>
    <definedName name="list01" localSheetId="6" hidden="1">{#N/A,#N/A,TRUE,"Basic";#N/A,#N/A,TRUE,"EXT-TABLE";#N/A,#N/A,TRUE,"STEEL";#N/A,#N/A,TRUE,"INT-Table";#N/A,#N/A,TRUE,"STEEL";#N/A,#N/A,TRUE,"Door"}</definedName>
    <definedName name="list01" localSheetId="12" hidden="1">{#N/A,#N/A,TRUE,"Basic";#N/A,#N/A,TRUE,"EXT-TABLE";#N/A,#N/A,TRUE,"STEEL";#N/A,#N/A,TRUE,"INT-Table";#N/A,#N/A,TRUE,"STEEL";#N/A,#N/A,TRUE,"Door"}</definedName>
    <definedName name="list01" localSheetId="7" hidden="1">{#N/A,#N/A,TRUE,"Basic";#N/A,#N/A,TRUE,"EXT-TABLE";#N/A,#N/A,TRUE,"STEEL";#N/A,#N/A,TRUE,"INT-Table";#N/A,#N/A,TRUE,"STEEL";#N/A,#N/A,TRUE,"Door"}</definedName>
    <definedName name="list01" localSheetId="13" hidden="1">{#N/A,#N/A,TRUE,"Basic";#N/A,#N/A,TRUE,"EXT-TABLE";#N/A,#N/A,TRUE,"STEEL";#N/A,#N/A,TRUE,"INT-Table";#N/A,#N/A,TRUE,"STEEL";#N/A,#N/A,TRUE,"Door"}</definedName>
    <definedName name="list01" localSheetId="8" hidden="1">{#N/A,#N/A,TRUE,"Basic";#N/A,#N/A,TRUE,"EXT-TABLE";#N/A,#N/A,TRUE,"STEEL";#N/A,#N/A,TRUE,"INT-Table";#N/A,#N/A,TRUE,"STEEL";#N/A,#N/A,TRUE,"Door"}</definedName>
    <definedName name="list01" hidden="1">{#N/A,#N/A,TRUE,"Basic";#N/A,#N/A,TRUE,"EXT-TABLE";#N/A,#N/A,TRUE,"STEEL";#N/A,#N/A,TRUE,"INT-Table";#N/A,#N/A,TRUE,"STEEL";#N/A,#N/A,TRUE,"Door"}</definedName>
    <definedName name="list02" localSheetId="5" hidden="1">{#N/A,#N/A,TRUE,"Basic";#N/A,#N/A,TRUE,"EXT-TABLE";#N/A,#N/A,TRUE,"STEEL";#N/A,#N/A,TRUE,"INT-Table";#N/A,#N/A,TRUE,"STEEL";#N/A,#N/A,TRUE,"Door"}</definedName>
    <definedName name="list02" localSheetId="11" hidden="1">{#N/A,#N/A,TRUE,"Basic";#N/A,#N/A,TRUE,"EXT-TABLE";#N/A,#N/A,TRUE,"STEEL";#N/A,#N/A,TRUE,"INT-Table";#N/A,#N/A,TRUE,"STEEL";#N/A,#N/A,TRUE,"Door"}</definedName>
    <definedName name="list02" localSheetId="6" hidden="1">{#N/A,#N/A,TRUE,"Basic";#N/A,#N/A,TRUE,"EXT-TABLE";#N/A,#N/A,TRUE,"STEEL";#N/A,#N/A,TRUE,"INT-Table";#N/A,#N/A,TRUE,"STEEL";#N/A,#N/A,TRUE,"Door"}</definedName>
    <definedName name="list02" localSheetId="12" hidden="1">{#N/A,#N/A,TRUE,"Basic";#N/A,#N/A,TRUE,"EXT-TABLE";#N/A,#N/A,TRUE,"STEEL";#N/A,#N/A,TRUE,"INT-Table";#N/A,#N/A,TRUE,"STEEL";#N/A,#N/A,TRUE,"Door"}</definedName>
    <definedName name="list02" localSheetId="7" hidden="1">{#N/A,#N/A,TRUE,"Basic";#N/A,#N/A,TRUE,"EXT-TABLE";#N/A,#N/A,TRUE,"STEEL";#N/A,#N/A,TRUE,"INT-Table";#N/A,#N/A,TRUE,"STEEL";#N/A,#N/A,TRUE,"Door"}</definedName>
    <definedName name="list02" localSheetId="13" hidden="1">{#N/A,#N/A,TRUE,"Basic";#N/A,#N/A,TRUE,"EXT-TABLE";#N/A,#N/A,TRUE,"STEEL";#N/A,#N/A,TRUE,"INT-Table";#N/A,#N/A,TRUE,"STEEL";#N/A,#N/A,TRUE,"Door"}</definedName>
    <definedName name="list02" localSheetId="8" hidden="1">{#N/A,#N/A,TRUE,"Basic";#N/A,#N/A,TRUE,"EXT-TABLE";#N/A,#N/A,TRUE,"STEEL";#N/A,#N/A,TRUE,"INT-Table";#N/A,#N/A,TRUE,"STEEL";#N/A,#N/A,TRUE,"Door"}</definedName>
    <definedName name="list02" hidden="1">{#N/A,#N/A,TRUE,"Basic";#N/A,#N/A,TRUE,"EXT-TABLE";#N/A,#N/A,TRUE,"STEEL";#N/A,#N/A,TRUE,"INT-Table";#N/A,#N/A,TRUE,"STEEL";#N/A,#N/A,TRUE,"Door"}</definedName>
    <definedName name="mm" localSheetId="11" hidden="1">{#N/A,#N/A,TRUE,"토적및재료집계";#N/A,#N/A,TRUE,"토적및재료집계";#N/A,#N/A,TRUE,"단위량"}</definedName>
    <definedName name="mm" localSheetId="12" hidden="1">{#N/A,#N/A,TRUE,"토적및재료집계";#N/A,#N/A,TRUE,"토적및재료집계";#N/A,#N/A,TRUE,"단위량"}</definedName>
    <definedName name="mm" localSheetId="13" hidden="1">{#N/A,#N/A,TRUE,"토적및재료집계";#N/A,#N/A,TRUE,"토적및재료집계";#N/A,#N/A,TRUE,"단위량"}</definedName>
    <definedName name="mm" localSheetId="8" hidden="1">{#N/A,#N/A,TRUE,"토적및재료집계";#N/A,#N/A,TRUE,"토적및재료집계";#N/A,#N/A,TRUE,"단위량"}</definedName>
    <definedName name="mm" hidden="1">{#N/A,#N/A,TRUE,"토적및재료집계";#N/A,#N/A,TRUE,"토적및재료집계";#N/A,#N/A,TRUE,"단위량"}</definedName>
    <definedName name="NEWNAME" localSheetId="11" hidden="1">{#N/A,#N/A,FALSE,"CCTV"}</definedName>
    <definedName name="NEWNAME" localSheetId="12" hidden="1">{#N/A,#N/A,FALSE,"CCTV"}</definedName>
    <definedName name="NEWNAME" localSheetId="13" hidden="1">{#N/A,#N/A,FALSE,"CCTV"}</definedName>
    <definedName name="NEWNAME" localSheetId="8" hidden="1">{#N/A,#N/A,FALSE,"CCTV"}</definedName>
    <definedName name="NEWNAME" hidden="1">{#N/A,#N/A,FALSE,"CCTV"}</definedName>
    <definedName name="os" localSheetId="11" hidden="1">{#N/A,#N/A,FALSE,"TABLE"}</definedName>
    <definedName name="os" localSheetId="12" hidden="1">{#N/A,#N/A,FALSE,"TABLE"}</definedName>
    <definedName name="os" localSheetId="13" hidden="1">{#N/A,#N/A,FALSE,"TABLE"}</definedName>
    <definedName name="os" localSheetId="8" hidden="1">{#N/A,#N/A,FALSE,"TABLE"}</definedName>
    <definedName name="os" hidden="1">{#N/A,#N/A,FALSE,"TABLE"}</definedName>
    <definedName name="Panel" localSheetId="11" hidden="1">{#N/A,#N/A,TRUE,"Basic";#N/A,#N/A,TRUE,"EXT-TABLE";#N/A,#N/A,TRUE,"STEEL";#N/A,#N/A,TRUE,"INT-Table";#N/A,#N/A,TRUE,"STEEL";#N/A,#N/A,TRUE,"Door"}</definedName>
    <definedName name="Panel" localSheetId="12" hidden="1">{#N/A,#N/A,TRUE,"Basic";#N/A,#N/A,TRUE,"EXT-TABLE";#N/A,#N/A,TRUE,"STEEL";#N/A,#N/A,TRUE,"INT-Table";#N/A,#N/A,TRUE,"STEEL";#N/A,#N/A,TRUE,"Door"}</definedName>
    <definedName name="Panel" localSheetId="13" hidden="1">{#N/A,#N/A,TRUE,"Basic";#N/A,#N/A,TRUE,"EXT-TABLE";#N/A,#N/A,TRUE,"STEEL";#N/A,#N/A,TRUE,"INT-Table";#N/A,#N/A,TRUE,"STEEL";#N/A,#N/A,TRUE,"Door"}</definedName>
    <definedName name="Panel" localSheetId="8" hidden="1">{#N/A,#N/A,TRUE,"Basic";#N/A,#N/A,TRUE,"EXT-TABLE";#N/A,#N/A,TRUE,"STEEL";#N/A,#N/A,TRUE,"INT-Table";#N/A,#N/A,TRUE,"STEEL";#N/A,#N/A,TRUE,"Door"}</definedName>
    <definedName name="Panel" hidden="1">{#N/A,#N/A,TRUE,"Basic";#N/A,#N/A,TRUE,"EXT-TABLE";#N/A,#N/A,TRUE,"STEEL";#N/A,#N/A,TRUE,"INT-Table";#N/A,#N/A,TRUE,"STEEL";#N/A,#N/A,TRUE,"Door"}</definedName>
    <definedName name="petro2" localSheetId="5" hidden="1">#REF!</definedName>
    <definedName name="petro2" localSheetId="11" hidden="1">#REF!</definedName>
    <definedName name="petro2" localSheetId="6" hidden="1">#REF!</definedName>
    <definedName name="petro2" localSheetId="12" hidden="1">#REF!</definedName>
    <definedName name="petro2" localSheetId="7" hidden="1">#REF!</definedName>
    <definedName name="petro2" localSheetId="13" hidden="1">#REF!</definedName>
    <definedName name="petro2" localSheetId="8" hidden="1">#REF!</definedName>
    <definedName name="petro2" hidden="1">#REF!</definedName>
    <definedName name="PHASE" localSheetId="5" hidden="1">{#N/A,#N/A,TRUE,"Basic";#N/A,#N/A,TRUE,"EXT-TABLE";#N/A,#N/A,TRUE,"STEEL";#N/A,#N/A,TRUE,"INT-Table";#N/A,#N/A,TRUE,"STEEL";#N/A,#N/A,TRUE,"Door"}</definedName>
    <definedName name="PHASE" localSheetId="11" hidden="1">{#N/A,#N/A,TRUE,"Basic";#N/A,#N/A,TRUE,"EXT-TABLE";#N/A,#N/A,TRUE,"STEEL";#N/A,#N/A,TRUE,"INT-Table";#N/A,#N/A,TRUE,"STEEL";#N/A,#N/A,TRUE,"Door"}</definedName>
    <definedName name="PHASE" localSheetId="6" hidden="1">{#N/A,#N/A,TRUE,"Basic";#N/A,#N/A,TRUE,"EXT-TABLE";#N/A,#N/A,TRUE,"STEEL";#N/A,#N/A,TRUE,"INT-Table";#N/A,#N/A,TRUE,"STEEL";#N/A,#N/A,TRUE,"Door"}</definedName>
    <definedName name="PHASE" localSheetId="12" hidden="1">{#N/A,#N/A,TRUE,"Basic";#N/A,#N/A,TRUE,"EXT-TABLE";#N/A,#N/A,TRUE,"STEEL";#N/A,#N/A,TRUE,"INT-Table";#N/A,#N/A,TRUE,"STEEL";#N/A,#N/A,TRUE,"Door"}</definedName>
    <definedName name="PHASE" localSheetId="7" hidden="1">{#N/A,#N/A,TRUE,"Basic";#N/A,#N/A,TRUE,"EXT-TABLE";#N/A,#N/A,TRUE,"STEEL";#N/A,#N/A,TRUE,"INT-Table";#N/A,#N/A,TRUE,"STEEL";#N/A,#N/A,TRUE,"Door"}</definedName>
    <definedName name="PHASE" localSheetId="13" hidden="1">{#N/A,#N/A,TRUE,"Basic";#N/A,#N/A,TRUE,"EXT-TABLE";#N/A,#N/A,TRUE,"STEEL";#N/A,#N/A,TRUE,"INT-Table";#N/A,#N/A,TRUE,"STEEL";#N/A,#N/A,TRUE,"Door"}</definedName>
    <definedName name="PHASE" localSheetId="8" hidden="1">{#N/A,#N/A,TRUE,"Basic";#N/A,#N/A,TRUE,"EXT-TABLE";#N/A,#N/A,TRUE,"STEEL";#N/A,#N/A,TRUE,"INT-Table";#N/A,#N/A,TRUE,"STEEL";#N/A,#N/A,TRUE,"Door"}</definedName>
    <definedName name="PHASE" hidden="1">{#N/A,#N/A,TRUE,"Basic";#N/A,#N/A,TRUE,"EXT-TABLE";#N/A,#N/A,TRUE,"STEEL";#N/A,#N/A,TRUE,"INT-Table";#N/A,#N/A,TRUE,"STEEL";#N/A,#N/A,TRUE,"Door"}</definedName>
    <definedName name="_xlnm.Print_Area" localSheetId="3">Input_CI!$A$1:$AK$88</definedName>
    <definedName name="_xlnm.Print_Area" localSheetId="9">Input_TEL!$A$1:$AJ$107</definedName>
    <definedName name="_xlnm.Print_Area" localSheetId="4">OP1_CI!$A$1:$AD$133</definedName>
    <definedName name="_xlnm.Print_Area" localSheetId="10">OP1_TEL!$A$1:$AE$118</definedName>
    <definedName name="_xlnm.Print_Area" localSheetId="5">'OP2-1_CI'!$A$1:$M$150</definedName>
    <definedName name="_xlnm.Print_Area" localSheetId="11">'OP2-1_TEL'!$A$1:$M$131</definedName>
    <definedName name="_xlnm.Print_Area" localSheetId="6">'OP2-2_CI'!$A$1:$P$153</definedName>
    <definedName name="_xlnm.Print_Area" localSheetId="12">'OP2-2_TEL'!$A$1:$P$134</definedName>
    <definedName name="_xlnm.Print_Area" localSheetId="7">'OP2-3_CI'!$A$1:$P$153</definedName>
    <definedName name="_xlnm.Print_Area" localSheetId="13">'OP2-3_TEL'!$A$1:$P$134</definedName>
    <definedName name="_xlnm.Print_Area" localSheetId="1">Summary!$A$5:$I$24</definedName>
    <definedName name="_xlnm.Print_Area" localSheetId="0">가이드!$A$1:$F$60</definedName>
    <definedName name="_xlnm.Print_Area" localSheetId="2">산출기준_CI!$A$1:$P$147</definedName>
    <definedName name="_xlnm.Print_Area" localSheetId="8">산출기준_TEL!$A$1:$Q$168</definedName>
    <definedName name="_xlnm.Print_Titles" localSheetId="4">OP1_CI!$15:$20</definedName>
    <definedName name="_xlnm.Print_Titles" localSheetId="10">OP1_TEL!$15:$19</definedName>
    <definedName name="_xlnm.Print_Titles" localSheetId="5">'OP2-1_CI'!$4:$5</definedName>
    <definedName name="_xlnm.Print_Titles" localSheetId="11">'OP2-1_TEL'!$4:$5</definedName>
    <definedName name="_xlnm.Print_Titles" localSheetId="6">'OP2-2_CI'!$4:$5</definedName>
    <definedName name="_xlnm.Print_Titles" localSheetId="12">'OP2-2_TEL'!$4:$5</definedName>
    <definedName name="_xlnm.Print_Titles" localSheetId="7">'OP2-3_CI'!$4:$5</definedName>
    <definedName name="_xlnm.Print_Titles" localSheetId="13">'OP2-3_TEL'!$4:$5</definedName>
    <definedName name="_xlnm.Print_Titles" localSheetId="2">산출기준_CI!$1:$10</definedName>
    <definedName name="_xlnm.Print_Titles" localSheetId="8">산출기준_TEL!$1:$9</definedName>
    <definedName name="Provisions" localSheetId="11" hidden="1">{#N/A,#N/A,FALSE,"JACKETS (1100 t) (1)"}</definedName>
    <definedName name="Provisions" localSheetId="12" hidden="1">{#N/A,#N/A,FALSE,"JACKETS (1100 t) (1)"}</definedName>
    <definedName name="Provisions" localSheetId="13" hidden="1">{#N/A,#N/A,FALSE,"JACKETS (1100 t) (1)"}</definedName>
    <definedName name="Provisions" localSheetId="8" hidden="1">{#N/A,#N/A,FALSE,"JACKETS (1100 t) (1)"}</definedName>
    <definedName name="Provisions" hidden="1">{#N/A,#N/A,FALSE,"JACKETS (1100 t) (1)"}</definedName>
    <definedName name="q" localSheetId="11" hidden="1">{#N/A,#N/A,TRUE,"Basic";#N/A,#N/A,TRUE,"EXT-TABLE";#N/A,#N/A,TRUE,"STEEL";#N/A,#N/A,TRUE,"INT-Table";#N/A,#N/A,TRUE,"STEEL";#N/A,#N/A,TRUE,"Door"}</definedName>
    <definedName name="q" localSheetId="12" hidden="1">{#N/A,#N/A,TRUE,"Basic";#N/A,#N/A,TRUE,"EXT-TABLE";#N/A,#N/A,TRUE,"STEEL";#N/A,#N/A,TRUE,"INT-Table";#N/A,#N/A,TRUE,"STEEL";#N/A,#N/A,TRUE,"Door"}</definedName>
    <definedName name="q" localSheetId="13" hidden="1">{#N/A,#N/A,TRUE,"Basic";#N/A,#N/A,TRUE,"EXT-TABLE";#N/A,#N/A,TRUE,"STEEL";#N/A,#N/A,TRUE,"INT-Table";#N/A,#N/A,TRUE,"STEEL";#N/A,#N/A,TRUE,"Door"}</definedName>
    <definedName name="q" localSheetId="8" hidden="1">{#N/A,#N/A,TRUE,"Basic";#N/A,#N/A,TRUE,"EXT-TABLE";#N/A,#N/A,TRUE,"STEEL";#N/A,#N/A,TRUE,"INT-Table";#N/A,#N/A,TRUE,"STEEL";#N/A,#N/A,TRUE,"Door"}</definedName>
    <definedName name="q" hidden="1">{#N/A,#N/A,TRUE,"Basic";#N/A,#N/A,TRUE,"EXT-TABLE";#N/A,#N/A,TRUE,"STEEL";#N/A,#N/A,TRUE,"INT-Table";#N/A,#N/A,TRUE,"STEEL";#N/A,#N/A,TRUE,"Door"}</definedName>
    <definedName name="qqq" localSheetId="5" hidden="1">{#N/A,#N/A,TRUE,"Basic";#N/A,#N/A,TRUE,"EXT-TABLE";#N/A,#N/A,TRUE,"STEEL";#N/A,#N/A,TRUE,"INT-Table";#N/A,#N/A,TRUE,"STEEL";#N/A,#N/A,TRUE,"Door"}</definedName>
    <definedName name="qqq" localSheetId="11" hidden="1">{#N/A,#N/A,TRUE,"Basic";#N/A,#N/A,TRUE,"EXT-TABLE";#N/A,#N/A,TRUE,"STEEL";#N/A,#N/A,TRUE,"INT-Table";#N/A,#N/A,TRUE,"STEEL";#N/A,#N/A,TRUE,"Door"}</definedName>
    <definedName name="qqq" localSheetId="6" hidden="1">{#N/A,#N/A,TRUE,"Basic";#N/A,#N/A,TRUE,"EXT-TABLE";#N/A,#N/A,TRUE,"STEEL";#N/A,#N/A,TRUE,"INT-Table";#N/A,#N/A,TRUE,"STEEL";#N/A,#N/A,TRUE,"Door"}</definedName>
    <definedName name="qqq" localSheetId="12" hidden="1">{#N/A,#N/A,TRUE,"Basic";#N/A,#N/A,TRUE,"EXT-TABLE";#N/A,#N/A,TRUE,"STEEL";#N/A,#N/A,TRUE,"INT-Table";#N/A,#N/A,TRUE,"STEEL";#N/A,#N/A,TRUE,"Door"}</definedName>
    <definedName name="qqq" localSheetId="7" hidden="1">{#N/A,#N/A,TRUE,"Basic";#N/A,#N/A,TRUE,"EXT-TABLE";#N/A,#N/A,TRUE,"STEEL";#N/A,#N/A,TRUE,"INT-Table";#N/A,#N/A,TRUE,"STEEL";#N/A,#N/A,TRUE,"Door"}</definedName>
    <definedName name="qqq" localSheetId="13" hidden="1">{#N/A,#N/A,TRUE,"Basic";#N/A,#N/A,TRUE,"EXT-TABLE";#N/A,#N/A,TRUE,"STEEL";#N/A,#N/A,TRUE,"INT-Table";#N/A,#N/A,TRUE,"STEEL";#N/A,#N/A,TRUE,"Door"}</definedName>
    <definedName name="qqq" localSheetId="8" hidden="1">{#N/A,#N/A,TRUE,"Basic";#N/A,#N/A,TRUE,"EXT-TABLE";#N/A,#N/A,TRUE,"STEEL";#N/A,#N/A,TRUE,"INT-Table";#N/A,#N/A,TRUE,"STEEL";#N/A,#N/A,TRUE,"Door"}</definedName>
    <definedName name="qqq" hidden="1">{#N/A,#N/A,TRUE,"Basic";#N/A,#N/A,TRUE,"EXT-TABLE";#N/A,#N/A,TRUE,"STEEL";#N/A,#N/A,TRUE,"INT-Table";#N/A,#N/A,TRUE,"STEEL";#N/A,#N/A,TRUE,"Door"}</definedName>
    <definedName name="qqqqq" localSheetId="5" hidden="1">{#N/A,#N/A,TRUE,"Basic";#N/A,#N/A,TRUE,"EXT-TABLE";#N/A,#N/A,TRUE,"STEEL";#N/A,#N/A,TRUE,"INT-Table";#N/A,#N/A,TRUE,"STEEL";#N/A,#N/A,TRUE,"Door"}</definedName>
    <definedName name="qqqqq" localSheetId="11" hidden="1">{#N/A,#N/A,TRUE,"Basic";#N/A,#N/A,TRUE,"EXT-TABLE";#N/A,#N/A,TRUE,"STEEL";#N/A,#N/A,TRUE,"INT-Table";#N/A,#N/A,TRUE,"STEEL";#N/A,#N/A,TRUE,"Door"}</definedName>
    <definedName name="qqqqq" localSheetId="6" hidden="1">{#N/A,#N/A,TRUE,"Basic";#N/A,#N/A,TRUE,"EXT-TABLE";#N/A,#N/A,TRUE,"STEEL";#N/A,#N/A,TRUE,"INT-Table";#N/A,#N/A,TRUE,"STEEL";#N/A,#N/A,TRUE,"Door"}</definedName>
    <definedName name="qqqqq" localSheetId="12" hidden="1">{#N/A,#N/A,TRUE,"Basic";#N/A,#N/A,TRUE,"EXT-TABLE";#N/A,#N/A,TRUE,"STEEL";#N/A,#N/A,TRUE,"INT-Table";#N/A,#N/A,TRUE,"STEEL";#N/A,#N/A,TRUE,"Door"}</definedName>
    <definedName name="qqqqq" localSheetId="7" hidden="1">{#N/A,#N/A,TRUE,"Basic";#N/A,#N/A,TRUE,"EXT-TABLE";#N/A,#N/A,TRUE,"STEEL";#N/A,#N/A,TRUE,"INT-Table";#N/A,#N/A,TRUE,"STEEL";#N/A,#N/A,TRUE,"Door"}</definedName>
    <definedName name="qqqqq" localSheetId="13" hidden="1">{#N/A,#N/A,TRUE,"Basic";#N/A,#N/A,TRUE,"EXT-TABLE";#N/A,#N/A,TRUE,"STEEL";#N/A,#N/A,TRUE,"INT-Table";#N/A,#N/A,TRUE,"STEEL";#N/A,#N/A,TRUE,"Door"}</definedName>
    <definedName name="qqqqq" localSheetId="8" hidden="1">{#N/A,#N/A,TRUE,"Basic";#N/A,#N/A,TRUE,"EXT-TABLE";#N/A,#N/A,TRUE,"STEEL";#N/A,#N/A,TRUE,"INT-Table";#N/A,#N/A,TRUE,"STEEL";#N/A,#N/A,TRUE,"Door"}</definedName>
    <definedName name="qqqqq" hidden="1">{#N/A,#N/A,TRUE,"Basic";#N/A,#N/A,TRUE,"EXT-TABLE";#N/A,#N/A,TRUE,"STEEL";#N/A,#N/A,TRUE,"INT-Table";#N/A,#N/A,TRUE,"STEEL";#N/A,#N/A,TRUE,"Door"}</definedName>
    <definedName name="qw" localSheetId="5" hidden="1">{#N/A,#N/A,TRUE,"Basic";#N/A,#N/A,TRUE,"EXT-TABLE";#N/A,#N/A,TRUE,"STEEL";#N/A,#N/A,TRUE,"INT-Table";#N/A,#N/A,TRUE,"STEEL";#N/A,#N/A,TRUE,"Door"}</definedName>
    <definedName name="qw" localSheetId="11" hidden="1">{#N/A,#N/A,TRUE,"Basic";#N/A,#N/A,TRUE,"EXT-TABLE";#N/A,#N/A,TRUE,"STEEL";#N/A,#N/A,TRUE,"INT-Table";#N/A,#N/A,TRUE,"STEEL";#N/A,#N/A,TRUE,"Door"}</definedName>
    <definedName name="qw" localSheetId="6" hidden="1">{#N/A,#N/A,TRUE,"Basic";#N/A,#N/A,TRUE,"EXT-TABLE";#N/A,#N/A,TRUE,"STEEL";#N/A,#N/A,TRUE,"INT-Table";#N/A,#N/A,TRUE,"STEEL";#N/A,#N/A,TRUE,"Door"}</definedName>
    <definedName name="qw" localSheetId="12" hidden="1">{#N/A,#N/A,TRUE,"Basic";#N/A,#N/A,TRUE,"EXT-TABLE";#N/A,#N/A,TRUE,"STEEL";#N/A,#N/A,TRUE,"INT-Table";#N/A,#N/A,TRUE,"STEEL";#N/A,#N/A,TRUE,"Door"}</definedName>
    <definedName name="qw" localSheetId="7" hidden="1">{#N/A,#N/A,TRUE,"Basic";#N/A,#N/A,TRUE,"EXT-TABLE";#N/A,#N/A,TRUE,"STEEL";#N/A,#N/A,TRUE,"INT-Table";#N/A,#N/A,TRUE,"STEEL";#N/A,#N/A,TRUE,"Door"}</definedName>
    <definedName name="qw" localSheetId="13" hidden="1">{#N/A,#N/A,TRUE,"Basic";#N/A,#N/A,TRUE,"EXT-TABLE";#N/A,#N/A,TRUE,"STEEL";#N/A,#N/A,TRUE,"INT-Table";#N/A,#N/A,TRUE,"STEEL";#N/A,#N/A,TRUE,"Door"}</definedName>
    <definedName name="qw" localSheetId="8" hidden="1">{#N/A,#N/A,TRUE,"Basic";#N/A,#N/A,TRUE,"EXT-TABLE";#N/A,#N/A,TRUE,"STEEL";#N/A,#N/A,TRUE,"INT-Table";#N/A,#N/A,TRUE,"STEEL";#N/A,#N/A,TRUE,"Door"}</definedName>
    <definedName name="qw" hidden="1">{#N/A,#N/A,TRUE,"Basic";#N/A,#N/A,TRUE,"EXT-TABLE";#N/A,#N/A,TRUE,"STEEL";#N/A,#N/A,TRUE,"INT-Table";#N/A,#N/A,TRUE,"STEEL";#N/A,#N/A,TRUE,"Door"}</definedName>
    <definedName name="QWER" localSheetId="11" hidden="1">{#N/A,#N/A,FALSE,"이태원철근"}</definedName>
    <definedName name="QWER" localSheetId="12" hidden="1">{#N/A,#N/A,FALSE,"이태원철근"}</definedName>
    <definedName name="QWER" localSheetId="13" hidden="1">{#N/A,#N/A,FALSE,"이태원철근"}</definedName>
    <definedName name="QWER" localSheetId="8" hidden="1">{#N/A,#N/A,FALSE,"이태원철근"}</definedName>
    <definedName name="QWER" hidden="1">{#N/A,#N/A,FALSE,"이태원철근"}</definedName>
    <definedName name="RHDK" localSheetId="11" hidden="1">{#N/A,#N/A,FALSE,"이태원철근"}</definedName>
    <definedName name="RHDK" localSheetId="12" hidden="1">{#N/A,#N/A,FALSE,"이태원철근"}</definedName>
    <definedName name="RHDK" localSheetId="13" hidden="1">{#N/A,#N/A,FALSE,"이태원철근"}</definedName>
    <definedName name="RHDK" localSheetId="8" hidden="1">{#N/A,#N/A,FALSE,"이태원철근"}</definedName>
    <definedName name="RHDK" hidden="1">{#N/A,#N/A,FALSE,"이태원철근"}</definedName>
    <definedName name="RKSKEK" localSheetId="11" hidden="1">{#N/A,#N/A,FALSE,"이태원철근"}</definedName>
    <definedName name="RKSKEK" localSheetId="12" hidden="1">{#N/A,#N/A,FALSE,"이태원철근"}</definedName>
    <definedName name="RKSKEK" localSheetId="13" hidden="1">{#N/A,#N/A,FALSE,"이태원철근"}</definedName>
    <definedName name="RKSKEK" localSheetId="8" hidden="1">{#N/A,#N/A,FALSE,"이태원철근"}</definedName>
    <definedName name="RKSKEK" hidden="1">{#N/A,#N/A,FALSE,"이태원철근"}</definedName>
    <definedName name="RRR" localSheetId="5" hidden="1">#REF!</definedName>
    <definedName name="RRR" localSheetId="11" hidden="1">#REF!</definedName>
    <definedName name="RRR" localSheetId="6" hidden="1">#REF!</definedName>
    <definedName name="RRR" localSheetId="12" hidden="1">#REF!</definedName>
    <definedName name="RRR" localSheetId="7" hidden="1">#REF!</definedName>
    <definedName name="RRR" localSheetId="13" hidden="1">#REF!</definedName>
    <definedName name="RRR" localSheetId="8" hidden="1">#REF!</definedName>
    <definedName name="RRR" hidden="1">#REF!</definedName>
    <definedName name="RT" localSheetId="11" hidden="1">{#N/A,#N/A,FALSE,"이태원철근"}</definedName>
    <definedName name="RT" localSheetId="12" hidden="1">{#N/A,#N/A,FALSE,"이태원철근"}</definedName>
    <definedName name="RT" localSheetId="13" hidden="1">{#N/A,#N/A,FALSE,"이태원철근"}</definedName>
    <definedName name="RT" localSheetId="8" hidden="1">{#N/A,#N/A,FALSE,"이태원철근"}</definedName>
    <definedName name="RT" hidden="1">{#N/A,#N/A,FALSE,"이태원철근"}</definedName>
    <definedName name="sad" localSheetId="11" hidden="1">{#N/A,#N/A,FALSE,"이태원철근"}</definedName>
    <definedName name="sad" localSheetId="12" hidden="1">{#N/A,#N/A,FALSE,"이태원철근"}</definedName>
    <definedName name="sad" localSheetId="13" hidden="1">{#N/A,#N/A,FALSE,"이태원철근"}</definedName>
    <definedName name="sad" localSheetId="8" hidden="1">{#N/A,#N/A,FALSE,"이태원철근"}</definedName>
    <definedName name="sad" hidden="1">{#N/A,#N/A,FALSE,"이태원철근"}</definedName>
    <definedName name="SAM" localSheetId="11" hidden="1">{#N/A,#N/A,TRUE,"Basic";#N/A,#N/A,TRUE,"EXT-TABLE";#N/A,#N/A,TRUE,"STEEL";#N/A,#N/A,TRUE,"INT-Table";#N/A,#N/A,TRUE,"STEEL";#N/A,#N/A,TRUE,"Door"}</definedName>
    <definedName name="SAM" localSheetId="12" hidden="1">{#N/A,#N/A,TRUE,"Basic";#N/A,#N/A,TRUE,"EXT-TABLE";#N/A,#N/A,TRUE,"STEEL";#N/A,#N/A,TRUE,"INT-Table";#N/A,#N/A,TRUE,"STEEL";#N/A,#N/A,TRUE,"Door"}</definedName>
    <definedName name="SAM" localSheetId="13" hidden="1">{#N/A,#N/A,TRUE,"Basic";#N/A,#N/A,TRUE,"EXT-TABLE";#N/A,#N/A,TRUE,"STEEL";#N/A,#N/A,TRUE,"INT-Table";#N/A,#N/A,TRUE,"STEEL";#N/A,#N/A,TRUE,"Door"}</definedName>
    <definedName name="SAM" localSheetId="8" hidden="1">{#N/A,#N/A,TRUE,"Basic";#N/A,#N/A,TRUE,"EXT-TABLE";#N/A,#N/A,TRUE,"STEEL";#N/A,#N/A,TRUE,"INT-Table";#N/A,#N/A,TRUE,"STEEL";#N/A,#N/A,TRUE,"Door"}</definedName>
    <definedName name="SAM" hidden="1">{#N/A,#N/A,TRUE,"Basic";#N/A,#N/A,TRUE,"EXT-TABLE";#N/A,#N/A,TRUE,"STEEL";#N/A,#N/A,TRUE,"INT-Table";#N/A,#N/A,TRUE,"STEEL";#N/A,#N/A,TRUE,"Door"}</definedName>
    <definedName name="SC" localSheetId="5" hidden="1">#REF!</definedName>
    <definedName name="SC" localSheetId="11" hidden="1">#REF!</definedName>
    <definedName name="SC" localSheetId="6" hidden="1">#REF!</definedName>
    <definedName name="SC" localSheetId="12" hidden="1">#REF!</definedName>
    <definedName name="SC" localSheetId="7" hidden="1">#REF!</definedName>
    <definedName name="SC" localSheetId="13" hidden="1">#REF!</definedName>
    <definedName name="SC" localSheetId="8" hidden="1">#REF!</definedName>
    <definedName name="SC" hidden="1">#REF!</definedName>
    <definedName name="sdfg" localSheetId="11" hidden="1">{#N/A,#N/A,FALSE,"이태원철근"}</definedName>
    <definedName name="sdfg" localSheetId="12" hidden="1">{#N/A,#N/A,FALSE,"이태원철근"}</definedName>
    <definedName name="sdfg" localSheetId="13" hidden="1">{#N/A,#N/A,FALSE,"이태원철근"}</definedName>
    <definedName name="sdfg" localSheetId="8" hidden="1">{#N/A,#N/A,FALSE,"이태원철근"}</definedName>
    <definedName name="sdfg" hidden="1">{#N/A,#N/A,FALSE,"이태원철근"}</definedName>
    <definedName name="sdfsgd" localSheetId="11" hidden="1">{#N/A,#N/A,FALSE,"이태원철근"}</definedName>
    <definedName name="sdfsgd" localSheetId="12" hidden="1">{#N/A,#N/A,FALSE,"이태원철근"}</definedName>
    <definedName name="sdfsgd" localSheetId="13" hidden="1">{#N/A,#N/A,FALSE,"이태원철근"}</definedName>
    <definedName name="sdfsgd" localSheetId="8" hidden="1">{#N/A,#N/A,FALSE,"이태원철근"}</definedName>
    <definedName name="sdfsgd" hidden="1">{#N/A,#N/A,FALSE,"이태원철근"}</definedName>
    <definedName name="SERVICE" localSheetId="11" hidden="1">{#N/A,#N/A,FALSE,"이태원철근"}</definedName>
    <definedName name="SERVICE" localSheetId="12" hidden="1">{#N/A,#N/A,FALSE,"이태원철근"}</definedName>
    <definedName name="SERVICE" localSheetId="13" hidden="1">{#N/A,#N/A,FALSE,"이태원철근"}</definedName>
    <definedName name="SERVICE" localSheetId="8" hidden="1">{#N/A,#N/A,FALSE,"이태원철근"}</definedName>
    <definedName name="SERVICE" hidden="1">{#N/A,#N/A,FALSE,"이태원철근"}</definedName>
    <definedName name="SHELTER" localSheetId="11" hidden="1">{#N/A,#N/A,TRUE,"Basic";#N/A,#N/A,TRUE,"EXT-TABLE";#N/A,#N/A,TRUE,"STEEL";#N/A,#N/A,TRUE,"INT-Table";#N/A,#N/A,TRUE,"STEEL";#N/A,#N/A,TRUE,"Door"}</definedName>
    <definedName name="SHELTER" localSheetId="12" hidden="1">{#N/A,#N/A,TRUE,"Basic";#N/A,#N/A,TRUE,"EXT-TABLE";#N/A,#N/A,TRUE,"STEEL";#N/A,#N/A,TRUE,"INT-Table";#N/A,#N/A,TRUE,"STEEL";#N/A,#N/A,TRUE,"Door"}</definedName>
    <definedName name="SHELTER" localSheetId="13" hidden="1">{#N/A,#N/A,TRUE,"Basic";#N/A,#N/A,TRUE,"EXT-TABLE";#N/A,#N/A,TRUE,"STEEL";#N/A,#N/A,TRUE,"INT-Table";#N/A,#N/A,TRUE,"STEEL";#N/A,#N/A,TRUE,"Door"}</definedName>
    <definedName name="SHELTER" localSheetId="8" hidden="1">{#N/A,#N/A,TRUE,"Basic";#N/A,#N/A,TRUE,"EXT-TABLE";#N/A,#N/A,TRUE,"STEEL";#N/A,#N/A,TRUE,"INT-Table";#N/A,#N/A,TRUE,"STEEL";#N/A,#N/A,TRUE,"Door"}</definedName>
    <definedName name="SHELTER" hidden="1">{#N/A,#N/A,TRUE,"Basic";#N/A,#N/A,TRUE,"EXT-TABLE";#N/A,#N/A,TRUE,"STEEL";#N/A,#N/A,TRUE,"INT-Table";#N/A,#N/A,TRUE,"STEEL";#N/A,#N/A,TRUE,"Door"}</definedName>
    <definedName name="SR" localSheetId="5" hidden="1">#REF!</definedName>
    <definedName name="SR" localSheetId="11" hidden="1">#REF!</definedName>
    <definedName name="SR" localSheetId="6" hidden="1">#REF!</definedName>
    <definedName name="SR" localSheetId="12" hidden="1">#REF!</definedName>
    <definedName name="SR" localSheetId="7" hidden="1">#REF!</definedName>
    <definedName name="SR" localSheetId="13" hidden="1">#REF!</definedName>
    <definedName name="SR" localSheetId="8" hidden="1">#REF!</definedName>
    <definedName name="SR" hidden="1">#REF!</definedName>
    <definedName name="SSFD" localSheetId="11" hidden="1">{#N/A,#N/A,FALSE,"TABLE"}</definedName>
    <definedName name="SSFD" localSheetId="12" hidden="1">{#N/A,#N/A,FALSE,"TABLE"}</definedName>
    <definedName name="SSFD" localSheetId="13" hidden="1">{#N/A,#N/A,FALSE,"TABLE"}</definedName>
    <definedName name="SSFD" localSheetId="8" hidden="1">{#N/A,#N/A,FALSE,"TABLE"}</definedName>
    <definedName name="SSFD" hidden="1">{#N/A,#N/A,FALSE,"TABLE"}</definedName>
    <definedName name="sss" localSheetId="5" hidden="1">{#N/A,#N/A,TRUE,"Basic";#N/A,#N/A,TRUE,"EXT-TABLE";#N/A,#N/A,TRUE,"STEEL";#N/A,#N/A,TRUE,"INT-Table";#N/A,#N/A,TRUE,"STEEL";#N/A,#N/A,TRUE,"Door"}</definedName>
    <definedName name="sss" localSheetId="11" hidden="1">{#N/A,#N/A,TRUE,"Basic";#N/A,#N/A,TRUE,"EXT-TABLE";#N/A,#N/A,TRUE,"STEEL";#N/A,#N/A,TRUE,"INT-Table";#N/A,#N/A,TRUE,"STEEL";#N/A,#N/A,TRUE,"Door"}</definedName>
    <definedName name="sss" localSheetId="6" hidden="1">{#N/A,#N/A,TRUE,"Basic";#N/A,#N/A,TRUE,"EXT-TABLE";#N/A,#N/A,TRUE,"STEEL";#N/A,#N/A,TRUE,"INT-Table";#N/A,#N/A,TRUE,"STEEL";#N/A,#N/A,TRUE,"Door"}</definedName>
    <definedName name="sss" localSheetId="12" hidden="1">{#N/A,#N/A,TRUE,"Basic";#N/A,#N/A,TRUE,"EXT-TABLE";#N/A,#N/A,TRUE,"STEEL";#N/A,#N/A,TRUE,"INT-Table";#N/A,#N/A,TRUE,"STEEL";#N/A,#N/A,TRUE,"Door"}</definedName>
    <definedName name="sss" localSheetId="7" hidden="1">{#N/A,#N/A,TRUE,"Basic";#N/A,#N/A,TRUE,"EXT-TABLE";#N/A,#N/A,TRUE,"STEEL";#N/A,#N/A,TRUE,"INT-Table";#N/A,#N/A,TRUE,"STEEL";#N/A,#N/A,TRUE,"Door"}</definedName>
    <definedName name="sss" localSheetId="13" hidden="1">{#N/A,#N/A,TRUE,"Basic";#N/A,#N/A,TRUE,"EXT-TABLE";#N/A,#N/A,TRUE,"STEEL";#N/A,#N/A,TRUE,"INT-Table";#N/A,#N/A,TRUE,"STEEL";#N/A,#N/A,TRUE,"Door"}</definedName>
    <definedName name="sss" localSheetId="8" hidden="1">{#N/A,#N/A,TRUE,"Basic";#N/A,#N/A,TRUE,"EXT-TABLE";#N/A,#N/A,TRUE,"STEEL";#N/A,#N/A,TRUE,"INT-Table";#N/A,#N/A,TRUE,"STEEL";#N/A,#N/A,TRUE,"Door"}</definedName>
    <definedName name="sss" hidden="1">{#N/A,#N/A,TRUE,"Basic";#N/A,#N/A,TRUE,"EXT-TABLE";#N/A,#N/A,TRUE,"STEEL";#N/A,#N/A,TRUE,"INT-Table";#N/A,#N/A,TRUE,"STEEL";#N/A,#N/A,TRUE,"Door"}</definedName>
    <definedName name="ssss" localSheetId="5" hidden="1">{#N/A,#N/A,TRUE,"Basic";#N/A,#N/A,TRUE,"EXT-TABLE";#N/A,#N/A,TRUE,"STEEL";#N/A,#N/A,TRUE,"INT-Table";#N/A,#N/A,TRUE,"STEEL";#N/A,#N/A,TRUE,"Door"}</definedName>
    <definedName name="ssss" localSheetId="11" hidden="1">{#N/A,#N/A,TRUE,"Basic";#N/A,#N/A,TRUE,"EXT-TABLE";#N/A,#N/A,TRUE,"STEEL";#N/A,#N/A,TRUE,"INT-Table";#N/A,#N/A,TRUE,"STEEL";#N/A,#N/A,TRUE,"Door"}</definedName>
    <definedName name="ssss" localSheetId="6" hidden="1">{#N/A,#N/A,TRUE,"Basic";#N/A,#N/A,TRUE,"EXT-TABLE";#N/A,#N/A,TRUE,"STEEL";#N/A,#N/A,TRUE,"INT-Table";#N/A,#N/A,TRUE,"STEEL";#N/A,#N/A,TRUE,"Door"}</definedName>
    <definedName name="ssss" localSheetId="12" hidden="1">{#N/A,#N/A,TRUE,"Basic";#N/A,#N/A,TRUE,"EXT-TABLE";#N/A,#N/A,TRUE,"STEEL";#N/A,#N/A,TRUE,"INT-Table";#N/A,#N/A,TRUE,"STEEL";#N/A,#N/A,TRUE,"Door"}</definedName>
    <definedName name="ssss" localSheetId="7" hidden="1">{#N/A,#N/A,TRUE,"Basic";#N/A,#N/A,TRUE,"EXT-TABLE";#N/A,#N/A,TRUE,"STEEL";#N/A,#N/A,TRUE,"INT-Table";#N/A,#N/A,TRUE,"STEEL";#N/A,#N/A,TRUE,"Door"}</definedName>
    <definedName name="ssss" localSheetId="13" hidden="1">{#N/A,#N/A,TRUE,"Basic";#N/A,#N/A,TRUE,"EXT-TABLE";#N/A,#N/A,TRUE,"STEEL";#N/A,#N/A,TRUE,"INT-Table";#N/A,#N/A,TRUE,"STEEL";#N/A,#N/A,TRUE,"Door"}</definedName>
    <definedName name="ssss" localSheetId="8" hidden="1">{#N/A,#N/A,TRUE,"Basic";#N/A,#N/A,TRUE,"EXT-TABLE";#N/A,#N/A,TRUE,"STEEL";#N/A,#N/A,TRUE,"INT-Table";#N/A,#N/A,TRUE,"STEEL";#N/A,#N/A,TRUE,"Door"}</definedName>
    <definedName name="ssss" hidden="1">{#N/A,#N/A,TRUE,"Basic";#N/A,#N/A,TRUE,"EXT-TABLE";#N/A,#N/A,TRUE,"STEEL";#N/A,#N/A,TRUE,"INT-Table";#N/A,#N/A,TRUE,"STEEL";#N/A,#N/A,TRUE,"Door"}</definedName>
    <definedName name="SW" hidden="1">#REF!</definedName>
    <definedName name="TableSummary" localSheetId="5" hidden="1">#REF!</definedName>
    <definedName name="TableSummary" localSheetId="11" hidden="1">#REF!</definedName>
    <definedName name="TableSummary" localSheetId="6" hidden="1">#REF!</definedName>
    <definedName name="TableSummary" localSheetId="12" hidden="1">#REF!</definedName>
    <definedName name="TableSummary" localSheetId="7" hidden="1">#REF!</definedName>
    <definedName name="TableSummary" localSheetId="13" hidden="1">#REF!</definedName>
    <definedName name="TableSummary" localSheetId="8" hidden="1">#REF!</definedName>
    <definedName name="TableSummary" hidden="1">#REF!</definedName>
    <definedName name="timeext" localSheetId="11" hidden="1">{#N/A,#N/A,FALSE,"TABLE"}</definedName>
    <definedName name="timeext" localSheetId="12" hidden="1">{#N/A,#N/A,FALSE,"TABLE"}</definedName>
    <definedName name="timeext" localSheetId="13" hidden="1">{#N/A,#N/A,FALSE,"TABLE"}</definedName>
    <definedName name="timeext" localSheetId="8" hidden="1">{#N/A,#N/A,FALSE,"TABLE"}</definedName>
    <definedName name="timeext" hidden="1">{#N/A,#N/A,FALSE,"TABLE"}</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VB" localSheetId="11" hidden="1">{#N/A,#N/A,FALSE,"이태원철근"}</definedName>
    <definedName name="VB" localSheetId="12" hidden="1">{#N/A,#N/A,FALSE,"이태원철근"}</definedName>
    <definedName name="VB" localSheetId="13" hidden="1">{#N/A,#N/A,FALSE,"이태원철근"}</definedName>
    <definedName name="VB" localSheetId="8" hidden="1">{#N/A,#N/A,FALSE,"이태원철근"}</definedName>
    <definedName name="VB" hidden="1">{#N/A,#N/A,FALSE,"이태원철근"}</definedName>
    <definedName name="VBN" localSheetId="11" hidden="1">{#N/A,#N/A,FALSE,"이태원철근"}</definedName>
    <definedName name="VBN" localSheetId="12" hidden="1">{#N/A,#N/A,FALSE,"이태원철근"}</definedName>
    <definedName name="VBN" localSheetId="13" hidden="1">{#N/A,#N/A,FALSE,"이태원철근"}</definedName>
    <definedName name="VBN" localSheetId="8" hidden="1">{#N/A,#N/A,FALSE,"이태원철근"}</definedName>
    <definedName name="VBN" hidden="1">{#N/A,#N/A,FALSE,"이태원철근"}</definedName>
    <definedName name="VC" localSheetId="5" hidden="1">#REF!</definedName>
    <definedName name="VC" localSheetId="11" hidden="1">#REF!</definedName>
    <definedName name="VC" localSheetId="6" hidden="1">#REF!</definedName>
    <definedName name="VC" localSheetId="12" hidden="1">#REF!</definedName>
    <definedName name="VC" localSheetId="7" hidden="1">#REF!</definedName>
    <definedName name="VC" localSheetId="13" hidden="1">#REF!</definedName>
    <definedName name="VC" localSheetId="8" hidden="1">#REF!</definedName>
    <definedName name="VC" hidden="1">#REF!</definedName>
    <definedName name="vffsfs" localSheetId="5" hidden="1">{#N/A,#N/A,TRUE,"Basic";#N/A,#N/A,TRUE,"EXT-TABLE";#N/A,#N/A,TRUE,"STEEL";#N/A,#N/A,TRUE,"INT-Table";#N/A,#N/A,TRUE,"STEEL";#N/A,#N/A,TRUE,"Door"}</definedName>
    <definedName name="vffsfs" localSheetId="11" hidden="1">{#N/A,#N/A,TRUE,"Basic";#N/A,#N/A,TRUE,"EXT-TABLE";#N/A,#N/A,TRUE,"STEEL";#N/A,#N/A,TRUE,"INT-Table";#N/A,#N/A,TRUE,"STEEL";#N/A,#N/A,TRUE,"Door"}</definedName>
    <definedName name="vffsfs" localSheetId="6" hidden="1">{#N/A,#N/A,TRUE,"Basic";#N/A,#N/A,TRUE,"EXT-TABLE";#N/A,#N/A,TRUE,"STEEL";#N/A,#N/A,TRUE,"INT-Table";#N/A,#N/A,TRUE,"STEEL";#N/A,#N/A,TRUE,"Door"}</definedName>
    <definedName name="vffsfs" localSheetId="12" hidden="1">{#N/A,#N/A,TRUE,"Basic";#N/A,#N/A,TRUE,"EXT-TABLE";#N/A,#N/A,TRUE,"STEEL";#N/A,#N/A,TRUE,"INT-Table";#N/A,#N/A,TRUE,"STEEL";#N/A,#N/A,TRUE,"Door"}</definedName>
    <definedName name="vffsfs" localSheetId="7" hidden="1">{#N/A,#N/A,TRUE,"Basic";#N/A,#N/A,TRUE,"EXT-TABLE";#N/A,#N/A,TRUE,"STEEL";#N/A,#N/A,TRUE,"INT-Table";#N/A,#N/A,TRUE,"STEEL";#N/A,#N/A,TRUE,"Door"}</definedName>
    <definedName name="vffsfs" localSheetId="13" hidden="1">{#N/A,#N/A,TRUE,"Basic";#N/A,#N/A,TRUE,"EXT-TABLE";#N/A,#N/A,TRUE,"STEEL";#N/A,#N/A,TRUE,"INT-Table";#N/A,#N/A,TRUE,"STEEL";#N/A,#N/A,TRUE,"Door"}</definedName>
    <definedName name="vffsfs" localSheetId="8" hidden="1">{#N/A,#N/A,TRUE,"Basic";#N/A,#N/A,TRUE,"EXT-TABLE";#N/A,#N/A,TRUE,"STEEL";#N/A,#N/A,TRUE,"INT-Table";#N/A,#N/A,TRUE,"STEEL";#N/A,#N/A,TRUE,"Door"}</definedName>
    <definedName name="vffsfs" hidden="1">{#N/A,#N/A,TRUE,"Basic";#N/A,#N/A,TRUE,"EXT-TABLE";#N/A,#N/A,TRUE,"STEEL";#N/A,#N/A,TRUE,"INT-Table";#N/A,#N/A,TRUE,"STEEL";#N/A,#N/A,TRUE,"Door"}</definedName>
    <definedName name="vfhj" localSheetId="11" hidden="1">{#N/A,#N/A,TRUE,"Basic";#N/A,#N/A,TRUE,"EXT-TABLE";#N/A,#N/A,TRUE,"STEEL";#N/A,#N/A,TRUE,"INT-Table";#N/A,#N/A,TRUE,"STEEL";#N/A,#N/A,TRUE,"Door"}</definedName>
    <definedName name="vfhj" localSheetId="12" hidden="1">{#N/A,#N/A,TRUE,"Basic";#N/A,#N/A,TRUE,"EXT-TABLE";#N/A,#N/A,TRUE,"STEEL";#N/A,#N/A,TRUE,"INT-Table";#N/A,#N/A,TRUE,"STEEL";#N/A,#N/A,TRUE,"Door"}</definedName>
    <definedName name="vfhj" localSheetId="13" hidden="1">{#N/A,#N/A,TRUE,"Basic";#N/A,#N/A,TRUE,"EXT-TABLE";#N/A,#N/A,TRUE,"STEEL";#N/A,#N/A,TRUE,"INT-Table";#N/A,#N/A,TRUE,"STEEL";#N/A,#N/A,TRUE,"Door"}</definedName>
    <definedName name="vfhj" localSheetId="8" hidden="1">{#N/A,#N/A,TRUE,"Basic";#N/A,#N/A,TRUE,"EXT-TABLE";#N/A,#N/A,TRUE,"STEEL";#N/A,#N/A,TRUE,"INT-Table";#N/A,#N/A,TRUE,"STEEL";#N/A,#N/A,TRUE,"Door"}</definedName>
    <definedName name="vfhj" hidden="1">{#N/A,#N/A,TRUE,"Basic";#N/A,#N/A,TRUE,"EXT-TABLE";#N/A,#N/A,TRUE,"STEEL";#N/A,#N/A,TRUE,"INT-Table";#N/A,#N/A,TRUE,"STEEL";#N/A,#N/A,TRUE,"Door"}</definedName>
    <definedName name="VX" localSheetId="5" hidden="1">#REF!</definedName>
    <definedName name="VX" localSheetId="11" hidden="1">#REF!</definedName>
    <definedName name="VX" localSheetId="6" hidden="1">#REF!</definedName>
    <definedName name="VX" localSheetId="12" hidden="1">#REF!</definedName>
    <definedName name="VX" localSheetId="7" hidden="1">#REF!</definedName>
    <definedName name="VX" localSheetId="13" hidden="1">#REF!</definedName>
    <definedName name="VX" localSheetId="8" hidden="1">#REF!</definedName>
    <definedName name="VX" hidden="1">#REF!</definedName>
    <definedName name="W" localSheetId="5" hidden="1">{#N/A,#N/A,TRUE,"Basic";#N/A,#N/A,TRUE,"EXT-TABLE";#N/A,#N/A,TRUE,"STEEL";#N/A,#N/A,TRUE,"INT-Table";#N/A,#N/A,TRUE,"STEEL";#N/A,#N/A,TRUE,"Door"}</definedName>
    <definedName name="W" localSheetId="11" hidden="1">{#N/A,#N/A,TRUE,"Basic";#N/A,#N/A,TRUE,"EXT-TABLE";#N/A,#N/A,TRUE,"STEEL";#N/A,#N/A,TRUE,"INT-Table";#N/A,#N/A,TRUE,"STEEL";#N/A,#N/A,TRUE,"Door"}</definedName>
    <definedName name="W" localSheetId="6" hidden="1">{#N/A,#N/A,TRUE,"Basic";#N/A,#N/A,TRUE,"EXT-TABLE";#N/A,#N/A,TRUE,"STEEL";#N/A,#N/A,TRUE,"INT-Table";#N/A,#N/A,TRUE,"STEEL";#N/A,#N/A,TRUE,"Door"}</definedName>
    <definedName name="W" localSheetId="12" hidden="1">{#N/A,#N/A,TRUE,"Basic";#N/A,#N/A,TRUE,"EXT-TABLE";#N/A,#N/A,TRUE,"STEEL";#N/A,#N/A,TRUE,"INT-Table";#N/A,#N/A,TRUE,"STEEL";#N/A,#N/A,TRUE,"Door"}</definedName>
    <definedName name="W" localSheetId="7" hidden="1">{#N/A,#N/A,TRUE,"Basic";#N/A,#N/A,TRUE,"EXT-TABLE";#N/A,#N/A,TRUE,"STEEL";#N/A,#N/A,TRUE,"INT-Table";#N/A,#N/A,TRUE,"STEEL";#N/A,#N/A,TRUE,"Door"}</definedName>
    <definedName name="W" localSheetId="13" hidden="1">{#N/A,#N/A,TRUE,"Basic";#N/A,#N/A,TRUE,"EXT-TABLE";#N/A,#N/A,TRUE,"STEEL";#N/A,#N/A,TRUE,"INT-Table";#N/A,#N/A,TRUE,"STEEL";#N/A,#N/A,TRUE,"Door"}</definedName>
    <definedName name="W" localSheetId="8" hidden="1">{#N/A,#N/A,TRUE,"Basic";#N/A,#N/A,TRUE,"EXT-TABLE";#N/A,#N/A,TRUE,"STEEL";#N/A,#N/A,TRUE,"INT-Table";#N/A,#N/A,TRUE,"STEEL";#N/A,#N/A,TRUE,"Door"}</definedName>
    <definedName name="W" hidden="1">{#N/A,#N/A,TRUE,"Basic";#N/A,#N/A,TRUE,"EXT-TABLE";#N/A,#N/A,TRUE,"STEEL";#N/A,#N/A,TRUE,"INT-Table";#N/A,#N/A,TRUE,"STEEL";#N/A,#N/A,TRUE,"Door"}</definedName>
    <definedName name="WFC" localSheetId="5" hidden="1">#REF!</definedName>
    <definedName name="WFC" localSheetId="11" hidden="1">#REF!</definedName>
    <definedName name="WFC" localSheetId="6" hidden="1">#REF!</definedName>
    <definedName name="WFC" localSheetId="12" hidden="1">#REF!</definedName>
    <definedName name="WFC" localSheetId="7" hidden="1">#REF!</definedName>
    <definedName name="WFC" localSheetId="13" hidden="1">#REF!</definedName>
    <definedName name="WFC" localSheetId="8" hidden="1">#REF!</definedName>
    <definedName name="WFC" hidden="1">#REF!</definedName>
    <definedName name="WORKSHOP" localSheetId="11" hidden="1">{#N/A,#N/A,TRUE,"Basic";#N/A,#N/A,TRUE,"EXT-TABLE";#N/A,#N/A,TRUE,"STEEL";#N/A,#N/A,TRUE,"INT-Table";#N/A,#N/A,TRUE,"STEEL";#N/A,#N/A,TRUE,"Door"}</definedName>
    <definedName name="WORKSHOP" localSheetId="12" hidden="1">{#N/A,#N/A,TRUE,"Basic";#N/A,#N/A,TRUE,"EXT-TABLE";#N/A,#N/A,TRUE,"STEEL";#N/A,#N/A,TRUE,"INT-Table";#N/A,#N/A,TRUE,"STEEL";#N/A,#N/A,TRUE,"Door"}</definedName>
    <definedName name="WORKSHOP" localSheetId="13" hidden="1">{#N/A,#N/A,TRUE,"Basic";#N/A,#N/A,TRUE,"EXT-TABLE";#N/A,#N/A,TRUE,"STEEL";#N/A,#N/A,TRUE,"INT-Table";#N/A,#N/A,TRUE,"STEEL";#N/A,#N/A,TRUE,"Door"}</definedName>
    <definedName name="WORKSHOP" localSheetId="8" hidden="1">{#N/A,#N/A,TRUE,"Basic";#N/A,#N/A,TRUE,"EXT-TABLE";#N/A,#N/A,TRUE,"STEEL";#N/A,#N/A,TRUE,"INT-Table";#N/A,#N/A,TRUE,"STEEL";#N/A,#N/A,TRUE,"Door"}</definedName>
    <definedName name="WORKSHOP" hidden="1">{#N/A,#N/A,TRUE,"Basic";#N/A,#N/A,TRUE,"EXT-TABLE";#N/A,#N/A,TRUE,"STEEL";#N/A,#N/A,TRUE,"INT-Table";#N/A,#N/A,TRUE,"STEEL";#N/A,#N/A,TRUE,"Door"}</definedName>
    <definedName name="WRITE" localSheetId="11" hidden="1">{#N/A,#N/A,FALSE,"CCTV"}</definedName>
    <definedName name="WRITE" localSheetId="12" hidden="1">{#N/A,#N/A,FALSE,"CCTV"}</definedName>
    <definedName name="WRITE" localSheetId="13" hidden="1">{#N/A,#N/A,FALSE,"CCTV"}</definedName>
    <definedName name="WRITE" localSheetId="8" hidden="1">{#N/A,#N/A,FALSE,"CCTV"}</definedName>
    <definedName name="WRITE" hidden="1">{#N/A,#N/A,FALSE,"CCTV"}</definedName>
    <definedName name="wrn.BM." localSheetId="5" hidden="1">{#N/A,#N/A,TRUE,"Basic";#N/A,#N/A,TRUE,"EXT-TABLE";#N/A,#N/A,TRUE,"STEEL";#N/A,#N/A,TRUE,"INT-Table";#N/A,#N/A,TRUE,"STEEL";#N/A,#N/A,TRUE,"Door"}</definedName>
    <definedName name="wrn.BM." localSheetId="11" hidden="1">{#N/A,#N/A,TRUE,"Basic";#N/A,#N/A,TRUE,"EXT-TABLE";#N/A,#N/A,TRUE,"STEEL";#N/A,#N/A,TRUE,"INT-Table";#N/A,#N/A,TRUE,"STEEL";#N/A,#N/A,TRUE,"Door"}</definedName>
    <definedName name="wrn.BM." localSheetId="6" hidden="1">{#N/A,#N/A,TRUE,"Basic";#N/A,#N/A,TRUE,"EXT-TABLE";#N/A,#N/A,TRUE,"STEEL";#N/A,#N/A,TRUE,"INT-Table";#N/A,#N/A,TRUE,"STEEL";#N/A,#N/A,TRUE,"Door"}</definedName>
    <definedName name="wrn.BM." localSheetId="12" hidden="1">{#N/A,#N/A,TRUE,"Basic";#N/A,#N/A,TRUE,"EXT-TABLE";#N/A,#N/A,TRUE,"STEEL";#N/A,#N/A,TRUE,"INT-Table";#N/A,#N/A,TRUE,"STEEL";#N/A,#N/A,TRUE,"Door"}</definedName>
    <definedName name="wrn.BM." localSheetId="7" hidden="1">{#N/A,#N/A,TRUE,"Basic";#N/A,#N/A,TRUE,"EXT-TABLE";#N/A,#N/A,TRUE,"STEEL";#N/A,#N/A,TRUE,"INT-Table";#N/A,#N/A,TRUE,"STEEL";#N/A,#N/A,TRUE,"Door"}</definedName>
    <definedName name="wrn.BM." localSheetId="13" hidden="1">{#N/A,#N/A,TRUE,"Basic";#N/A,#N/A,TRUE,"EXT-TABLE";#N/A,#N/A,TRUE,"STEEL";#N/A,#N/A,TRUE,"INT-Table";#N/A,#N/A,TRUE,"STEEL";#N/A,#N/A,TRUE,"Door"}</definedName>
    <definedName name="wrn.BM." localSheetId="8" hidden="1">{#N/A,#N/A,TRUE,"Basic";#N/A,#N/A,TRUE,"EXT-TABLE";#N/A,#N/A,TRUE,"STEEL";#N/A,#N/A,TRUE,"INT-Table";#N/A,#N/A,TRUE,"STEEL";#N/A,#N/A,TRUE,"Door"}</definedName>
    <definedName name="wrn.BM." hidden="1">{#N/A,#N/A,TRUE,"Basic";#N/A,#N/A,TRUE,"EXT-TABLE";#N/A,#N/A,TRUE,"STEEL";#N/A,#N/A,TRUE,"INT-Table";#N/A,#N/A,TRUE,"STEEL";#N/A,#N/A,TRUE,"Door"}</definedName>
    <definedName name="wrn.Equipment._.List." localSheetId="5" hidden="1">{#N/A,#N/A,TRUE,"COVERSHEET";#N/A,#N/A,TRUE,"LEGEND";#N/A,#N/A,TRUE,"LIST"}</definedName>
    <definedName name="wrn.Equipment._.List." localSheetId="11" hidden="1">{#N/A,#N/A,TRUE,"COVERSHEET";#N/A,#N/A,TRUE,"LEGEND";#N/A,#N/A,TRUE,"LIST"}</definedName>
    <definedName name="wrn.Equipment._.List." localSheetId="6" hidden="1">{#N/A,#N/A,TRUE,"COVERSHEET";#N/A,#N/A,TRUE,"LEGEND";#N/A,#N/A,TRUE,"LIST"}</definedName>
    <definedName name="wrn.Equipment._.List." localSheetId="12" hidden="1">{#N/A,#N/A,TRUE,"COVERSHEET";#N/A,#N/A,TRUE,"LEGEND";#N/A,#N/A,TRUE,"LIST"}</definedName>
    <definedName name="wrn.Equipment._.List." localSheetId="7" hidden="1">{#N/A,#N/A,TRUE,"COVERSHEET";#N/A,#N/A,TRUE,"LEGEND";#N/A,#N/A,TRUE,"LIST"}</definedName>
    <definedName name="wrn.Equipment._.List." localSheetId="13" hidden="1">{#N/A,#N/A,TRUE,"COVERSHEET";#N/A,#N/A,TRUE,"LEGEND";#N/A,#N/A,TRUE,"LIST"}</definedName>
    <definedName name="wrn.Equipment._.List." localSheetId="8" hidden="1">{#N/A,#N/A,TRUE,"COVERSHEET";#N/A,#N/A,TRUE,"LEGEND";#N/A,#N/A,TRUE,"LIST"}</definedName>
    <definedName name="wrn.Equipment._.List." hidden="1">{#N/A,#N/A,TRUE,"COVERSHEET";#N/A,#N/A,TRUE,"LEGEND";#N/A,#N/A,TRUE,"LIST"}</definedName>
    <definedName name="wrn.LISTE_CONSO." localSheetId="11" hidden="1">{#N/A,#N/A,FALSE,"PageGarde";#N/A,#N/A,FALSE,"Notes";#N/A,#N/A,FALSE,"LCE"}</definedName>
    <definedName name="wrn.LISTE_CONSO." localSheetId="12" hidden="1">{#N/A,#N/A,FALSE,"PageGarde";#N/A,#N/A,FALSE,"Notes";#N/A,#N/A,FALSE,"LCE"}</definedName>
    <definedName name="wrn.LISTE_CONSO." localSheetId="13" hidden="1">{#N/A,#N/A,FALSE,"PageGarde";#N/A,#N/A,FALSE,"Notes";#N/A,#N/A,FALSE,"LCE"}</definedName>
    <definedName name="wrn.LISTE_CONSO." localSheetId="8" hidden="1">{#N/A,#N/A,FALSE,"PageGarde";#N/A,#N/A,FALSE,"Notes";#N/A,#N/A,FALSE,"LCE"}</definedName>
    <definedName name="wrn.LISTE_CONSO." hidden="1">{#N/A,#N/A,FALSE,"PageGarde";#N/A,#N/A,FALSE,"Notes";#N/A,#N/A,FALSE,"LCE"}</definedName>
    <definedName name="wrn.ratio." localSheetId="11" hidden="1">{#N/A,#N/A,FALSE,"JACKETS (1100 t) (1)"}</definedName>
    <definedName name="wrn.ratio." localSheetId="12" hidden="1">{#N/A,#N/A,FALSE,"JACKETS (1100 t) (1)"}</definedName>
    <definedName name="wrn.ratio." localSheetId="13" hidden="1">{#N/A,#N/A,FALSE,"JACKETS (1100 t) (1)"}</definedName>
    <definedName name="wrn.ratio." localSheetId="8" hidden="1">{#N/A,#N/A,FALSE,"JACKETS (1100 t) (1)"}</definedName>
    <definedName name="wrn.ratio." hidden="1">{#N/A,#N/A,FALSE,"JACKETS (1100 t) (1)"}</definedName>
    <definedName name="wrn.STAFFS." localSheetId="11" hidden="1">{#N/A,#N/A,FALSE,"TABLE"}</definedName>
    <definedName name="wrn.STAFFS." localSheetId="12" hidden="1">{#N/A,#N/A,FALSE,"TABLE"}</definedName>
    <definedName name="wrn.STAFFS." localSheetId="13" hidden="1">{#N/A,#N/A,FALSE,"TABLE"}</definedName>
    <definedName name="wrn.STAFFS." localSheetId="8" hidden="1">{#N/A,#N/A,FALSE,"TABLE"}</definedName>
    <definedName name="wrn.STAFFS." hidden="1">{#N/A,#N/A,FALSE,"TABLE"}</definedName>
    <definedName name="wrn.x." localSheetId="11" hidden="1">{#N/A,#N/A,FALSE,"fax답변"}</definedName>
    <definedName name="wrn.x." localSheetId="12" hidden="1">{#N/A,#N/A,FALSE,"fax답변"}</definedName>
    <definedName name="wrn.x." localSheetId="13" hidden="1">{#N/A,#N/A,FALSE,"fax답변"}</definedName>
    <definedName name="wrn.x." localSheetId="8" hidden="1">{#N/A,#N/A,FALSE,"fax답변"}</definedName>
    <definedName name="wrn.x." hidden="1">{#N/A,#N/A,FALSE,"fax답변"}</definedName>
    <definedName name="wrn.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용찬." localSheetId="11" hidden="1">{#N/A,#N/A,TRUE,"토적및재료집계";#N/A,#N/A,TRUE,"토적및재료집계";#N/A,#N/A,TRUE,"단위량"}</definedName>
    <definedName name="wrn.신용찬." localSheetId="12" hidden="1">{#N/A,#N/A,TRUE,"토적및재료집계";#N/A,#N/A,TRUE,"토적및재료집계";#N/A,#N/A,TRUE,"단위량"}</definedName>
    <definedName name="wrn.신용찬." localSheetId="13" hidden="1">{#N/A,#N/A,TRUE,"토적및재료집계";#N/A,#N/A,TRUE,"토적및재료집계";#N/A,#N/A,TRUE,"단위량"}</definedName>
    <definedName name="wrn.신용찬." localSheetId="8" hidden="1">{#N/A,#N/A,TRUE,"토적및재료집계";#N/A,#N/A,TRUE,"토적및재료집계";#N/A,#N/A,TRUE,"단위량"}</definedName>
    <definedName name="wrn.신용찬." hidden="1">{#N/A,#N/A,TRUE,"토적및재료집계";#N/A,#N/A,TRUE,"토적및재료집계";#N/A,#N/A,TRUE,"단위량"}</definedName>
    <definedName name="wrn.이태원._.철근." localSheetId="11" hidden="1">{#N/A,#N/A,FALSE,"이태원철근"}</definedName>
    <definedName name="wrn.이태원._.철근." localSheetId="12" hidden="1">{#N/A,#N/A,FALSE,"이태원철근"}</definedName>
    <definedName name="wrn.이태원._.철근." localSheetId="13" hidden="1">{#N/A,#N/A,FALSE,"이태원철근"}</definedName>
    <definedName name="wrn.이태원._.철근." localSheetId="8" hidden="1">{#N/A,#N/A,FALSE,"이태원철근"}</definedName>
    <definedName name="wrn.이태원._.철근." hidden="1">{#N/A,#N/A,FALSE,"이태원철근"}</definedName>
    <definedName name="ww" localSheetId="5" hidden="1">{#N/A,#N/A,TRUE,"Basic";#N/A,#N/A,TRUE,"EXT-TABLE";#N/A,#N/A,TRUE,"STEEL";#N/A,#N/A,TRUE,"INT-Table";#N/A,#N/A,TRUE,"STEEL";#N/A,#N/A,TRUE,"Door"}</definedName>
    <definedName name="ww" localSheetId="11" hidden="1">{#N/A,#N/A,TRUE,"Basic";#N/A,#N/A,TRUE,"EXT-TABLE";#N/A,#N/A,TRUE,"STEEL";#N/A,#N/A,TRUE,"INT-Table";#N/A,#N/A,TRUE,"STEEL";#N/A,#N/A,TRUE,"Door"}</definedName>
    <definedName name="ww" localSheetId="6" hidden="1">{#N/A,#N/A,TRUE,"Basic";#N/A,#N/A,TRUE,"EXT-TABLE";#N/A,#N/A,TRUE,"STEEL";#N/A,#N/A,TRUE,"INT-Table";#N/A,#N/A,TRUE,"STEEL";#N/A,#N/A,TRUE,"Door"}</definedName>
    <definedName name="ww" localSheetId="12" hidden="1">{#N/A,#N/A,TRUE,"Basic";#N/A,#N/A,TRUE,"EXT-TABLE";#N/A,#N/A,TRUE,"STEEL";#N/A,#N/A,TRUE,"INT-Table";#N/A,#N/A,TRUE,"STEEL";#N/A,#N/A,TRUE,"Door"}</definedName>
    <definedName name="ww" localSheetId="7" hidden="1">{#N/A,#N/A,TRUE,"Basic";#N/A,#N/A,TRUE,"EXT-TABLE";#N/A,#N/A,TRUE,"STEEL";#N/A,#N/A,TRUE,"INT-Table";#N/A,#N/A,TRUE,"STEEL";#N/A,#N/A,TRUE,"Door"}</definedName>
    <definedName name="ww" localSheetId="13" hidden="1">{#N/A,#N/A,TRUE,"Basic";#N/A,#N/A,TRUE,"EXT-TABLE";#N/A,#N/A,TRUE,"STEEL";#N/A,#N/A,TRUE,"INT-Table";#N/A,#N/A,TRUE,"STEEL";#N/A,#N/A,TRUE,"Door"}</definedName>
    <definedName name="ww" localSheetId="8" hidden="1">{#N/A,#N/A,TRUE,"Basic";#N/A,#N/A,TRUE,"EXT-TABLE";#N/A,#N/A,TRUE,"STEEL";#N/A,#N/A,TRUE,"INT-Table";#N/A,#N/A,TRUE,"STEEL";#N/A,#N/A,TRUE,"Door"}</definedName>
    <definedName name="ww" hidden="1">{#N/A,#N/A,TRUE,"Basic";#N/A,#N/A,TRUE,"EXT-TABLE";#N/A,#N/A,TRUE,"STEEL";#N/A,#N/A,TRUE,"INT-Table";#N/A,#N/A,TRUE,"STEEL";#N/A,#N/A,TRUE,"Door"}</definedName>
    <definedName name="www" localSheetId="5" hidden="1">{#N/A,#N/A,TRUE,"Basic";#N/A,#N/A,TRUE,"EXT-TABLE";#N/A,#N/A,TRUE,"STEEL";#N/A,#N/A,TRUE,"INT-Table";#N/A,#N/A,TRUE,"STEEL";#N/A,#N/A,TRUE,"Door"}</definedName>
    <definedName name="www" localSheetId="11" hidden="1">{#N/A,#N/A,TRUE,"Basic";#N/A,#N/A,TRUE,"EXT-TABLE";#N/A,#N/A,TRUE,"STEEL";#N/A,#N/A,TRUE,"INT-Table";#N/A,#N/A,TRUE,"STEEL";#N/A,#N/A,TRUE,"Door"}</definedName>
    <definedName name="www" localSheetId="6" hidden="1">{#N/A,#N/A,TRUE,"Basic";#N/A,#N/A,TRUE,"EXT-TABLE";#N/A,#N/A,TRUE,"STEEL";#N/A,#N/A,TRUE,"INT-Table";#N/A,#N/A,TRUE,"STEEL";#N/A,#N/A,TRUE,"Door"}</definedName>
    <definedName name="www" localSheetId="12" hidden="1">{#N/A,#N/A,TRUE,"Basic";#N/A,#N/A,TRUE,"EXT-TABLE";#N/A,#N/A,TRUE,"STEEL";#N/A,#N/A,TRUE,"INT-Table";#N/A,#N/A,TRUE,"STEEL";#N/A,#N/A,TRUE,"Door"}</definedName>
    <definedName name="www" localSheetId="7" hidden="1">{#N/A,#N/A,TRUE,"Basic";#N/A,#N/A,TRUE,"EXT-TABLE";#N/A,#N/A,TRUE,"STEEL";#N/A,#N/A,TRUE,"INT-Table";#N/A,#N/A,TRUE,"STEEL";#N/A,#N/A,TRUE,"Door"}</definedName>
    <definedName name="www" localSheetId="13" hidden="1">{#N/A,#N/A,TRUE,"Basic";#N/A,#N/A,TRUE,"EXT-TABLE";#N/A,#N/A,TRUE,"STEEL";#N/A,#N/A,TRUE,"INT-Table";#N/A,#N/A,TRUE,"STEEL";#N/A,#N/A,TRUE,"Door"}</definedName>
    <definedName name="www" localSheetId="8" hidden="1">{#N/A,#N/A,TRUE,"Basic";#N/A,#N/A,TRUE,"EXT-TABLE";#N/A,#N/A,TRUE,"STEEL";#N/A,#N/A,TRUE,"INT-Table";#N/A,#N/A,TRUE,"STEEL";#N/A,#N/A,TRUE,"Door"}</definedName>
    <definedName name="www" hidden="1">{#N/A,#N/A,TRUE,"Basic";#N/A,#N/A,TRUE,"EXT-TABLE";#N/A,#N/A,TRUE,"STEEL";#N/A,#N/A,TRUE,"INT-Table";#N/A,#N/A,TRUE,"STEEL";#N/A,#N/A,TRUE,"Door"}</definedName>
    <definedName name="Y" localSheetId="11" hidden="1">{#N/A,#N/A,FALSE,"이태원철근"}</definedName>
    <definedName name="Y" localSheetId="12" hidden="1">{#N/A,#N/A,FALSE,"이태원철근"}</definedName>
    <definedName name="Y" localSheetId="13" hidden="1">{#N/A,#N/A,FALSE,"이태원철근"}</definedName>
    <definedName name="Y" localSheetId="8" hidden="1">{#N/A,#N/A,FALSE,"이태원철근"}</definedName>
    <definedName name="Y" hidden="1">{#N/A,#N/A,FALSE,"이태원철근"}</definedName>
    <definedName name="ynkim" localSheetId="5" hidden="1">{#N/A,#N/A,TRUE,"Basic";#N/A,#N/A,TRUE,"EXT-TABLE";#N/A,#N/A,TRUE,"STEEL";#N/A,#N/A,TRUE,"INT-Table";#N/A,#N/A,TRUE,"STEEL";#N/A,#N/A,TRUE,"Door"}</definedName>
    <definedName name="ynkim" localSheetId="11" hidden="1">{#N/A,#N/A,TRUE,"Basic";#N/A,#N/A,TRUE,"EXT-TABLE";#N/A,#N/A,TRUE,"STEEL";#N/A,#N/A,TRUE,"INT-Table";#N/A,#N/A,TRUE,"STEEL";#N/A,#N/A,TRUE,"Door"}</definedName>
    <definedName name="ynkim" localSheetId="6" hidden="1">{#N/A,#N/A,TRUE,"Basic";#N/A,#N/A,TRUE,"EXT-TABLE";#N/A,#N/A,TRUE,"STEEL";#N/A,#N/A,TRUE,"INT-Table";#N/A,#N/A,TRUE,"STEEL";#N/A,#N/A,TRUE,"Door"}</definedName>
    <definedName name="ynkim" localSheetId="12" hidden="1">{#N/A,#N/A,TRUE,"Basic";#N/A,#N/A,TRUE,"EXT-TABLE";#N/A,#N/A,TRUE,"STEEL";#N/A,#N/A,TRUE,"INT-Table";#N/A,#N/A,TRUE,"STEEL";#N/A,#N/A,TRUE,"Door"}</definedName>
    <definedName name="ynkim" localSheetId="7" hidden="1">{#N/A,#N/A,TRUE,"Basic";#N/A,#N/A,TRUE,"EXT-TABLE";#N/A,#N/A,TRUE,"STEEL";#N/A,#N/A,TRUE,"INT-Table";#N/A,#N/A,TRUE,"STEEL";#N/A,#N/A,TRUE,"Door"}</definedName>
    <definedName name="ynkim" localSheetId="13" hidden="1">{#N/A,#N/A,TRUE,"Basic";#N/A,#N/A,TRUE,"EXT-TABLE";#N/A,#N/A,TRUE,"STEEL";#N/A,#N/A,TRUE,"INT-Table";#N/A,#N/A,TRUE,"STEEL";#N/A,#N/A,TRUE,"Door"}</definedName>
    <definedName name="ynkim" localSheetId="8" hidden="1">{#N/A,#N/A,TRUE,"Basic";#N/A,#N/A,TRUE,"EXT-TABLE";#N/A,#N/A,TRUE,"STEEL";#N/A,#N/A,TRUE,"INT-Table";#N/A,#N/A,TRUE,"STEEL";#N/A,#N/A,TRUE,"Door"}</definedName>
    <definedName name="ynkim" hidden="1">{#N/A,#N/A,TRUE,"Basic";#N/A,#N/A,TRUE,"EXT-TABLE";#N/A,#N/A,TRUE,"STEEL";#N/A,#N/A,TRUE,"INT-Table";#N/A,#N/A,TRUE,"STEEL";#N/A,#N/A,TRUE,"Door"}</definedName>
    <definedName name="YYYYY" localSheetId="5" hidden="1">#REF!</definedName>
    <definedName name="YYYYY" localSheetId="11" hidden="1">#REF!</definedName>
    <definedName name="YYYYY" localSheetId="6" hidden="1">#REF!</definedName>
    <definedName name="YYYYY" localSheetId="12" hidden="1">#REF!</definedName>
    <definedName name="YYYYY" localSheetId="7" hidden="1">#REF!</definedName>
    <definedName name="YYYYY" localSheetId="13" hidden="1">#REF!</definedName>
    <definedName name="YYYYY" localSheetId="8" hidden="1">#REF!</definedName>
    <definedName name="YYYYY" hidden="1">#REF!</definedName>
    <definedName name="ZXC" localSheetId="11" hidden="1">{#N/A,#N/A,FALSE,"이태원철근"}</definedName>
    <definedName name="ZXC" localSheetId="12" hidden="1">{#N/A,#N/A,FALSE,"이태원철근"}</definedName>
    <definedName name="ZXC" localSheetId="13" hidden="1">{#N/A,#N/A,FALSE,"이태원철근"}</definedName>
    <definedName name="ZXC" localSheetId="8" hidden="1">{#N/A,#N/A,FALSE,"이태원철근"}</definedName>
    <definedName name="ZXC" hidden="1">{#N/A,#N/A,FALSE,"이태원철근"}</definedName>
    <definedName name="zzz" localSheetId="11" hidden="1">{#N/A,#N/A,TRUE,"Basic";#N/A,#N/A,TRUE,"EXT-TABLE";#N/A,#N/A,TRUE,"STEEL";#N/A,#N/A,TRUE,"INT-Table";#N/A,#N/A,TRUE,"STEEL";#N/A,#N/A,TRUE,"Door"}</definedName>
    <definedName name="zzz" localSheetId="12" hidden="1">{#N/A,#N/A,TRUE,"Basic";#N/A,#N/A,TRUE,"EXT-TABLE";#N/A,#N/A,TRUE,"STEEL";#N/A,#N/A,TRUE,"INT-Table";#N/A,#N/A,TRUE,"STEEL";#N/A,#N/A,TRUE,"Door"}</definedName>
    <definedName name="zzz" localSheetId="13" hidden="1">{#N/A,#N/A,TRUE,"Basic";#N/A,#N/A,TRUE,"EXT-TABLE";#N/A,#N/A,TRUE,"STEEL";#N/A,#N/A,TRUE,"INT-Table";#N/A,#N/A,TRUE,"STEEL";#N/A,#N/A,TRUE,"Door"}</definedName>
    <definedName name="zzz" localSheetId="8" hidden="1">{#N/A,#N/A,TRUE,"Basic";#N/A,#N/A,TRUE,"EXT-TABLE";#N/A,#N/A,TRUE,"STEEL";#N/A,#N/A,TRUE,"INT-Table";#N/A,#N/A,TRUE,"STEEL";#N/A,#N/A,TRUE,"Door"}</definedName>
    <definedName name="zzz" hidden="1">{#N/A,#N/A,TRUE,"Basic";#N/A,#N/A,TRUE,"EXT-TABLE";#N/A,#N/A,TRUE,"STEEL";#N/A,#N/A,TRUE,"INT-Table";#N/A,#N/A,TRUE,"STEEL";#N/A,#N/A,TRUE,"Door"}</definedName>
    <definedName name="ㄱㄱㄱ" localSheetId="11" hidden="1">{#N/A,#N/A,FALSE,"이태원철근"}</definedName>
    <definedName name="ㄱㄱㄱ" localSheetId="12" hidden="1">{#N/A,#N/A,FALSE,"이태원철근"}</definedName>
    <definedName name="ㄱㄱㄱ" localSheetId="13" hidden="1">{#N/A,#N/A,FALSE,"이태원철근"}</definedName>
    <definedName name="ㄱㄱㄱ" localSheetId="8" hidden="1">{#N/A,#N/A,FALSE,"이태원철근"}</definedName>
    <definedName name="ㄱㄱㄱ" hidden="1">{#N/A,#N/A,FALSE,"이태원철근"}</definedName>
    <definedName name="ㄱㄱㄱㄱ" localSheetId="11" hidden="1">{#N/A,#N/A,FALSE,"이태원철근"}</definedName>
    <definedName name="ㄱㄱㄱㄱ" localSheetId="12" hidden="1">{#N/A,#N/A,FALSE,"이태원철근"}</definedName>
    <definedName name="ㄱㄱㄱㄱ" localSheetId="13" hidden="1">{#N/A,#N/A,FALSE,"이태원철근"}</definedName>
    <definedName name="ㄱㄱㄱㄱ" localSheetId="8" hidden="1">{#N/A,#N/A,FALSE,"이태원철근"}</definedName>
    <definedName name="ㄱㄱㄱㄱ" hidden="1">{#N/A,#N/A,FALSE,"이태원철근"}</definedName>
    <definedName name="ㄱㄷㅈㅂㄱㄷㅈ" localSheetId="11" hidden="1">{#N/A,#N/A,FALSE,"이태원철근"}</definedName>
    <definedName name="ㄱㄷㅈㅂㄱㄷㅈ" localSheetId="12" hidden="1">{#N/A,#N/A,FALSE,"이태원철근"}</definedName>
    <definedName name="ㄱㄷㅈㅂㄱㄷㅈ" localSheetId="13" hidden="1">{#N/A,#N/A,FALSE,"이태원철근"}</definedName>
    <definedName name="ㄱㄷㅈㅂㄱㄷㅈ" localSheetId="8" hidden="1">{#N/A,#N/A,FALSE,"이태원철근"}</definedName>
    <definedName name="ㄱㄷㅈㅂㄱㄷㅈ" hidden="1">{#N/A,#N/A,FALSE,"이태원철근"}</definedName>
    <definedName name="ㄱ미" localSheetId="5" hidden="1">{#N/A,#N/A,TRUE,"Basic";#N/A,#N/A,TRUE,"EXT-TABLE";#N/A,#N/A,TRUE,"STEEL";#N/A,#N/A,TRUE,"INT-Table";#N/A,#N/A,TRUE,"STEEL";#N/A,#N/A,TRUE,"Door"}</definedName>
    <definedName name="ㄱ미" localSheetId="11" hidden="1">{#N/A,#N/A,TRUE,"Basic";#N/A,#N/A,TRUE,"EXT-TABLE";#N/A,#N/A,TRUE,"STEEL";#N/A,#N/A,TRUE,"INT-Table";#N/A,#N/A,TRUE,"STEEL";#N/A,#N/A,TRUE,"Door"}</definedName>
    <definedName name="ㄱ미" localSheetId="6" hidden="1">{#N/A,#N/A,TRUE,"Basic";#N/A,#N/A,TRUE,"EXT-TABLE";#N/A,#N/A,TRUE,"STEEL";#N/A,#N/A,TRUE,"INT-Table";#N/A,#N/A,TRUE,"STEEL";#N/A,#N/A,TRUE,"Door"}</definedName>
    <definedName name="ㄱ미" localSheetId="12" hidden="1">{#N/A,#N/A,TRUE,"Basic";#N/A,#N/A,TRUE,"EXT-TABLE";#N/A,#N/A,TRUE,"STEEL";#N/A,#N/A,TRUE,"INT-Table";#N/A,#N/A,TRUE,"STEEL";#N/A,#N/A,TRUE,"Door"}</definedName>
    <definedName name="ㄱ미" localSheetId="7" hidden="1">{#N/A,#N/A,TRUE,"Basic";#N/A,#N/A,TRUE,"EXT-TABLE";#N/A,#N/A,TRUE,"STEEL";#N/A,#N/A,TRUE,"INT-Table";#N/A,#N/A,TRUE,"STEEL";#N/A,#N/A,TRUE,"Door"}</definedName>
    <definedName name="ㄱ미" localSheetId="13" hidden="1">{#N/A,#N/A,TRUE,"Basic";#N/A,#N/A,TRUE,"EXT-TABLE";#N/A,#N/A,TRUE,"STEEL";#N/A,#N/A,TRUE,"INT-Table";#N/A,#N/A,TRUE,"STEEL";#N/A,#N/A,TRUE,"Door"}</definedName>
    <definedName name="ㄱ미" localSheetId="8" hidden="1">{#N/A,#N/A,TRUE,"Basic";#N/A,#N/A,TRUE,"EXT-TABLE";#N/A,#N/A,TRUE,"STEEL";#N/A,#N/A,TRUE,"INT-Table";#N/A,#N/A,TRUE,"STEEL";#N/A,#N/A,TRUE,"Door"}</definedName>
    <definedName name="ㄱ미" hidden="1">{#N/A,#N/A,TRUE,"Basic";#N/A,#N/A,TRUE,"EXT-TABLE";#N/A,#N/A,TRUE,"STEEL";#N/A,#N/A,TRUE,"INT-Table";#N/A,#N/A,TRUE,"STEEL";#N/A,#N/A,TRUE,"Door"}</definedName>
    <definedName name="ㄱ쇽숏교" localSheetId="11" hidden="1">{#N/A,#N/A,FALSE,"이태원철근"}</definedName>
    <definedName name="ㄱ쇽숏교" localSheetId="12" hidden="1">{#N/A,#N/A,FALSE,"이태원철근"}</definedName>
    <definedName name="ㄱ쇽숏교" localSheetId="13" hidden="1">{#N/A,#N/A,FALSE,"이태원철근"}</definedName>
    <definedName name="ㄱ쇽숏교" localSheetId="8" hidden="1">{#N/A,#N/A,FALSE,"이태원철근"}</definedName>
    <definedName name="ㄱ쇽숏교" hidden="1">{#N/A,#N/A,FALSE,"이태원철근"}</definedName>
    <definedName name="ㄱ숏ㄱ요오헐" localSheetId="11" hidden="1">{#N/A,#N/A,FALSE,"이태원철근"}</definedName>
    <definedName name="ㄱ숏ㄱ요오헐" localSheetId="12" hidden="1">{#N/A,#N/A,FALSE,"이태원철근"}</definedName>
    <definedName name="ㄱ숏ㄱ요오헐" localSheetId="13" hidden="1">{#N/A,#N/A,FALSE,"이태원철근"}</definedName>
    <definedName name="ㄱ숏ㄱ요오헐" localSheetId="8" hidden="1">{#N/A,#N/A,FALSE,"이태원철근"}</definedName>
    <definedName name="ㄱ숏ㄱ요오헐" hidden="1">{#N/A,#N/A,FALSE,"이태원철근"}</definedName>
    <definedName name="가갸" localSheetId="11" hidden="1">{#N/A,#N/A,FALSE,"이태원철근"}</definedName>
    <definedName name="가갸" localSheetId="12" hidden="1">{#N/A,#N/A,FALSE,"이태원철근"}</definedName>
    <definedName name="가갸" localSheetId="13" hidden="1">{#N/A,#N/A,FALSE,"이태원철근"}</definedName>
    <definedName name="가갸" localSheetId="8" hidden="1">{#N/A,#N/A,FALSE,"이태원철근"}</definedName>
    <definedName name="가갸" hidden="1">{#N/A,#N/A,FALSE,"이태원철근"}</definedName>
    <definedName name="가나" localSheetId="11" hidden="1">{#N/A,#N/A,FALSE,"이태원철근"}</definedName>
    <definedName name="가나" localSheetId="12" hidden="1">{#N/A,#N/A,FALSE,"이태원철근"}</definedName>
    <definedName name="가나" localSheetId="13" hidden="1">{#N/A,#N/A,FALSE,"이태원철근"}</definedName>
    <definedName name="가나" localSheetId="8" hidden="1">{#N/A,#N/A,FALSE,"이태원철근"}</definedName>
    <definedName name="가나" hidden="1">{#N/A,#N/A,FALSE,"이태원철근"}</definedName>
    <definedName name="가나다라마사" localSheetId="11" hidden="1">{#N/A,#N/A,FALSE,"이태원철근"}</definedName>
    <definedName name="가나다라마사" localSheetId="12" hidden="1">{#N/A,#N/A,FALSE,"이태원철근"}</definedName>
    <definedName name="가나다라마사" localSheetId="13" hidden="1">{#N/A,#N/A,FALSE,"이태원철근"}</definedName>
    <definedName name="가나다라마사" localSheetId="8" hidden="1">{#N/A,#N/A,FALSE,"이태원철근"}</definedName>
    <definedName name="가나다라마사" hidden="1">{#N/A,#N/A,FALSE,"이태원철근"}</definedName>
    <definedName name="가물" localSheetId="11" hidden="1">{#N/A,#N/A,FALSE,"이태원철근"}</definedName>
    <definedName name="가물" localSheetId="12" hidden="1">{#N/A,#N/A,FALSE,"이태원철근"}</definedName>
    <definedName name="가물" localSheetId="13" hidden="1">{#N/A,#N/A,FALSE,"이태원철근"}</definedName>
    <definedName name="가물" localSheetId="8" hidden="1">{#N/A,#N/A,FALSE,"이태원철근"}</definedName>
    <definedName name="가물" hidden="1">{#N/A,#N/A,FALSE,"이태원철근"}</definedName>
    <definedName name="강릉교동" localSheetId="5" hidden="1">#REF!</definedName>
    <definedName name="강릉교동" localSheetId="11" hidden="1">#REF!</definedName>
    <definedName name="강릉교동" localSheetId="6" hidden="1">#REF!</definedName>
    <definedName name="강릉교동" localSheetId="12" hidden="1">#REF!</definedName>
    <definedName name="강릉교동" localSheetId="7" hidden="1">#REF!</definedName>
    <definedName name="강릉교동" localSheetId="13" hidden="1">#REF!</definedName>
    <definedName name="강릉교동" localSheetId="8" hidden="1">#REF!</definedName>
    <definedName name="강릉교동" hidden="1">#REF!</definedName>
    <definedName name="강릉교동터파기" localSheetId="5" hidden="1">#REF!</definedName>
    <definedName name="강릉교동터파기" localSheetId="11" hidden="1">#REF!</definedName>
    <definedName name="강릉교동터파기" localSheetId="6" hidden="1">#REF!</definedName>
    <definedName name="강릉교동터파기" localSheetId="12" hidden="1">#REF!</definedName>
    <definedName name="강릉교동터파기" localSheetId="7" hidden="1">#REF!</definedName>
    <definedName name="강릉교동터파기" localSheetId="13" hidden="1">#REF!</definedName>
    <definedName name="강릉교동터파기" hidden="1">#REF!</definedName>
    <definedName name="강릉교동토목" localSheetId="5" hidden="1">#REF!</definedName>
    <definedName name="강릉교동토목" localSheetId="11" hidden="1">#REF!</definedName>
    <definedName name="강릉교동토목" localSheetId="6" hidden="1">#REF!</definedName>
    <definedName name="강릉교동토목" localSheetId="12" hidden="1">#REF!</definedName>
    <definedName name="강릉교동토목" localSheetId="7" hidden="1">#REF!</definedName>
    <definedName name="강릉교동토목" localSheetId="13" hidden="1">#REF!</definedName>
    <definedName name="강릉교동토목" hidden="1">#REF!</definedName>
    <definedName name="강릉교동흙막이" localSheetId="5" hidden="1">#REF!</definedName>
    <definedName name="강릉교동흙막이" localSheetId="11" hidden="1">#REF!</definedName>
    <definedName name="강릉교동흙막이" localSheetId="6" hidden="1">#REF!</definedName>
    <definedName name="강릉교동흙막이" localSheetId="12" hidden="1">#REF!</definedName>
    <definedName name="강릉교동흙막이" localSheetId="7" hidden="1">#REF!</definedName>
    <definedName name="강릉교동흙막이" localSheetId="13" hidden="1">#REF!</definedName>
    <definedName name="강릉교동흙막이" hidden="1">#REF!</definedName>
    <definedName name="강릉토공사" localSheetId="5" hidden="1">#REF!</definedName>
    <definedName name="강릉토공사" localSheetId="11" hidden="1">#REF!</definedName>
    <definedName name="강릉토공사" localSheetId="6" hidden="1">#REF!</definedName>
    <definedName name="강릉토공사" localSheetId="12" hidden="1">#REF!</definedName>
    <definedName name="강릉토공사" localSheetId="7" hidden="1">#REF!</definedName>
    <definedName name="강릉토공사" localSheetId="13" hidden="1">#REF!</definedName>
    <definedName name="강릉토공사" hidden="1">#REF!</definedName>
    <definedName name="강릉토목공사" localSheetId="5" hidden="1">#REF!</definedName>
    <definedName name="강릉토목공사" localSheetId="11" hidden="1">#REF!</definedName>
    <definedName name="강릉토목공사" localSheetId="6" hidden="1">#REF!</definedName>
    <definedName name="강릉토목공사" localSheetId="12" hidden="1">#REF!</definedName>
    <definedName name="강릉토목공사" localSheetId="7" hidden="1">#REF!</definedName>
    <definedName name="강릉토목공사" localSheetId="13" hidden="1">#REF!</definedName>
    <definedName name="강릉토목공사" hidden="1">#REF!</definedName>
    <definedName name="강릉토목임" localSheetId="5" hidden="1">#REF!</definedName>
    <definedName name="강릉토목임" localSheetId="11" hidden="1">#REF!</definedName>
    <definedName name="강릉토목임" localSheetId="6" hidden="1">#REF!</definedName>
    <definedName name="강릉토목임" localSheetId="12" hidden="1">#REF!</definedName>
    <definedName name="강릉토목임" localSheetId="7" hidden="1">#REF!</definedName>
    <definedName name="강릉토목임" localSheetId="13" hidden="1">#REF!</definedName>
    <definedName name="강릉토목임" hidden="1">#REF!</definedName>
    <definedName name="거제" localSheetId="11" hidden="1">{#N/A,#N/A,FALSE,"이태원철근"}</definedName>
    <definedName name="거제" localSheetId="12" hidden="1">{#N/A,#N/A,FALSE,"이태원철근"}</definedName>
    <definedName name="거제" localSheetId="13" hidden="1">{#N/A,#N/A,FALSE,"이태원철근"}</definedName>
    <definedName name="거제" localSheetId="8" hidden="1">{#N/A,#N/A,FALSE,"이태원철근"}</definedName>
    <definedName name="거제" hidden="1">{#N/A,#N/A,FALSE,"이태원철근"}</definedName>
    <definedName name="거제2" localSheetId="11" hidden="1">{#N/A,#N/A,FALSE,"이태원철근"}</definedName>
    <definedName name="거제2" localSheetId="12" hidden="1">{#N/A,#N/A,FALSE,"이태원철근"}</definedName>
    <definedName name="거제2" localSheetId="13" hidden="1">{#N/A,#N/A,FALSE,"이태원철근"}</definedName>
    <definedName name="거제2" localSheetId="8" hidden="1">{#N/A,#N/A,FALSE,"이태원철근"}</definedName>
    <definedName name="거제2" hidden="1">{#N/A,#N/A,FALSE,"이태원철근"}</definedName>
    <definedName name="거제리" localSheetId="11" hidden="1">{#N/A,#N/A,FALSE,"이태원철근"}</definedName>
    <definedName name="거제리" localSheetId="12" hidden="1">{#N/A,#N/A,FALSE,"이태원철근"}</definedName>
    <definedName name="거제리" localSheetId="13" hidden="1">{#N/A,#N/A,FALSE,"이태원철근"}</definedName>
    <definedName name="거제리" localSheetId="8" hidden="1">{#N/A,#N/A,FALSE,"이태원철근"}</definedName>
    <definedName name="거제리" hidden="1">{#N/A,#N/A,FALSE,"이태원철근"}</definedName>
    <definedName name="거제현장" localSheetId="11" hidden="1">{#N/A,#N/A,FALSE,"이태원철근"}</definedName>
    <definedName name="거제현장" localSheetId="12" hidden="1">{#N/A,#N/A,FALSE,"이태원철근"}</definedName>
    <definedName name="거제현장" localSheetId="13" hidden="1">{#N/A,#N/A,FALSE,"이태원철근"}</definedName>
    <definedName name="거제현장" localSheetId="8" hidden="1">{#N/A,#N/A,FALSE,"이태원철근"}</definedName>
    <definedName name="거제현장" hidden="1">{#N/A,#N/A,FALSE,"이태원철근"}</definedName>
    <definedName name="겉표지" localSheetId="11" hidden="1">{#N/A,#N/A,TRUE,"Basic";#N/A,#N/A,TRUE,"EXT-TABLE";#N/A,#N/A,TRUE,"STEEL";#N/A,#N/A,TRUE,"INT-Table";#N/A,#N/A,TRUE,"STEEL";#N/A,#N/A,TRUE,"Door"}</definedName>
    <definedName name="겉표지" localSheetId="12" hidden="1">{#N/A,#N/A,TRUE,"Basic";#N/A,#N/A,TRUE,"EXT-TABLE";#N/A,#N/A,TRUE,"STEEL";#N/A,#N/A,TRUE,"INT-Table";#N/A,#N/A,TRUE,"STEEL";#N/A,#N/A,TRUE,"Door"}</definedName>
    <definedName name="겉표지" localSheetId="13" hidden="1">{#N/A,#N/A,TRUE,"Basic";#N/A,#N/A,TRUE,"EXT-TABLE";#N/A,#N/A,TRUE,"STEEL";#N/A,#N/A,TRUE,"INT-Table";#N/A,#N/A,TRUE,"STEEL";#N/A,#N/A,TRUE,"Door"}</definedName>
    <definedName name="겉표지" localSheetId="8" hidden="1">{#N/A,#N/A,TRUE,"Basic";#N/A,#N/A,TRUE,"EXT-TABLE";#N/A,#N/A,TRUE,"STEEL";#N/A,#N/A,TRUE,"INT-Table";#N/A,#N/A,TRUE,"STEEL";#N/A,#N/A,TRUE,"Door"}</definedName>
    <definedName name="겉표지" hidden="1">{#N/A,#N/A,TRUE,"Basic";#N/A,#N/A,TRUE,"EXT-TABLE";#N/A,#N/A,TRUE,"STEEL";#N/A,#N/A,TRUE,"INT-Table";#N/A,#N/A,TRUE,"STEEL";#N/A,#N/A,TRUE,"Door"}</definedName>
    <definedName name="경순" localSheetId="11" hidden="1">{#N/A,#N/A,FALSE,"이태원철근"}</definedName>
    <definedName name="경순" localSheetId="12" hidden="1">{#N/A,#N/A,FALSE,"이태원철근"}</definedName>
    <definedName name="경순" localSheetId="13" hidden="1">{#N/A,#N/A,FALSE,"이태원철근"}</definedName>
    <definedName name="경순" localSheetId="8" hidden="1">{#N/A,#N/A,FALSE,"이태원철근"}</definedName>
    <definedName name="경순" hidden="1">{#N/A,#N/A,FALSE,"이태원철근"}</definedName>
    <definedName name="계" localSheetId="5" hidden="1">#REF!</definedName>
    <definedName name="계" localSheetId="11" hidden="1">#REF!</definedName>
    <definedName name="계" localSheetId="6" hidden="1">#REF!</definedName>
    <definedName name="계" localSheetId="12" hidden="1">#REF!</definedName>
    <definedName name="계" localSheetId="7" hidden="1">#REF!</definedName>
    <definedName name="계" localSheetId="13" hidden="1">#REF!</definedName>
    <definedName name="계" localSheetId="8" hidden="1">#REF!</definedName>
    <definedName name="계" hidden="1">#REF!</definedName>
    <definedName name="계획" localSheetId="11" hidden="1">{#N/A,#N/A,FALSE,"TABLE"}</definedName>
    <definedName name="계획" localSheetId="12" hidden="1">{#N/A,#N/A,FALSE,"TABLE"}</definedName>
    <definedName name="계획" localSheetId="13" hidden="1">{#N/A,#N/A,FALSE,"TABLE"}</definedName>
    <definedName name="계획" localSheetId="8" hidden="1">{#N/A,#N/A,FALSE,"TABLE"}</definedName>
    <definedName name="계획" hidden="1">{#N/A,#N/A,FALSE,"TABLE"}</definedName>
    <definedName name="고가" hidden="1">#N/A</definedName>
    <definedName name="고고" localSheetId="11" hidden="1">{#N/A,#N/A,FALSE,"이태원철근"}</definedName>
    <definedName name="고고" localSheetId="12" hidden="1">{#N/A,#N/A,FALSE,"이태원철근"}</definedName>
    <definedName name="고고" localSheetId="13" hidden="1">{#N/A,#N/A,FALSE,"이태원철근"}</definedName>
    <definedName name="고고" localSheetId="8" hidden="1">{#N/A,#N/A,FALSE,"이태원철근"}</definedName>
    <definedName name="고고" hidden="1">{#N/A,#N/A,FALSE,"이태원철근"}</definedName>
    <definedName name="공사" localSheetId="11" hidden="1">{#N/A,#N/A,FALSE,"이태원철근"}</definedName>
    <definedName name="공사" localSheetId="12" hidden="1">{#N/A,#N/A,FALSE,"이태원철근"}</definedName>
    <definedName name="공사" localSheetId="13" hidden="1">{#N/A,#N/A,FALSE,"이태원철근"}</definedName>
    <definedName name="공사" localSheetId="8" hidden="1">{#N/A,#N/A,FALSE,"이태원철근"}</definedName>
    <definedName name="공사" hidden="1">{#N/A,#N/A,FALSE,"이태원철근"}</definedName>
    <definedName name="공사1" localSheetId="11" hidden="1">{#N/A,#N/A,FALSE,"이태원철근"}</definedName>
    <definedName name="공사1" localSheetId="12" hidden="1">{#N/A,#N/A,FALSE,"이태원철근"}</definedName>
    <definedName name="공사1" localSheetId="13" hidden="1">{#N/A,#N/A,FALSE,"이태원철근"}</definedName>
    <definedName name="공사1" localSheetId="8" hidden="1">{#N/A,#N/A,FALSE,"이태원철근"}</definedName>
    <definedName name="공사1" hidden="1">{#N/A,#N/A,FALSE,"이태원철근"}</definedName>
    <definedName name="공사개요최종" localSheetId="11" hidden="1">{#N/A,#N/A,FALSE,"이태원철근"}</definedName>
    <definedName name="공사개요최종" localSheetId="12" hidden="1">{#N/A,#N/A,FALSE,"이태원철근"}</definedName>
    <definedName name="공사개요최종" localSheetId="13" hidden="1">{#N/A,#N/A,FALSE,"이태원철근"}</definedName>
    <definedName name="공사개요최종" localSheetId="8" hidden="1">{#N/A,#N/A,FALSE,"이태원철근"}</definedName>
    <definedName name="공사개요최종" hidden="1">{#N/A,#N/A,FALSE,"이태원철근"}</definedName>
    <definedName name="공사원가계산서" localSheetId="11" hidden="1">{#N/A,#N/A,TRUE,"토적및재료집계";#N/A,#N/A,TRUE,"토적및재료집계";#N/A,#N/A,TRUE,"단위량"}</definedName>
    <definedName name="공사원가계산서" localSheetId="12" hidden="1">{#N/A,#N/A,TRUE,"토적및재료집계";#N/A,#N/A,TRUE,"토적및재료집계";#N/A,#N/A,TRUE,"단위량"}</definedName>
    <definedName name="공사원가계산서" localSheetId="13" hidden="1">{#N/A,#N/A,TRUE,"토적및재료집계";#N/A,#N/A,TRUE,"토적및재료집계";#N/A,#N/A,TRUE,"단위량"}</definedName>
    <definedName name="공사원가계산서" localSheetId="8" hidden="1">{#N/A,#N/A,TRUE,"토적및재료집계";#N/A,#N/A,TRUE,"토적및재료집계";#N/A,#N/A,TRUE,"단위량"}</definedName>
    <definedName name="공사원가계산서" hidden="1">{#N/A,#N/A,TRUE,"토적및재료집계";#N/A,#N/A,TRUE,"토적및재료집계";#N/A,#N/A,TRUE,"단위량"}</definedName>
    <definedName name="공사현황2" localSheetId="11" hidden="1">{#N/A,#N/A,FALSE,"이태원철근"}</definedName>
    <definedName name="공사현황2" localSheetId="12" hidden="1">{#N/A,#N/A,FALSE,"이태원철근"}</definedName>
    <definedName name="공사현황2" localSheetId="13" hidden="1">{#N/A,#N/A,FALSE,"이태원철근"}</definedName>
    <definedName name="공사현황2" localSheetId="8" hidden="1">{#N/A,#N/A,FALSE,"이태원철근"}</definedName>
    <definedName name="공사현황2" hidden="1">{#N/A,#N/A,FALSE,"이태원철근"}</definedName>
    <definedName name="공정" localSheetId="11" hidden="1">{#N/A,#N/A,FALSE,"이태원철근"}</definedName>
    <definedName name="공정" localSheetId="12" hidden="1">{#N/A,#N/A,FALSE,"이태원철근"}</definedName>
    <definedName name="공정" localSheetId="13" hidden="1">{#N/A,#N/A,FALSE,"이태원철근"}</definedName>
    <definedName name="공정" localSheetId="8" hidden="1">{#N/A,#N/A,FALSE,"이태원철근"}</definedName>
    <definedName name="공정" hidden="1">{#N/A,#N/A,FALSE,"이태원철근"}</definedName>
    <definedName name="공정2" localSheetId="11" hidden="1">{#N/A,#N/A,FALSE,"이태원철근"}</definedName>
    <definedName name="공정2" localSheetId="12" hidden="1">{#N/A,#N/A,FALSE,"이태원철근"}</definedName>
    <definedName name="공정2" localSheetId="13" hidden="1">{#N/A,#N/A,FALSE,"이태원철근"}</definedName>
    <definedName name="공정2" localSheetId="8" hidden="1">{#N/A,#N/A,FALSE,"이태원철근"}</definedName>
    <definedName name="공정2" hidden="1">{#N/A,#N/A,FALSE,"이태원철근"}</definedName>
    <definedName name="공정계획" localSheetId="11" hidden="1">{#N/A,#N/A,FALSE,"이태원철근"}</definedName>
    <definedName name="공정계획" localSheetId="12" hidden="1">{#N/A,#N/A,FALSE,"이태원철근"}</definedName>
    <definedName name="공정계획" localSheetId="13" hidden="1">{#N/A,#N/A,FALSE,"이태원철근"}</definedName>
    <definedName name="공정계획" localSheetId="8" hidden="1">{#N/A,#N/A,FALSE,"이태원철근"}</definedName>
    <definedName name="공정계획" hidden="1">{#N/A,#N/A,FALSE,"이태원철근"}</definedName>
    <definedName name="공통가설내역서" localSheetId="11" hidden="1">{#N/A,#N/A,FALSE,"이태원철근"}</definedName>
    <definedName name="공통가설내역서" localSheetId="12" hidden="1">{#N/A,#N/A,FALSE,"이태원철근"}</definedName>
    <definedName name="공통가설내역서" localSheetId="13" hidden="1">{#N/A,#N/A,FALSE,"이태원철근"}</definedName>
    <definedName name="공통가설내역서" localSheetId="8" hidden="1">{#N/A,#N/A,FALSE,"이태원철근"}</definedName>
    <definedName name="공통가설내역서" hidden="1">{#N/A,#N/A,FALSE,"이태원철근"}</definedName>
    <definedName name="교" localSheetId="11" hidden="1">{#N/A,#N/A,FALSE,"이태원철근"}</definedName>
    <definedName name="교" localSheetId="12" hidden="1">{#N/A,#N/A,FALSE,"이태원철근"}</definedName>
    <definedName name="교" localSheetId="13" hidden="1">{#N/A,#N/A,FALSE,"이태원철근"}</definedName>
    <definedName name="교" localSheetId="8" hidden="1">{#N/A,#N/A,FALSE,"이태원철근"}</definedName>
    <definedName name="교" hidden="1">{#N/A,#N/A,FALSE,"이태원철근"}</definedName>
    <definedName name="교동토" localSheetId="5" hidden="1">#REF!</definedName>
    <definedName name="교동토" localSheetId="11" hidden="1">#REF!</definedName>
    <definedName name="교동토" localSheetId="6" hidden="1">#REF!</definedName>
    <definedName name="교동토" localSheetId="12" hidden="1">#REF!</definedName>
    <definedName name="교동토" localSheetId="7" hidden="1">#REF!</definedName>
    <definedName name="교동토" localSheetId="13" hidden="1">#REF!</definedName>
    <definedName name="교동토" localSheetId="8" hidden="1">#REF!</definedName>
    <definedName name="교동토" hidden="1">#REF!</definedName>
    <definedName name="교동토목" localSheetId="11" hidden="1">{#N/A,#N/A,FALSE,"이태원철근"}</definedName>
    <definedName name="교동토목" localSheetId="12" hidden="1">{#N/A,#N/A,FALSE,"이태원철근"}</definedName>
    <definedName name="교동토목" localSheetId="13" hidden="1">{#N/A,#N/A,FALSE,"이태원철근"}</definedName>
    <definedName name="교동토목" localSheetId="8" hidden="1">{#N/A,#N/A,FALSE,"이태원철근"}</definedName>
    <definedName name="교동토목" hidden="1">{#N/A,#N/A,FALSE,"이태원철근"}</definedName>
    <definedName name="교동토목공사" localSheetId="11" hidden="1">{#N/A,#N/A,FALSE,"이태원철근"}</definedName>
    <definedName name="교동토목공사" localSheetId="12" hidden="1">{#N/A,#N/A,FALSE,"이태원철근"}</definedName>
    <definedName name="교동토목공사" localSheetId="13" hidden="1">{#N/A,#N/A,FALSE,"이태원철근"}</definedName>
    <definedName name="교동토목공사" localSheetId="8" hidden="1">{#N/A,#N/A,FALSE,"이태원철근"}</definedName>
    <definedName name="교동토목공사" hidden="1">{#N/A,#N/A,FALSE,"이태원철근"}</definedName>
    <definedName name="교ㅗ" localSheetId="11" hidden="1">{#N/A,#N/A,FALSE,"이태원철근"}</definedName>
    <definedName name="교ㅗ" localSheetId="12" hidden="1">{#N/A,#N/A,FALSE,"이태원철근"}</definedName>
    <definedName name="교ㅗ" localSheetId="13" hidden="1">{#N/A,#N/A,FALSE,"이태원철근"}</definedName>
    <definedName name="교ㅗ" localSheetId="8" hidden="1">{#N/A,#N/A,FALSE,"이태원철근"}</definedName>
    <definedName name="교ㅗ" hidden="1">{#N/A,#N/A,FALSE,"이태원철근"}</definedName>
    <definedName name="금액비교" localSheetId="5" hidden="1">{#N/A,#N/A,TRUE,"Basic";#N/A,#N/A,TRUE,"EXT-TABLE";#N/A,#N/A,TRUE,"STEEL";#N/A,#N/A,TRUE,"INT-Table";#N/A,#N/A,TRUE,"STEEL";#N/A,#N/A,TRUE,"Door"}</definedName>
    <definedName name="금액비교" localSheetId="11" hidden="1">{#N/A,#N/A,TRUE,"Basic";#N/A,#N/A,TRUE,"EXT-TABLE";#N/A,#N/A,TRUE,"STEEL";#N/A,#N/A,TRUE,"INT-Table";#N/A,#N/A,TRUE,"STEEL";#N/A,#N/A,TRUE,"Door"}</definedName>
    <definedName name="금액비교" localSheetId="6" hidden="1">{#N/A,#N/A,TRUE,"Basic";#N/A,#N/A,TRUE,"EXT-TABLE";#N/A,#N/A,TRUE,"STEEL";#N/A,#N/A,TRUE,"INT-Table";#N/A,#N/A,TRUE,"STEEL";#N/A,#N/A,TRUE,"Door"}</definedName>
    <definedName name="금액비교" localSheetId="12" hidden="1">{#N/A,#N/A,TRUE,"Basic";#N/A,#N/A,TRUE,"EXT-TABLE";#N/A,#N/A,TRUE,"STEEL";#N/A,#N/A,TRUE,"INT-Table";#N/A,#N/A,TRUE,"STEEL";#N/A,#N/A,TRUE,"Door"}</definedName>
    <definedName name="금액비교" localSheetId="7" hidden="1">{#N/A,#N/A,TRUE,"Basic";#N/A,#N/A,TRUE,"EXT-TABLE";#N/A,#N/A,TRUE,"STEEL";#N/A,#N/A,TRUE,"INT-Table";#N/A,#N/A,TRUE,"STEEL";#N/A,#N/A,TRUE,"Door"}</definedName>
    <definedName name="금액비교" localSheetId="13" hidden="1">{#N/A,#N/A,TRUE,"Basic";#N/A,#N/A,TRUE,"EXT-TABLE";#N/A,#N/A,TRUE,"STEEL";#N/A,#N/A,TRUE,"INT-Table";#N/A,#N/A,TRUE,"STEEL";#N/A,#N/A,TRUE,"Door"}</definedName>
    <definedName name="금액비교" localSheetId="8" hidden="1">{#N/A,#N/A,TRUE,"Basic";#N/A,#N/A,TRUE,"EXT-TABLE";#N/A,#N/A,TRUE,"STEEL";#N/A,#N/A,TRUE,"INT-Table";#N/A,#N/A,TRUE,"STEEL";#N/A,#N/A,TRUE,"Door"}</definedName>
    <definedName name="금액비교" hidden="1">{#N/A,#N/A,TRUE,"Basic";#N/A,#N/A,TRUE,"EXT-TABLE";#N/A,#N/A,TRUE,"STEEL";#N/A,#N/A,TRUE,"INT-Table";#N/A,#N/A,TRUE,"STEEL";#N/A,#N/A,TRUE,"Door"}</definedName>
    <definedName name="기타경비" localSheetId="11" hidden="1">{#N/A,#N/A,TRUE,"토적및재료집계";#N/A,#N/A,TRUE,"토적및재료집계";#N/A,#N/A,TRUE,"단위량"}</definedName>
    <definedName name="기타경비" localSheetId="12" hidden="1">{#N/A,#N/A,TRUE,"토적및재료집계";#N/A,#N/A,TRUE,"토적및재료집계";#N/A,#N/A,TRUE,"단위량"}</definedName>
    <definedName name="기타경비" localSheetId="13" hidden="1">{#N/A,#N/A,TRUE,"토적및재료집계";#N/A,#N/A,TRUE,"토적및재료집계";#N/A,#N/A,TRUE,"단위량"}</definedName>
    <definedName name="기타경비" localSheetId="8" hidden="1">{#N/A,#N/A,TRUE,"토적및재료집계";#N/A,#N/A,TRUE,"토적및재료집계";#N/A,#N/A,TRUE,"단위량"}</definedName>
    <definedName name="기타경비" hidden="1">{#N/A,#N/A,TRUE,"토적및재료집계";#N/A,#N/A,TRUE,"토적및재료집계";#N/A,#N/A,TRUE,"단위량"}</definedName>
    <definedName name="김" localSheetId="5" hidden="1">{#N/A,#N/A,TRUE,"Basic";#N/A,#N/A,TRUE,"EXT-TABLE";#N/A,#N/A,TRUE,"STEEL";#N/A,#N/A,TRUE,"INT-Table";#N/A,#N/A,TRUE,"STEEL";#N/A,#N/A,TRUE,"Door"}</definedName>
    <definedName name="김" localSheetId="11" hidden="1">{#N/A,#N/A,TRUE,"Basic";#N/A,#N/A,TRUE,"EXT-TABLE";#N/A,#N/A,TRUE,"STEEL";#N/A,#N/A,TRUE,"INT-Table";#N/A,#N/A,TRUE,"STEEL";#N/A,#N/A,TRUE,"Door"}</definedName>
    <definedName name="김" localSheetId="6" hidden="1">{#N/A,#N/A,TRUE,"Basic";#N/A,#N/A,TRUE,"EXT-TABLE";#N/A,#N/A,TRUE,"STEEL";#N/A,#N/A,TRUE,"INT-Table";#N/A,#N/A,TRUE,"STEEL";#N/A,#N/A,TRUE,"Door"}</definedName>
    <definedName name="김" localSheetId="12" hidden="1">{#N/A,#N/A,TRUE,"Basic";#N/A,#N/A,TRUE,"EXT-TABLE";#N/A,#N/A,TRUE,"STEEL";#N/A,#N/A,TRUE,"INT-Table";#N/A,#N/A,TRUE,"STEEL";#N/A,#N/A,TRUE,"Door"}</definedName>
    <definedName name="김" localSheetId="7" hidden="1">{#N/A,#N/A,TRUE,"Basic";#N/A,#N/A,TRUE,"EXT-TABLE";#N/A,#N/A,TRUE,"STEEL";#N/A,#N/A,TRUE,"INT-Table";#N/A,#N/A,TRUE,"STEEL";#N/A,#N/A,TRUE,"Door"}</definedName>
    <definedName name="김" localSheetId="13" hidden="1">{#N/A,#N/A,TRUE,"Basic";#N/A,#N/A,TRUE,"EXT-TABLE";#N/A,#N/A,TRUE,"STEEL";#N/A,#N/A,TRUE,"INT-Table";#N/A,#N/A,TRUE,"STEEL";#N/A,#N/A,TRUE,"Door"}</definedName>
    <definedName name="김" localSheetId="8" hidden="1">{#N/A,#N/A,TRUE,"Basic";#N/A,#N/A,TRUE,"EXT-TABLE";#N/A,#N/A,TRUE,"STEEL";#N/A,#N/A,TRUE,"INT-Table";#N/A,#N/A,TRUE,"STEEL";#N/A,#N/A,TRUE,"Door"}</definedName>
    <definedName name="김" hidden="1">{#N/A,#N/A,TRUE,"Basic";#N/A,#N/A,TRUE,"EXT-TABLE";#N/A,#N/A,TRUE,"STEEL";#N/A,#N/A,TRUE,"INT-Table";#N/A,#N/A,TRUE,"STEEL";#N/A,#N/A,TRUE,"Door"}</definedName>
    <definedName name="김1" localSheetId="5" hidden="1">{#N/A,#N/A,TRUE,"Basic";#N/A,#N/A,TRUE,"EXT-TABLE";#N/A,#N/A,TRUE,"STEEL";#N/A,#N/A,TRUE,"INT-Table";#N/A,#N/A,TRUE,"STEEL";#N/A,#N/A,TRUE,"Door"}</definedName>
    <definedName name="김1" localSheetId="11" hidden="1">{#N/A,#N/A,TRUE,"Basic";#N/A,#N/A,TRUE,"EXT-TABLE";#N/A,#N/A,TRUE,"STEEL";#N/A,#N/A,TRUE,"INT-Table";#N/A,#N/A,TRUE,"STEEL";#N/A,#N/A,TRUE,"Door"}</definedName>
    <definedName name="김1" localSheetId="6" hidden="1">{#N/A,#N/A,TRUE,"Basic";#N/A,#N/A,TRUE,"EXT-TABLE";#N/A,#N/A,TRUE,"STEEL";#N/A,#N/A,TRUE,"INT-Table";#N/A,#N/A,TRUE,"STEEL";#N/A,#N/A,TRUE,"Door"}</definedName>
    <definedName name="김1" localSheetId="12" hidden="1">{#N/A,#N/A,TRUE,"Basic";#N/A,#N/A,TRUE,"EXT-TABLE";#N/A,#N/A,TRUE,"STEEL";#N/A,#N/A,TRUE,"INT-Table";#N/A,#N/A,TRUE,"STEEL";#N/A,#N/A,TRUE,"Door"}</definedName>
    <definedName name="김1" localSheetId="7" hidden="1">{#N/A,#N/A,TRUE,"Basic";#N/A,#N/A,TRUE,"EXT-TABLE";#N/A,#N/A,TRUE,"STEEL";#N/A,#N/A,TRUE,"INT-Table";#N/A,#N/A,TRUE,"STEEL";#N/A,#N/A,TRUE,"Door"}</definedName>
    <definedName name="김1" localSheetId="13" hidden="1">{#N/A,#N/A,TRUE,"Basic";#N/A,#N/A,TRUE,"EXT-TABLE";#N/A,#N/A,TRUE,"STEEL";#N/A,#N/A,TRUE,"INT-Table";#N/A,#N/A,TRUE,"STEEL";#N/A,#N/A,TRUE,"Door"}</definedName>
    <definedName name="김1" localSheetId="8" hidden="1">{#N/A,#N/A,TRUE,"Basic";#N/A,#N/A,TRUE,"EXT-TABLE";#N/A,#N/A,TRUE,"STEEL";#N/A,#N/A,TRUE,"INT-Table";#N/A,#N/A,TRUE,"STEEL";#N/A,#N/A,TRUE,"Door"}</definedName>
    <definedName name="김1" hidden="1">{#N/A,#N/A,TRUE,"Basic";#N/A,#N/A,TRUE,"EXT-TABLE";#N/A,#N/A,TRUE,"STEEL";#N/A,#N/A,TRUE,"INT-Table";#N/A,#N/A,TRUE,"STEEL";#N/A,#N/A,TRUE,"Door"}</definedName>
    <definedName name="김3" localSheetId="5" hidden="1">{#N/A,#N/A,TRUE,"Basic";#N/A,#N/A,TRUE,"EXT-TABLE";#N/A,#N/A,TRUE,"STEEL";#N/A,#N/A,TRUE,"INT-Table";#N/A,#N/A,TRUE,"STEEL";#N/A,#N/A,TRUE,"Door"}</definedName>
    <definedName name="김3" localSheetId="11" hidden="1">{#N/A,#N/A,TRUE,"Basic";#N/A,#N/A,TRUE,"EXT-TABLE";#N/A,#N/A,TRUE,"STEEL";#N/A,#N/A,TRUE,"INT-Table";#N/A,#N/A,TRUE,"STEEL";#N/A,#N/A,TRUE,"Door"}</definedName>
    <definedName name="김3" localSheetId="6" hidden="1">{#N/A,#N/A,TRUE,"Basic";#N/A,#N/A,TRUE,"EXT-TABLE";#N/A,#N/A,TRUE,"STEEL";#N/A,#N/A,TRUE,"INT-Table";#N/A,#N/A,TRUE,"STEEL";#N/A,#N/A,TRUE,"Door"}</definedName>
    <definedName name="김3" localSheetId="12" hidden="1">{#N/A,#N/A,TRUE,"Basic";#N/A,#N/A,TRUE,"EXT-TABLE";#N/A,#N/A,TRUE,"STEEL";#N/A,#N/A,TRUE,"INT-Table";#N/A,#N/A,TRUE,"STEEL";#N/A,#N/A,TRUE,"Door"}</definedName>
    <definedName name="김3" localSheetId="7" hidden="1">{#N/A,#N/A,TRUE,"Basic";#N/A,#N/A,TRUE,"EXT-TABLE";#N/A,#N/A,TRUE,"STEEL";#N/A,#N/A,TRUE,"INT-Table";#N/A,#N/A,TRUE,"STEEL";#N/A,#N/A,TRUE,"Door"}</definedName>
    <definedName name="김3" localSheetId="13" hidden="1">{#N/A,#N/A,TRUE,"Basic";#N/A,#N/A,TRUE,"EXT-TABLE";#N/A,#N/A,TRUE,"STEEL";#N/A,#N/A,TRUE,"INT-Table";#N/A,#N/A,TRUE,"STEEL";#N/A,#N/A,TRUE,"Door"}</definedName>
    <definedName name="김3" localSheetId="8" hidden="1">{#N/A,#N/A,TRUE,"Basic";#N/A,#N/A,TRUE,"EXT-TABLE";#N/A,#N/A,TRUE,"STEEL";#N/A,#N/A,TRUE,"INT-Table";#N/A,#N/A,TRUE,"STEEL";#N/A,#N/A,TRUE,"Door"}</definedName>
    <definedName name="김3" hidden="1">{#N/A,#N/A,TRUE,"Basic";#N/A,#N/A,TRUE,"EXT-TABLE";#N/A,#N/A,TRUE,"STEEL";#N/A,#N/A,TRUE,"INT-Table";#N/A,#N/A,TRUE,"STEEL";#N/A,#N/A,TRUE,"Door"}</definedName>
    <definedName name="김중규" localSheetId="11" hidden="1">{#N/A,#N/A,FALSE,"이태원철근"}</definedName>
    <definedName name="김중규" localSheetId="12" hidden="1">{#N/A,#N/A,FALSE,"이태원철근"}</definedName>
    <definedName name="김중규" localSheetId="13" hidden="1">{#N/A,#N/A,FALSE,"이태원철근"}</definedName>
    <definedName name="김중규" localSheetId="8" hidden="1">{#N/A,#N/A,FALSE,"이태원철근"}</definedName>
    <definedName name="김중규" hidden="1">{#N/A,#N/A,FALSE,"이태원철근"}</definedName>
    <definedName name="끝에삽입" localSheetId="11" hidden="1">{#N/A,#N/A,FALSE,"이태원철근"}</definedName>
    <definedName name="끝에삽입" localSheetId="12" hidden="1">{#N/A,#N/A,FALSE,"이태원철근"}</definedName>
    <definedName name="끝에삽입" localSheetId="13" hidden="1">{#N/A,#N/A,FALSE,"이태원철근"}</definedName>
    <definedName name="끝에삽입" localSheetId="8" hidden="1">{#N/A,#N/A,FALSE,"이태원철근"}</definedName>
    <definedName name="끝에삽입" hidden="1">{#N/A,#N/A,FALSE,"이태원철근"}</definedName>
    <definedName name="ㄴㄴㄴㅇㅁ" localSheetId="11" hidden="1">{#N/A,#N/A,FALSE,"이태원철근"}</definedName>
    <definedName name="ㄴㄴㄴㅇㅁ" localSheetId="12" hidden="1">{#N/A,#N/A,FALSE,"이태원철근"}</definedName>
    <definedName name="ㄴㄴㄴㅇㅁ" localSheetId="13" hidden="1">{#N/A,#N/A,FALSE,"이태원철근"}</definedName>
    <definedName name="ㄴㄴㄴㅇㅁ" localSheetId="8" hidden="1">{#N/A,#N/A,FALSE,"이태원철근"}</definedName>
    <definedName name="ㄴㄴㄴㅇㅁ" hidden="1">{#N/A,#N/A,FALSE,"이태원철근"}</definedName>
    <definedName name="ㄴㄴㄷ" localSheetId="11" hidden="1">{#N/A,#N/A,FALSE,"이태원철근"}</definedName>
    <definedName name="ㄴㄴㄷ" localSheetId="12" hidden="1">{#N/A,#N/A,FALSE,"이태원철근"}</definedName>
    <definedName name="ㄴㄴㄷ" localSheetId="13" hidden="1">{#N/A,#N/A,FALSE,"이태원철근"}</definedName>
    <definedName name="ㄴㄴㄷ" localSheetId="8" hidden="1">{#N/A,#N/A,FALSE,"이태원철근"}</definedName>
    <definedName name="ㄴㄴㄷ" hidden="1">{#N/A,#N/A,FALSE,"이태원철근"}</definedName>
    <definedName name="ㄴㅁ논ㄹ홍" localSheetId="11" hidden="1">{#N/A,#N/A,FALSE,"이태원철근"}</definedName>
    <definedName name="ㄴㅁ논ㄹ홍" localSheetId="12" hidden="1">{#N/A,#N/A,FALSE,"이태원철근"}</definedName>
    <definedName name="ㄴㅁ논ㄹ홍" localSheetId="13" hidden="1">{#N/A,#N/A,FALSE,"이태원철근"}</definedName>
    <definedName name="ㄴㅁ논ㄹ홍" localSheetId="8" hidden="1">{#N/A,#N/A,FALSE,"이태원철근"}</definedName>
    <definedName name="ㄴㅁ논ㄹ홍" hidden="1">{#N/A,#N/A,FALSE,"이태원철근"}</definedName>
    <definedName name="ㄴㅁㅁㅁㅁㅁㅁ" localSheetId="11" hidden="1">{#N/A,#N/A,FALSE,"이태원철근"}</definedName>
    <definedName name="ㄴㅁㅁㅁㅁㅁㅁ" localSheetId="12" hidden="1">{#N/A,#N/A,FALSE,"이태원철근"}</definedName>
    <definedName name="ㄴㅁㅁㅁㅁㅁㅁ" localSheetId="13" hidden="1">{#N/A,#N/A,FALSE,"이태원철근"}</definedName>
    <definedName name="ㄴㅁㅁㅁㅁㅁㅁ" localSheetId="8" hidden="1">{#N/A,#N/A,FALSE,"이태원철근"}</definedName>
    <definedName name="ㄴㅁㅁㅁㅁㅁㅁ" hidden="1">{#N/A,#N/A,FALSE,"이태원철근"}</definedName>
    <definedName name="ㄴㅁㅇㅂㅈㄷㅁㄴㅂㅈㄷ" localSheetId="11" hidden="1">{#N/A,#N/A,FALSE,"이태원철근"}</definedName>
    <definedName name="ㄴㅁㅇㅂㅈㄷㅁㄴㅂㅈㄷ" localSheetId="12" hidden="1">{#N/A,#N/A,FALSE,"이태원철근"}</definedName>
    <definedName name="ㄴㅁㅇㅂㅈㄷㅁㄴㅂㅈㄷ" localSheetId="13" hidden="1">{#N/A,#N/A,FALSE,"이태원철근"}</definedName>
    <definedName name="ㄴㅁㅇㅂㅈㄷㅁㄴㅂㅈㄷ" localSheetId="8" hidden="1">{#N/A,#N/A,FALSE,"이태원철근"}</definedName>
    <definedName name="ㄴㅁㅇㅂㅈㄷㅁㄴㅂㅈㄷ" hidden="1">{#N/A,#N/A,FALSE,"이태원철근"}</definedName>
    <definedName name="ㄴㅁㅇㅎㅁㄴㅇㄻㄴㄷㅈㄹㄴㅇ" localSheetId="11" hidden="1">{#N/A,#N/A,FALSE,"이태원철근"}</definedName>
    <definedName name="ㄴㅁㅇㅎㅁㄴㅇㄻㄴㄷㅈㄹㄴㅇ" localSheetId="12" hidden="1">{#N/A,#N/A,FALSE,"이태원철근"}</definedName>
    <definedName name="ㄴㅁㅇㅎㅁㄴㅇㄻㄴㄷㅈㄹㄴㅇ" localSheetId="13" hidden="1">{#N/A,#N/A,FALSE,"이태원철근"}</definedName>
    <definedName name="ㄴㅁㅇㅎㅁㄴㅇㄻㄴㄷㅈㄹㄴㅇ" localSheetId="8" hidden="1">{#N/A,#N/A,FALSE,"이태원철근"}</definedName>
    <definedName name="ㄴㅁㅇㅎㅁㄴㅇㄻㄴㄷㅈㄹㄴㅇ" hidden="1">{#N/A,#N/A,FALSE,"이태원철근"}</definedName>
    <definedName name="ㄴㅇ" localSheetId="11" hidden="1">{#N/A,#N/A,FALSE,"이태원철근"}</definedName>
    <definedName name="ㄴㅇ" localSheetId="12" hidden="1">{#N/A,#N/A,FALSE,"이태원철근"}</definedName>
    <definedName name="ㄴㅇ" localSheetId="13" hidden="1">{#N/A,#N/A,FALSE,"이태원철근"}</definedName>
    <definedName name="ㄴㅇ" localSheetId="8" hidden="1">{#N/A,#N/A,FALSE,"이태원철근"}</definedName>
    <definedName name="ㄴㅇ" hidden="1">{#N/A,#N/A,FALSE,"이태원철근"}</definedName>
    <definedName name="ㄴㅇㄹㄴㅇㄹㄴㅇㅁㄹㄴㄷㅈㄱㄹ" localSheetId="11" hidden="1">{#N/A,#N/A,FALSE,"이태원철근"}</definedName>
    <definedName name="ㄴㅇㄹㄴㅇㄹㄴㅇㅁㄹㄴㄷㅈㄱㄹ" localSheetId="12" hidden="1">{#N/A,#N/A,FALSE,"이태원철근"}</definedName>
    <definedName name="ㄴㅇㄹㄴㅇㄹㄴㅇㅁㄹㄴㄷㅈㄱㄹ" localSheetId="13" hidden="1">{#N/A,#N/A,FALSE,"이태원철근"}</definedName>
    <definedName name="ㄴㅇㄹㄴㅇㄹㄴㅇㅁㄹㄴㄷㅈㄱㄹ" localSheetId="8" hidden="1">{#N/A,#N/A,FALSE,"이태원철근"}</definedName>
    <definedName name="ㄴㅇㄹㄴㅇㄹㄴㅇㅁㄹㄴㄷㅈㄱㄹ" hidden="1">{#N/A,#N/A,FALSE,"이태원철근"}</definedName>
    <definedName name="ㄴㅇㄹㄴㅇㄻㄴㅇㄹ" localSheetId="11" hidden="1">{#N/A,#N/A,FALSE,"이태원철근"}</definedName>
    <definedName name="ㄴㅇㄹㄴㅇㄻㄴㅇㄹ" localSheetId="12" hidden="1">{#N/A,#N/A,FALSE,"이태원철근"}</definedName>
    <definedName name="ㄴㅇㄹㄴㅇㄻㄴㅇㄹ" localSheetId="13" hidden="1">{#N/A,#N/A,FALSE,"이태원철근"}</definedName>
    <definedName name="ㄴㅇㄹㄴㅇㄻㄴㅇㄹ" localSheetId="8" hidden="1">{#N/A,#N/A,FALSE,"이태원철근"}</definedName>
    <definedName name="ㄴㅇㄹㄴㅇㄻㄴㅇㄹ" hidden="1">{#N/A,#N/A,FALSE,"이태원철근"}</definedName>
    <definedName name="ㄴㅇㄻㄴㅇㄹ" localSheetId="11" hidden="1">{#N/A,#N/A,FALSE,"이태원철근"}</definedName>
    <definedName name="ㄴㅇㄻㄴㅇㄹ" localSheetId="12" hidden="1">{#N/A,#N/A,FALSE,"이태원철근"}</definedName>
    <definedName name="ㄴㅇㄻㄴㅇㄹ" localSheetId="13" hidden="1">{#N/A,#N/A,FALSE,"이태원철근"}</definedName>
    <definedName name="ㄴㅇㄻㄴㅇㄹ" localSheetId="8" hidden="1">{#N/A,#N/A,FALSE,"이태원철근"}</definedName>
    <definedName name="ㄴㅇㄻㄴㅇㄹ" hidden="1">{#N/A,#N/A,FALSE,"이태원철근"}</definedName>
    <definedName name="ㄴㅇㄻㄴㅇㄻㄴㅇㄻㄴㅇ" localSheetId="11" hidden="1">{#N/A,#N/A,FALSE,"이태원철근"}</definedName>
    <definedName name="ㄴㅇㄻㄴㅇㄻㄴㅇㄻㄴㅇ" localSheetId="12" hidden="1">{#N/A,#N/A,FALSE,"이태원철근"}</definedName>
    <definedName name="ㄴㅇㄻㄴㅇㄻㄴㅇㄻㄴㅇ" localSheetId="13" hidden="1">{#N/A,#N/A,FALSE,"이태원철근"}</definedName>
    <definedName name="ㄴㅇㄻㄴㅇㄻㄴㅇㄻㄴㅇ" localSheetId="8" hidden="1">{#N/A,#N/A,FALSE,"이태원철근"}</definedName>
    <definedName name="ㄴㅇㄻㄴㅇㄻㄴㅇㄻㄴㅇ" hidden="1">{#N/A,#N/A,FALSE,"이태원철근"}</definedName>
    <definedName name="ㄴㅇㅁㄴㅇㅂㅈㄷㅁㄴ" localSheetId="11" hidden="1">{#N/A,#N/A,FALSE,"이태원철근"}</definedName>
    <definedName name="ㄴㅇㅁㄴㅇㅂㅈㄷㅁㄴ" localSheetId="12" hidden="1">{#N/A,#N/A,FALSE,"이태원철근"}</definedName>
    <definedName name="ㄴㅇㅁㄴㅇㅂㅈㄷㅁㄴ" localSheetId="13" hidden="1">{#N/A,#N/A,FALSE,"이태원철근"}</definedName>
    <definedName name="ㄴㅇㅁㄴㅇㅂㅈㄷㅁㄴ" localSheetId="8" hidden="1">{#N/A,#N/A,FALSE,"이태원철근"}</definedName>
    <definedName name="ㄴㅇㅁㄴㅇㅂㅈㄷㅁㄴ" hidden="1">{#N/A,#N/A,FALSE,"이태원철근"}</definedName>
    <definedName name="ㄴㅇㅁㄹㄴㅇㄹㄴㅇㅁㄹㄴㅇㅁ" localSheetId="11" hidden="1">{#N/A,#N/A,FALSE,"이태원철근"}</definedName>
    <definedName name="ㄴㅇㅁㄹㄴㅇㄹㄴㅇㅁㄹㄴㅇㅁ" localSheetId="12" hidden="1">{#N/A,#N/A,FALSE,"이태원철근"}</definedName>
    <definedName name="ㄴㅇㅁㄹㄴㅇㄹㄴㅇㅁㄹㄴㅇㅁ" localSheetId="13" hidden="1">{#N/A,#N/A,FALSE,"이태원철근"}</definedName>
    <definedName name="ㄴㅇㅁㄹㄴㅇㄹㄴㅇㅁㄹㄴㅇㅁ" localSheetId="8" hidden="1">{#N/A,#N/A,FALSE,"이태원철근"}</definedName>
    <definedName name="ㄴㅇㅁㄹㄴㅇㄹㄴㅇㅁㄹㄴㅇㅁ" hidden="1">{#N/A,#N/A,FALSE,"이태원철근"}</definedName>
    <definedName name="ㄴㅇㅁㄹㄴㅇㄻㄴㅇㄹ" localSheetId="11" hidden="1">{#N/A,#N/A,FALSE,"이태원철근"}</definedName>
    <definedName name="ㄴㅇㅁㄹㄴㅇㄻㄴㅇㄹ" localSheetId="12" hidden="1">{#N/A,#N/A,FALSE,"이태원철근"}</definedName>
    <definedName name="ㄴㅇㅁㄹㄴㅇㄻㄴㅇㄹ" localSheetId="13" hidden="1">{#N/A,#N/A,FALSE,"이태원철근"}</definedName>
    <definedName name="ㄴㅇㅁㄹㄴㅇㄻㄴㅇㄹ" localSheetId="8" hidden="1">{#N/A,#N/A,FALSE,"이태원철근"}</definedName>
    <definedName name="ㄴㅇㅁㄹㄴㅇㄻㄴㅇㄹ" hidden="1">{#N/A,#N/A,FALSE,"이태원철근"}</definedName>
    <definedName name="ㄴㅇㅁㄻㄴㅇㅎㅁㄴㅇㅎ" localSheetId="11" hidden="1">{#N/A,#N/A,FALSE,"이태원철근"}</definedName>
    <definedName name="ㄴㅇㅁㄻㄴㅇㅎㅁㄴㅇㅎ" localSheetId="12" hidden="1">{#N/A,#N/A,FALSE,"이태원철근"}</definedName>
    <definedName name="ㄴㅇㅁㄻㄴㅇㅎㅁㄴㅇㅎ" localSheetId="13" hidden="1">{#N/A,#N/A,FALSE,"이태원철근"}</definedName>
    <definedName name="ㄴㅇㅁㄻㄴㅇㅎㅁㄴㅇㅎ" localSheetId="8" hidden="1">{#N/A,#N/A,FALSE,"이태원철근"}</definedName>
    <definedName name="ㄴㅇㅁㄻㄴㅇㅎㅁㄴㅇㅎ" hidden="1">{#N/A,#N/A,FALSE,"이태원철근"}</definedName>
    <definedName name="ㄴㅇㅁㅎㄴㅇㅁㄻㄴㅇㅎㅁㄴㅇㅎ" localSheetId="11" hidden="1">{#N/A,#N/A,FALSE,"이태원철근"}</definedName>
    <definedName name="ㄴㅇㅁㅎㄴㅇㅁㄻㄴㅇㅎㅁㄴㅇㅎ" localSheetId="12" hidden="1">{#N/A,#N/A,FALSE,"이태원철근"}</definedName>
    <definedName name="ㄴㅇㅁㅎㄴㅇㅁㄻㄴㅇㅎㅁㄴㅇㅎ" localSheetId="13" hidden="1">{#N/A,#N/A,FALSE,"이태원철근"}</definedName>
    <definedName name="ㄴㅇㅁㅎㄴㅇㅁㄻㄴㅇㅎㅁㄴㅇㅎ" localSheetId="8" hidden="1">{#N/A,#N/A,FALSE,"이태원철근"}</definedName>
    <definedName name="ㄴㅇㅁㅎㄴㅇㅁㄻㄴㅇㅎㅁㄴㅇㅎ" hidden="1">{#N/A,#N/A,FALSE,"이태원철근"}</definedName>
    <definedName name="ㄴㅇㅂㅈㄷㅇㅁㄴㅇㅁㅈㄷ" localSheetId="11" hidden="1">{#N/A,#N/A,FALSE,"이태원철근"}</definedName>
    <definedName name="ㄴㅇㅂㅈㄷㅇㅁㄴㅇㅁㅈㄷ" localSheetId="12" hidden="1">{#N/A,#N/A,FALSE,"이태원철근"}</definedName>
    <definedName name="ㄴㅇㅂㅈㄷㅇㅁㄴㅇㅁㅈㄷ" localSheetId="13" hidden="1">{#N/A,#N/A,FALSE,"이태원철근"}</definedName>
    <definedName name="ㄴㅇㅂㅈㄷㅇㅁㄴㅇㅁㅈㄷ" localSheetId="8" hidden="1">{#N/A,#N/A,FALSE,"이태원철근"}</definedName>
    <definedName name="ㄴㅇㅂㅈㄷㅇㅁㄴㅇㅁㅈㄷ" hidden="1">{#N/A,#N/A,FALSE,"이태원철근"}</definedName>
    <definedName name="ㄴㅇㅎ" localSheetId="11" hidden="1">{#N/A,#N/A,FALSE,"이태원철근"}</definedName>
    <definedName name="ㄴㅇㅎ" localSheetId="12" hidden="1">{#N/A,#N/A,FALSE,"이태원철근"}</definedName>
    <definedName name="ㄴㅇㅎ" localSheetId="13" hidden="1">{#N/A,#N/A,FALSE,"이태원철근"}</definedName>
    <definedName name="ㄴㅇㅎ" localSheetId="8" hidden="1">{#N/A,#N/A,FALSE,"이태원철근"}</definedName>
    <definedName name="ㄴㅇㅎ" hidden="1">{#N/A,#N/A,FALSE,"이태원철근"}</definedName>
    <definedName name="ㄴㅇㅎㄻㄴㄻㄴㅇ" localSheetId="11" hidden="1">{#N/A,#N/A,FALSE,"이태원철근"}</definedName>
    <definedName name="ㄴㅇㅎㄻㄴㄻㄴㅇ" localSheetId="12" hidden="1">{#N/A,#N/A,FALSE,"이태원철근"}</definedName>
    <definedName name="ㄴㅇㅎㄻㄴㄻㄴㅇ" localSheetId="13" hidden="1">{#N/A,#N/A,FALSE,"이태원철근"}</definedName>
    <definedName name="ㄴㅇㅎㄻㄴㄻㄴㅇ" localSheetId="8" hidden="1">{#N/A,#N/A,FALSE,"이태원철근"}</definedName>
    <definedName name="ㄴㅇㅎㄻㄴㄻㄴㅇ" hidden="1">{#N/A,#N/A,FALSE,"이태원철근"}</definedName>
    <definedName name="내역" localSheetId="11" hidden="1">{#N/A,#N/A,FALSE,"CCTV"}</definedName>
    <definedName name="내역" localSheetId="12" hidden="1">{#N/A,#N/A,FALSE,"CCTV"}</definedName>
    <definedName name="내역" localSheetId="13" hidden="1">{#N/A,#N/A,FALSE,"CCTV"}</definedName>
    <definedName name="내역" localSheetId="8" hidden="1">{#N/A,#N/A,FALSE,"CCTV"}</definedName>
    <definedName name="내역" hidden="1">{#N/A,#N/A,FALSE,"CCTV"}</definedName>
    <definedName name="노무인력투입계획교사" localSheetId="11" hidden="1">{#N/A,#N/A,FALSE,"이태원철근"}</definedName>
    <definedName name="노무인력투입계획교사" localSheetId="12" hidden="1">{#N/A,#N/A,FALSE,"이태원철근"}</definedName>
    <definedName name="노무인력투입계획교사" localSheetId="13" hidden="1">{#N/A,#N/A,FALSE,"이태원철근"}</definedName>
    <definedName name="노무인력투입계획교사" localSheetId="8" hidden="1">{#N/A,#N/A,FALSE,"이태원철근"}</definedName>
    <definedName name="노무인력투입계획교사" hidden="1">{#N/A,#N/A,FALSE,"이태원철근"}</definedName>
    <definedName name="놀ㄴ홀옿ㅇ" localSheetId="11" hidden="1">{#N/A,#N/A,FALSE,"이태원철근"}</definedName>
    <definedName name="놀ㄴ홀옿ㅇ" localSheetId="12" hidden="1">{#N/A,#N/A,FALSE,"이태원철근"}</definedName>
    <definedName name="놀ㄴ홀옿ㅇ" localSheetId="13" hidden="1">{#N/A,#N/A,FALSE,"이태원철근"}</definedName>
    <definedName name="놀ㄴ홀옿ㅇ" localSheetId="8" hidden="1">{#N/A,#N/A,FALSE,"이태원철근"}</definedName>
    <definedName name="놀ㄴ홀옿ㅇ" hidden="1">{#N/A,#N/A,FALSE,"이태원철근"}</definedName>
    <definedName name="놈ㄴㅁㅇ로" localSheetId="11" hidden="1">{#N/A,#N/A,FALSE,"이태원철근"}</definedName>
    <definedName name="놈ㄴㅁㅇ로" localSheetId="12" hidden="1">{#N/A,#N/A,FALSE,"이태원철근"}</definedName>
    <definedName name="놈ㄴㅁㅇ로" localSheetId="13" hidden="1">{#N/A,#N/A,FALSE,"이태원철근"}</definedName>
    <definedName name="놈ㄴㅁㅇ로" localSheetId="8" hidden="1">{#N/A,#N/A,FALSE,"이태원철근"}</definedName>
    <definedName name="놈ㄴㅁㅇ로" hidden="1">{#N/A,#N/A,FALSE,"이태원철근"}</definedName>
    <definedName name="놓롢론ㄹ" localSheetId="11" hidden="1">{#N/A,#N/A,FALSE,"이태원철근"}</definedName>
    <definedName name="놓롢론ㄹ" localSheetId="12" hidden="1">{#N/A,#N/A,FALSE,"이태원철근"}</definedName>
    <definedName name="놓롢론ㄹ" localSheetId="13" hidden="1">{#N/A,#N/A,FALSE,"이태원철근"}</definedName>
    <definedName name="놓롢론ㄹ" localSheetId="8" hidden="1">{#N/A,#N/A,FALSE,"이태원철근"}</definedName>
    <definedName name="놓롢론ㄹ" hidden="1">{#N/A,#N/A,FALSE,"이태원철근"}</definedName>
    <definedName name="ㄶㅇㅁㄶㅇㅎㅇㅁㄶㅁㄶㅇ" localSheetId="11" hidden="1">{#N/A,#N/A,FALSE,"이태원철근"}</definedName>
    <definedName name="ㄶㅇㅁㄶㅇㅎㅇㅁㄶㅁㄶㅇ" localSheetId="12" hidden="1">{#N/A,#N/A,FALSE,"이태원철근"}</definedName>
    <definedName name="ㄶㅇㅁㄶㅇㅎㅇㅁㄶㅁㄶㅇ" localSheetId="13" hidden="1">{#N/A,#N/A,FALSE,"이태원철근"}</definedName>
    <definedName name="ㄶㅇㅁㄶㅇㅎㅇㅁㄶㅁㄶㅇ" localSheetId="8" hidden="1">{#N/A,#N/A,FALSE,"이태원철근"}</definedName>
    <definedName name="ㄶㅇㅁㄶㅇㅎㅇㅁㄶㅁㄶㅇ" hidden="1">{#N/A,#N/A,FALSE,"이태원철근"}</definedName>
    <definedName name="ㄷ" localSheetId="11" hidden="1">{#N/A,#N/A,TRUE,"토적및재료집계";#N/A,#N/A,TRUE,"토적및재료집계";#N/A,#N/A,TRUE,"단위량"}</definedName>
    <definedName name="ㄷ" localSheetId="12" hidden="1">{#N/A,#N/A,TRUE,"토적및재료집계";#N/A,#N/A,TRUE,"토적및재료집계";#N/A,#N/A,TRUE,"단위량"}</definedName>
    <definedName name="ㄷ" localSheetId="13" hidden="1">{#N/A,#N/A,TRUE,"토적및재료집계";#N/A,#N/A,TRUE,"토적및재료집계";#N/A,#N/A,TRUE,"단위량"}</definedName>
    <definedName name="ㄷ" localSheetId="8" hidden="1">{#N/A,#N/A,TRUE,"토적및재료집계";#N/A,#N/A,TRUE,"토적및재료집계";#N/A,#N/A,TRUE,"단위량"}</definedName>
    <definedName name="ㄷ" hidden="1">{#N/A,#N/A,TRUE,"토적및재료집계";#N/A,#N/A,TRUE,"토적및재료집계";#N/A,#N/A,TRUE,"단위량"}</definedName>
    <definedName name="ㄷㄱ" localSheetId="11" hidden="1">{#N/A,#N/A,FALSE,"이태원철근"}</definedName>
    <definedName name="ㄷㄱ" localSheetId="12" hidden="1">{#N/A,#N/A,FALSE,"이태원철근"}</definedName>
    <definedName name="ㄷㄱ" localSheetId="13" hidden="1">{#N/A,#N/A,FALSE,"이태원철근"}</definedName>
    <definedName name="ㄷㄱ" localSheetId="8" hidden="1">{#N/A,#N/A,FALSE,"이태원철근"}</definedName>
    <definedName name="ㄷㄱ" hidden="1">{#N/A,#N/A,FALSE,"이태원철근"}</definedName>
    <definedName name="ㄷㄱㅈ" localSheetId="11" hidden="1">{#N/A,#N/A,FALSE,"이태원철근"}</definedName>
    <definedName name="ㄷㄱㅈ" localSheetId="12" hidden="1">{#N/A,#N/A,FALSE,"이태원철근"}</definedName>
    <definedName name="ㄷㄱㅈ" localSheetId="13" hidden="1">{#N/A,#N/A,FALSE,"이태원철근"}</definedName>
    <definedName name="ㄷㄱㅈ" localSheetId="8" hidden="1">{#N/A,#N/A,FALSE,"이태원철근"}</definedName>
    <definedName name="ㄷㄱㅈ" hidden="1">{#N/A,#N/A,FALSE,"이태원철근"}</definedName>
    <definedName name="ㄷㄱㅈㄱㄷㅈ" localSheetId="11" hidden="1">{#N/A,#N/A,FALSE,"이태원철근"}</definedName>
    <definedName name="ㄷㄱㅈㄱㄷㅈ" localSheetId="12" hidden="1">{#N/A,#N/A,FALSE,"이태원철근"}</definedName>
    <definedName name="ㄷㄱㅈㄱㄷㅈ" localSheetId="13" hidden="1">{#N/A,#N/A,FALSE,"이태원철근"}</definedName>
    <definedName name="ㄷㄱㅈㄱㄷㅈ" localSheetId="8" hidden="1">{#N/A,#N/A,FALSE,"이태원철근"}</definedName>
    <definedName name="ㄷㄱㅈㄱㄷㅈ" hidden="1">{#N/A,#N/A,FALSE,"이태원철근"}</definedName>
    <definedName name="ㄷ굦ㄷ굗ㄱㅈ" localSheetId="11" hidden="1">{#N/A,#N/A,FALSE,"이태원철근"}</definedName>
    <definedName name="ㄷ굦ㄷ굗ㄱㅈ" localSheetId="12" hidden="1">{#N/A,#N/A,FALSE,"이태원철근"}</definedName>
    <definedName name="ㄷ굦ㄷ굗ㄱㅈ" localSheetId="13" hidden="1">{#N/A,#N/A,FALSE,"이태원철근"}</definedName>
    <definedName name="ㄷ굦ㄷ굗ㄱㅈ" localSheetId="8" hidden="1">{#N/A,#N/A,FALSE,"이태원철근"}</definedName>
    <definedName name="ㄷ굦ㄷ굗ㄱㅈ" hidden="1">{#N/A,#N/A,FALSE,"이태원철근"}</definedName>
    <definedName name="ㄷㄳ" localSheetId="11" hidden="1">{#N/A,#N/A,FALSE,"이태원철근"}</definedName>
    <definedName name="ㄷㄳ" localSheetId="12" hidden="1">{#N/A,#N/A,FALSE,"이태원철근"}</definedName>
    <definedName name="ㄷㄳ" localSheetId="13" hidden="1">{#N/A,#N/A,FALSE,"이태원철근"}</definedName>
    <definedName name="ㄷㄳ" localSheetId="8" hidden="1">{#N/A,#N/A,FALSE,"이태원철근"}</definedName>
    <definedName name="ㄷㄳ" hidden="1">{#N/A,#N/A,FALSE,"이태원철근"}</definedName>
    <definedName name="ㄷ오" localSheetId="11" hidden="1">{#N/A,#N/A,FALSE,"이태원철근"}</definedName>
    <definedName name="ㄷ오" localSheetId="12" hidden="1">{#N/A,#N/A,FALSE,"이태원철근"}</definedName>
    <definedName name="ㄷ오" localSheetId="13" hidden="1">{#N/A,#N/A,FALSE,"이태원철근"}</definedName>
    <definedName name="ㄷ오" localSheetId="8" hidden="1">{#N/A,#N/A,FALSE,"이태원철근"}</definedName>
    <definedName name="ㄷ오" hidden="1">{#N/A,#N/A,FALSE,"이태원철근"}</definedName>
    <definedName name="ㄷㅈㄱㅈㄷㄱㅈㄱ주" localSheetId="11" hidden="1">{#N/A,#N/A,FALSE,"이태원철근"}</definedName>
    <definedName name="ㄷㅈㄱㅈㄷㄱㅈㄱ주" localSheetId="12" hidden="1">{#N/A,#N/A,FALSE,"이태원철근"}</definedName>
    <definedName name="ㄷㅈㄱㅈㄷㄱㅈㄱ주" localSheetId="13" hidden="1">{#N/A,#N/A,FALSE,"이태원철근"}</definedName>
    <definedName name="ㄷㅈㄱㅈㄷㄱㅈㄱ주" localSheetId="8" hidden="1">{#N/A,#N/A,FALSE,"이태원철근"}</definedName>
    <definedName name="ㄷㅈㄱㅈㄷㄱㅈㄱ주" hidden="1">{#N/A,#N/A,FALSE,"이태원철근"}</definedName>
    <definedName name="ㄷㅈㅈㅈㅈㅂ" localSheetId="11" hidden="1">{#N/A,#N/A,FALSE,"이태원철근"}</definedName>
    <definedName name="ㄷㅈㅈㅈㅈㅂ" localSheetId="12" hidden="1">{#N/A,#N/A,FALSE,"이태원철근"}</definedName>
    <definedName name="ㄷㅈㅈㅈㅈㅂ" localSheetId="13" hidden="1">{#N/A,#N/A,FALSE,"이태원철근"}</definedName>
    <definedName name="ㄷㅈㅈㅈㅈㅂ" localSheetId="8" hidden="1">{#N/A,#N/A,FALSE,"이태원철근"}</definedName>
    <definedName name="ㄷㅈㅈㅈㅈㅂ" hidden="1">{#N/A,#N/A,FALSE,"이태원철근"}</definedName>
    <definedName name="당" localSheetId="11" hidden="1">{#N/A,#N/A,FALSE,"이태원철근"}</definedName>
    <definedName name="당" localSheetId="12" hidden="1">{#N/A,#N/A,FALSE,"이태원철근"}</definedName>
    <definedName name="당" localSheetId="13" hidden="1">{#N/A,#N/A,FALSE,"이태원철근"}</definedName>
    <definedName name="당" localSheetId="8" hidden="1">{#N/A,#N/A,FALSE,"이태원철근"}</definedName>
    <definedName name="당" hidden="1">{#N/A,#N/A,FALSE,"이태원철근"}</definedName>
    <definedName name="당초계획" localSheetId="5" hidden="1">#REF!</definedName>
    <definedName name="당초계획" localSheetId="11" hidden="1">#REF!</definedName>
    <definedName name="당초계획" localSheetId="6" hidden="1">#REF!</definedName>
    <definedName name="당초계획" localSheetId="12" hidden="1">#REF!</definedName>
    <definedName name="당초계획" localSheetId="7" hidden="1">#REF!</definedName>
    <definedName name="당초계획" localSheetId="13" hidden="1">#REF!</definedName>
    <definedName name="당초계획" localSheetId="2" hidden="1">#REF!</definedName>
    <definedName name="당초계획" localSheetId="8" hidden="1">#REF!</definedName>
    <definedName name="당초계획" hidden="1">#REF!</definedName>
    <definedName name="대여금" localSheetId="11" hidden="1">{#N/A,#N/A,FALSE,"이태원철근"}</definedName>
    <definedName name="대여금" localSheetId="12" hidden="1">{#N/A,#N/A,FALSE,"이태원철근"}</definedName>
    <definedName name="대여금" localSheetId="13" hidden="1">{#N/A,#N/A,FALSE,"이태원철근"}</definedName>
    <definedName name="대여금" localSheetId="8" hidden="1">{#N/A,#N/A,FALSE,"이태원철근"}</definedName>
    <definedName name="대여금" hidden="1">{#N/A,#N/A,FALSE,"이태원철근"}</definedName>
    <definedName name="더ㅓ" localSheetId="11" hidden="1">{#N/A,#N/A,FALSE,"이태원철근"}</definedName>
    <definedName name="더ㅓ" localSheetId="12" hidden="1">{#N/A,#N/A,FALSE,"이태원철근"}</definedName>
    <definedName name="더ㅓ" localSheetId="13" hidden="1">{#N/A,#N/A,FALSE,"이태원철근"}</definedName>
    <definedName name="더ㅓ" localSheetId="8" hidden="1">{#N/A,#N/A,FALSE,"이태원철근"}</definedName>
    <definedName name="더ㅓ" hidden="1">{#N/A,#N/A,FALSE,"이태원철근"}</definedName>
    <definedName name="더ㅓㅓ" localSheetId="11" hidden="1">{#N/A,#N/A,FALSE,"이태원철근"}</definedName>
    <definedName name="더ㅓㅓ" localSheetId="12" hidden="1">{#N/A,#N/A,FALSE,"이태원철근"}</definedName>
    <definedName name="더ㅓㅓ" localSheetId="13" hidden="1">{#N/A,#N/A,FALSE,"이태원철근"}</definedName>
    <definedName name="더ㅓㅓ" localSheetId="8" hidden="1">{#N/A,#N/A,FALSE,"이태원철근"}</definedName>
    <definedName name="더ㅓㅓ" hidden="1">{#N/A,#N/A,FALSE,"이태원철근"}</definedName>
    <definedName name="도" localSheetId="11" hidden="1">{#N/A,#N/A,FALSE,"이태원철근"}</definedName>
    <definedName name="도" localSheetId="12" hidden="1">{#N/A,#N/A,FALSE,"이태원철근"}</definedName>
    <definedName name="도" localSheetId="13" hidden="1">{#N/A,#N/A,FALSE,"이태원철근"}</definedName>
    <definedName name="도" localSheetId="8" hidden="1">{#N/A,#N/A,FALSE,"이태원철근"}</definedName>
    <definedName name="도" hidden="1">{#N/A,#N/A,FALSE,"이태원철근"}</definedName>
    <definedName name="들" localSheetId="11" hidden="1">{#N/A,#N/A,FALSE,"이태원철근"}</definedName>
    <definedName name="들" localSheetId="12" hidden="1">{#N/A,#N/A,FALSE,"이태원철근"}</definedName>
    <definedName name="들" localSheetId="13" hidden="1">{#N/A,#N/A,FALSE,"이태원철근"}</definedName>
    <definedName name="들" localSheetId="8" hidden="1">{#N/A,#N/A,FALSE,"이태원철근"}</definedName>
    <definedName name="들" hidden="1">{#N/A,#N/A,FALSE,"이태원철근"}</definedName>
    <definedName name="ㄹ" localSheetId="11" hidden="1">{#N/A,#N/A,TRUE,"토적및재료집계";#N/A,#N/A,TRUE,"토적및재료집계";#N/A,#N/A,TRUE,"단위량"}</definedName>
    <definedName name="ㄹ" localSheetId="12" hidden="1">{#N/A,#N/A,TRUE,"토적및재료집계";#N/A,#N/A,TRUE,"토적및재료집계";#N/A,#N/A,TRUE,"단위량"}</definedName>
    <definedName name="ㄹ" localSheetId="13" hidden="1">{#N/A,#N/A,TRUE,"토적및재료집계";#N/A,#N/A,TRUE,"토적및재료집계";#N/A,#N/A,TRUE,"단위량"}</definedName>
    <definedName name="ㄹ" localSheetId="8" hidden="1">{#N/A,#N/A,TRUE,"토적및재료집계";#N/A,#N/A,TRUE,"토적및재료집계";#N/A,#N/A,TRUE,"단위량"}</definedName>
    <definedName name="ㄹ" hidden="1">{#N/A,#N/A,TRUE,"토적및재료집계";#N/A,#N/A,TRUE,"토적및재료집계";#N/A,#N/A,TRUE,"단위량"}</definedName>
    <definedName name="ㄹㄴㄴㄴ" localSheetId="11" hidden="1">{#N/A,#N/A,FALSE,"이태원철근"}</definedName>
    <definedName name="ㄹㄴㄴㄴ" localSheetId="12" hidden="1">{#N/A,#N/A,FALSE,"이태원철근"}</definedName>
    <definedName name="ㄹㄴㄴㄴ" localSheetId="13" hidden="1">{#N/A,#N/A,FALSE,"이태원철근"}</definedName>
    <definedName name="ㄹㄴㄴㄴ" localSheetId="8" hidden="1">{#N/A,#N/A,FALSE,"이태원철근"}</definedName>
    <definedName name="ㄹㄴㄴㄴ" hidden="1">{#N/A,#N/A,FALSE,"이태원철근"}</definedName>
    <definedName name="ㄹㄷㅈ" localSheetId="11" hidden="1">{#N/A,#N/A,FALSE,"이태원철근"}</definedName>
    <definedName name="ㄹㄷㅈ" localSheetId="12" hidden="1">{#N/A,#N/A,FALSE,"이태원철근"}</definedName>
    <definedName name="ㄹㄷㅈ" localSheetId="13" hidden="1">{#N/A,#N/A,FALSE,"이태원철근"}</definedName>
    <definedName name="ㄹㄷㅈ" localSheetId="8" hidden="1">{#N/A,#N/A,FALSE,"이태원철근"}</definedName>
    <definedName name="ㄹㄷㅈ" hidden="1">{#N/A,#N/A,FALSE,"이태원철근"}</definedName>
    <definedName name="ㄹㄹㄹ" localSheetId="11" hidden="1">{#N/A,#N/A,FALSE,"이태원철근"}</definedName>
    <definedName name="ㄹㄹㄹ" localSheetId="12" hidden="1">{#N/A,#N/A,FALSE,"이태원철근"}</definedName>
    <definedName name="ㄹㄹㄹ" localSheetId="13" hidden="1">{#N/A,#N/A,FALSE,"이태원철근"}</definedName>
    <definedName name="ㄹㄹㄹ" localSheetId="8" hidden="1">{#N/A,#N/A,FALSE,"이태원철근"}</definedName>
    <definedName name="ㄹㄹㄹ" hidden="1">{#N/A,#N/A,FALSE,"이태원철근"}</definedName>
    <definedName name="ㄹㅇㅂ" localSheetId="11" hidden="1">{#N/A,#N/A,FALSE,"이태원철근"}</definedName>
    <definedName name="ㄹㅇㅂ" localSheetId="12" hidden="1">{#N/A,#N/A,FALSE,"이태원철근"}</definedName>
    <definedName name="ㄹㅇㅂ" localSheetId="13" hidden="1">{#N/A,#N/A,FALSE,"이태원철근"}</definedName>
    <definedName name="ㄹㅇㅂ" localSheetId="8" hidden="1">{#N/A,#N/A,FALSE,"이태원철근"}</definedName>
    <definedName name="ㄹㅇㅂ" hidden="1">{#N/A,#N/A,FALSE,"이태원철근"}</definedName>
    <definedName name="러ㅛ" localSheetId="11" hidden="1">{#N/A,#N/A,FALSE,"이태원철근"}</definedName>
    <definedName name="러ㅛ" localSheetId="12" hidden="1">{#N/A,#N/A,FALSE,"이태원철근"}</definedName>
    <definedName name="러ㅛ" localSheetId="13" hidden="1">{#N/A,#N/A,FALSE,"이태원철근"}</definedName>
    <definedName name="러ㅛ" localSheetId="8" hidden="1">{#N/A,#N/A,FALSE,"이태원철근"}</definedName>
    <definedName name="러ㅛ" hidden="1">{#N/A,#N/A,FALSE,"이태원철근"}</definedName>
    <definedName name="로" localSheetId="11" hidden="1">{#N/A,#N/A,FALSE,"이태원철근"}</definedName>
    <definedName name="로" localSheetId="12" hidden="1">{#N/A,#N/A,FALSE,"이태원철근"}</definedName>
    <definedName name="로" localSheetId="13" hidden="1">{#N/A,#N/A,FALSE,"이태원철근"}</definedName>
    <definedName name="로" localSheetId="8" hidden="1">{#N/A,#N/A,FALSE,"이태원철근"}</definedName>
    <definedName name="로" hidden="1">{#N/A,#N/A,FALSE,"이태원철근"}</definedName>
    <definedName name="로하ㅗㅎ러ㅏㅓㅗㅎ려" localSheetId="11" hidden="1">{#N/A,#N/A,FALSE,"이태원철근"}</definedName>
    <definedName name="로하ㅗㅎ러ㅏㅓㅗㅎ려" localSheetId="12" hidden="1">{#N/A,#N/A,FALSE,"이태원철근"}</definedName>
    <definedName name="로하ㅗㅎ러ㅏㅓㅗㅎ려" localSheetId="13" hidden="1">{#N/A,#N/A,FALSE,"이태원철근"}</definedName>
    <definedName name="로하ㅗㅎ러ㅏㅓㅗㅎ려" localSheetId="8" hidden="1">{#N/A,#N/A,FALSE,"이태원철근"}</definedName>
    <definedName name="로하ㅗㅎ러ㅏㅓㅗㅎ려" hidden="1">{#N/A,#N/A,FALSE,"이태원철근"}</definedName>
    <definedName name="로허ㅗㅎ러ㅗㅎ러" localSheetId="11" hidden="1">{#N/A,#N/A,FALSE,"이태원철근"}</definedName>
    <definedName name="로허ㅗㅎ러ㅗㅎ러" localSheetId="12" hidden="1">{#N/A,#N/A,FALSE,"이태원철근"}</definedName>
    <definedName name="로허ㅗㅎ러ㅗㅎ러" localSheetId="13" hidden="1">{#N/A,#N/A,FALSE,"이태원철근"}</definedName>
    <definedName name="로허ㅗㅎ러ㅗㅎ러" localSheetId="8" hidden="1">{#N/A,#N/A,FALSE,"이태원철근"}</definedName>
    <definedName name="로허ㅗㅎ러ㅗㅎ러" hidden="1">{#N/A,#N/A,FALSE,"이태원철근"}</definedName>
    <definedName name="로허ㅗㅎ렁호ㅓ" localSheetId="11" hidden="1">{#N/A,#N/A,FALSE,"이태원철근"}</definedName>
    <definedName name="로허ㅗㅎ렁호ㅓ" localSheetId="12" hidden="1">{#N/A,#N/A,FALSE,"이태원철근"}</definedName>
    <definedName name="로허ㅗㅎ렁호ㅓ" localSheetId="13" hidden="1">{#N/A,#N/A,FALSE,"이태원철근"}</definedName>
    <definedName name="로허ㅗㅎ렁호ㅓ" localSheetId="8" hidden="1">{#N/A,#N/A,FALSE,"이태원철근"}</definedName>
    <definedName name="로허ㅗㅎ렁호ㅓ" hidden="1">{#N/A,#N/A,FALSE,"이태원철근"}</definedName>
    <definedName name="로ㅗ" localSheetId="11" hidden="1">{#N/A,#N/A,FALSE,"이태원철근"}</definedName>
    <definedName name="로ㅗ" localSheetId="12" hidden="1">{#N/A,#N/A,FALSE,"이태원철근"}</definedName>
    <definedName name="로ㅗ" localSheetId="13" hidden="1">{#N/A,#N/A,FALSE,"이태원철근"}</definedName>
    <definedName name="로ㅗ" localSheetId="8" hidden="1">{#N/A,#N/A,FALSE,"이태원철근"}</definedName>
    <definedName name="로ㅗ" hidden="1">{#N/A,#N/A,FALSE,"이태원철근"}</definedName>
    <definedName name="롷럻" localSheetId="11" hidden="1">{#N/A,#N/A,FALSE,"이태원철근"}</definedName>
    <definedName name="롷럻" localSheetId="12" hidden="1">{#N/A,#N/A,FALSE,"이태원철근"}</definedName>
    <definedName name="롷럻" localSheetId="13" hidden="1">{#N/A,#N/A,FALSE,"이태원철근"}</definedName>
    <definedName name="롷럻" localSheetId="8" hidden="1">{#N/A,#N/A,FALSE,"이태원철근"}</definedName>
    <definedName name="롷럻" hidden="1">{#N/A,#N/A,FALSE,"이태원철근"}</definedName>
    <definedName name="료료" localSheetId="11" hidden="1">{#N/A,#N/A,FALSE,"이태원철근"}</definedName>
    <definedName name="료료" localSheetId="12" hidden="1">{#N/A,#N/A,FALSE,"이태원철근"}</definedName>
    <definedName name="료료" localSheetId="13" hidden="1">{#N/A,#N/A,FALSE,"이태원철근"}</definedName>
    <definedName name="료료" localSheetId="8" hidden="1">{#N/A,#N/A,FALSE,"이태원철근"}</definedName>
    <definedName name="료료" hidden="1">{#N/A,#N/A,FALSE,"이태원철근"}</definedName>
    <definedName name="ㄼ" localSheetId="11" hidden="1">{#N/A,#N/A,FALSE,"이태원철근"}</definedName>
    <definedName name="ㄼ" localSheetId="12" hidden="1">{#N/A,#N/A,FALSE,"이태원철근"}</definedName>
    <definedName name="ㄼ" localSheetId="13" hidden="1">{#N/A,#N/A,FALSE,"이태원철근"}</definedName>
    <definedName name="ㄼ" localSheetId="8" hidden="1">{#N/A,#N/A,FALSE,"이태원철근"}</definedName>
    <definedName name="ㄼ" hidden="1">{#N/A,#N/A,FALSE,"이태원철근"}</definedName>
    <definedName name="ㄼㅂ" localSheetId="11" hidden="1">{#N/A,#N/A,FALSE,"이태원철근"}</definedName>
    <definedName name="ㄼㅂ" localSheetId="12" hidden="1">{#N/A,#N/A,FALSE,"이태원철근"}</definedName>
    <definedName name="ㄼㅂ" localSheetId="13" hidden="1">{#N/A,#N/A,FALSE,"이태원철근"}</definedName>
    <definedName name="ㄼㅂ" localSheetId="8" hidden="1">{#N/A,#N/A,FALSE,"이태원철근"}</definedName>
    <definedName name="ㄼㅂ" hidden="1">{#N/A,#N/A,FALSE,"이태원철근"}</definedName>
    <definedName name="ㅀ" localSheetId="11" hidden="1">{#N/A,#N/A,TRUE,"토적및재료집계";#N/A,#N/A,TRUE,"토적및재료집계";#N/A,#N/A,TRUE,"단위량"}</definedName>
    <definedName name="ㅀ" localSheetId="12" hidden="1">{#N/A,#N/A,TRUE,"토적및재료집계";#N/A,#N/A,TRUE,"토적및재료집계";#N/A,#N/A,TRUE,"단위량"}</definedName>
    <definedName name="ㅀ" localSheetId="13" hidden="1">{#N/A,#N/A,TRUE,"토적및재료집계";#N/A,#N/A,TRUE,"토적및재료집계";#N/A,#N/A,TRUE,"단위량"}</definedName>
    <definedName name="ㅀ" localSheetId="8" hidden="1">{#N/A,#N/A,TRUE,"토적및재료집계";#N/A,#N/A,TRUE,"토적및재료집계";#N/A,#N/A,TRUE,"단위량"}</definedName>
    <definedName name="ㅀ" hidden="1">{#N/A,#N/A,TRUE,"토적및재료집계";#N/A,#N/A,TRUE,"토적및재료집계";#N/A,#N/A,TRUE,"단위량"}</definedName>
    <definedName name="ㅁㄴㅇㄷㅂㅈㄷㅇㅂㅈㄷ" localSheetId="11" hidden="1">{#N/A,#N/A,FALSE,"이태원철근"}</definedName>
    <definedName name="ㅁㄴㅇㄷㅂㅈㄷㅇㅂㅈㄷ" localSheetId="12" hidden="1">{#N/A,#N/A,FALSE,"이태원철근"}</definedName>
    <definedName name="ㅁㄴㅇㄷㅂㅈㄷㅇㅂㅈㄷ" localSheetId="13" hidden="1">{#N/A,#N/A,FALSE,"이태원철근"}</definedName>
    <definedName name="ㅁㄴㅇㄷㅂㅈㄷㅇㅂㅈㄷ" localSheetId="8" hidden="1">{#N/A,#N/A,FALSE,"이태원철근"}</definedName>
    <definedName name="ㅁㄴㅇㄷㅂㅈㄷㅇㅂㅈㄷ" hidden="1">{#N/A,#N/A,FALSE,"이태원철근"}</definedName>
    <definedName name="ㅁㄴㅇㄹ" localSheetId="11" hidden="1">{#N/A,#N/A,FALSE,"이태원철근"}</definedName>
    <definedName name="ㅁㄴㅇㄹ" localSheetId="12" hidden="1">{#N/A,#N/A,FALSE,"이태원철근"}</definedName>
    <definedName name="ㅁㄴㅇㄹ" localSheetId="13" hidden="1">{#N/A,#N/A,FALSE,"이태원철근"}</definedName>
    <definedName name="ㅁㄴㅇㄹ" localSheetId="8" hidden="1">{#N/A,#N/A,FALSE,"이태원철근"}</definedName>
    <definedName name="ㅁㄴㅇㄹ" hidden="1">{#N/A,#N/A,FALSE,"이태원철근"}</definedName>
    <definedName name="ㅁㄴㅇㄹㄴㅇㄹ" localSheetId="11" hidden="1">{#N/A,#N/A,FALSE,"이태원철근"}</definedName>
    <definedName name="ㅁㄴㅇㄹㄴㅇㄹ" localSheetId="12" hidden="1">{#N/A,#N/A,FALSE,"이태원철근"}</definedName>
    <definedName name="ㅁㄴㅇㄹㄴㅇㄹ" localSheetId="13" hidden="1">{#N/A,#N/A,FALSE,"이태원철근"}</definedName>
    <definedName name="ㅁㄴㅇㄹㄴㅇㄹ" localSheetId="8" hidden="1">{#N/A,#N/A,FALSE,"이태원철근"}</definedName>
    <definedName name="ㅁㄴㅇㄹㄴㅇㄹ" hidden="1">{#N/A,#N/A,FALSE,"이태원철근"}</definedName>
    <definedName name="ㅁㄴㅇㄹㄴㅇㄻㄴㅇㄹㄴ" localSheetId="11" hidden="1">{#N/A,#N/A,FALSE,"이태원철근"}</definedName>
    <definedName name="ㅁㄴㅇㄹㄴㅇㄻㄴㅇㄹㄴ" localSheetId="12" hidden="1">{#N/A,#N/A,FALSE,"이태원철근"}</definedName>
    <definedName name="ㅁㄴㅇㄹㄴㅇㄻㄴㅇㄹㄴ" localSheetId="13" hidden="1">{#N/A,#N/A,FALSE,"이태원철근"}</definedName>
    <definedName name="ㅁㄴㅇㄹㄴㅇㄻㄴㅇㄹㄴ" localSheetId="8" hidden="1">{#N/A,#N/A,FALSE,"이태원철근"}</definedName>
    <definedName name="ㅁㄴㅇㄹㄴㅇㄻㄴㅇㄹㄴ" hidden="1">{#N/A,#N/A,FALSE,"이태원철근"}</definedName>
    <definedName name="ㅁㄴㅇㄹㄴㅇㅁㄹㄴㅇㅁㄻ누" localSheetId="11" hidden="1">{#N/A,#N/A,FALSE,"이태원철근"}</definedName>
    <definedName name="ㅁㄴㅇㄹㄴㅇㅁㄹㄴㅇㅁㄻ누" localSheetId="12" hidden="1">{#N/A,#N/A,FALSE,"이태원철근"}</definedName>
    <definedName name="ㅁㄴㅇㄹㄴㅇㅁㄹㄴㅇㅁㄻ누" localSheetId="13" hidden="1">{#N/A,#N/A,FALSE,"이태원철근"}</definedName>
    <definedName name="ㅁㄴㅇㄹㄴㅇㅁㄹㄴㅇㅁㄻ누" localSheetId="8" hidden="1">{#N/A,#N/A,FALSE,"이태원철근"}</definedName>
    <definedName name="ㅁㄴㅇㄹㄴㅇㅁㄹㄴㅇㅁㄻ누" hidden="1">{#N/A,#N/A,FALSE,"이태원철근"}</definedName>
    <definedName name="ㅁㄴㅇㄹㄴㅇㅁㄻㄴㅇㄻ" localSheetId="11" hidden="1">{#N/A,#N/A,FALSE,"이태원철근"}</definedName>
    <definedName name="ㅁㄴㅇㄹㄴㅇㅁㄻㄴㅇㄻ" localSheetId="12" hidden="1">{#N/A,#N/A,FALSE,"이태원철근"}</definedName>
    <definedName name="ㅁㄴㅇㄹㄴㅇㅁㄻㄴㅇㄻ" localSheetId="13" hidden="1">{#N/A,#N/A,FALSE,"이태원철근"}</definedName>
    <definedName name="ㅁㄴㅇㄹㄴㅇㅁㄻㄴㅇㄻ" localSheetId="8" hidden="1">{#N/A,#N/A,FALSE,"이태원철근"}</definedName>
    <definedName name="ㅁㄴㅇㄹㄴㅇㅁㄻㄴㅇㄻ" hidden="1">{#N/A,#N/A,FALSE,"이태원철근"}</definedName>
    <definedName name="ㅁㄴㅇㄹㄴㅇㅁㅎㄷㅈㅅㅎㄻㄴ" localSheetId="11" hidden="1">{#N/A,#N/A,FALSE,"이태원철근"}</definedName>
    <definedName name="ㅁㄴㅇㄹㄴㅇㅁㅎㄷㅈㅅㅎㄻㄴ" localSheetId="12" hidden="1">{#N/A,#N/A,FALSE,"이태원철근"}</definedName>
    <definedName name="ㅁㄴㅇㄹㄴㅇㅁㅎㄷㅈㅅㅎㄻㄴ" localSheetId="13" hidden="1">{#N/A,#N/A,FALSE,"이태원철근"}</definedName>
    <definedName name="ㅁㄴㅇㄹㄴㅇㅁㅎㄷㅈㅅㅎㄻㄴ" localSheetId="8" hidden="1">{#N/A,#N/A,FALSE,"이태원철근"}</definedName>
    <definedName name="ㅁㄴㅇㄹㄴㅇㅁㅎㄷㅈㅅㅎㄻㄴ" hidden="1">{#N/A,#N/A,FALSE,"이태원철근"}</definedName>
    <definedName name="ㅁㄴㅇㄹㄻㄴ" localSheetId="11" hidden="1">{#N/A,#N/A,FALSE,"이태원철근"}</definedName>
    <definedName name="ㅁㄴㅇㄹㄻㄴ" localSheetId="12" hidden="1">{#N/A,#N/A,FALSE,"이태원철근"}</definedName>
    <definedName name="ㅁㄴㅇㄹㄻㄴ" localSheetId="13" hidden="1">{#N/A,#N/A,FALSE,"이태원철근"}</definedName>
    <definedName name="ㅁㄴㅇㄹㄻㄴ" localSheetId="8" hidden="1">{#N/A,#N/A,FALSE,"이태원철근"}</definedName>
    <definedName name="ㅁㄴㅇㄹㄻㄴ" hidden="1">{#N/A,#N/A,FALSE,"이태원철근"}</definedName>
    <definedName name="ㅁㄴㅇㄻㄴㄹㄴㅁㅇ" localSheetId="11" hidden="1">{#N/A,#N/A,FALSE,"이태원철근"}</definedName>
    <definedName name="ㅁㄴㅇㄻㄴㄹㄴㅁㅇ" localSheetId="12" hidden="1">{#N/A,#N/A,FALSE,"이태원철근"}</definedName>
    <definedName name="ㅁㄴㅇㄻㄴㄹㄴㅁㅇ" localSheetId="13" hidden="1">{#N/A,#N/A,FALSE,"이태원철근"}</definedName>
    <definedName name="ㅁㄴㅇㄻㄴㄹㄴㅁㅇ" localSheetId="8" hidden="1">{#N/A,#N/A,FALSE,"이태원철근"}</definedName>
    <definedName name="ㅁㄴㅇㄻㄴㄹㄴㅁㅇ" hidden="1">{#N/A,#N/A,FALSE,"이태원철근"}</definedName>
    <definedName name="ㅁㄴㅇㄻㄴㅇㄹ" localSheetId="11" hidden="1">{#N/A,#N/A,FALSE,"이태원철근"}</definedName>
    <definedName name="ㅁㄴㅇㄻㄴㅇㄹ" localSheetId="12" hidden="1">{#N/A,#N/A,FALSE,"이태원철근"}</definedName>
    <definedName name="ㅁㄴㅇㄻㄴㅇㄹ" localSheetId="13" hidden="1">{#N/A,#N/A,FALSE,"이태원철근"}</definedName>
    <definedName name="ㅁㄴㅇㄻㄴㅇㄹ" localSheetId="8" hidden="1">{#N/A,#N/A,FALSE,"이태원철근"}</definedName>
    <definedName name="ㅁㄴㅇㄻㄴㅇㄹ" hidden="1">{#N/A,#N/A,FALSE,"이태원철근"}</definedName>
    <definedName name="ㅁㄴㅇㄻㄴㅇㄹㄴㅁㅇㄹ" localSheetId="11" hidden="1">{#N/A,#N/A,FALSE,"이태원철근"}</definedName>
    <definedName name="ㅁㄴㅇㄻㄴㅇㄹㄴㅁㅇㄹ" localSheetId="12" hidden="1">{#N/A,#N/A,FALSE,"이태원철근"}</definedName>
    <definedName name="ㅁㄴㅇㄻㄴㅇㄹㄴㅁㅇㄹ" localSheetId="13" hidden="1">{#N/A,#N/A,FALSE,"이태원철근"}</definedName>
    <definedName name="ㅁㄴㅇㄻㄴㅇㄹㄴㅁㅇㄹ" localSheetId="8" hidden="1">{#N/A,#N/A,FALSE,"이태원철근"}</definedName>
    <definedName name="ㅁㄴㅇㄻㄴㅇㄹㄴㅁㅇㄹ" hidden="1">{#N/A,#N/A,FALSE,"이태원철근"}</definedName>
    <definedName name="ㅁㄴㅇㄻㄴㅇㄻㄴㅇ" localSheetId="11" hidden="1">{#N/A,#N/A,FALSE,"이태원철근"}</definedName>
    <definedName name="ㅁㄴㅇㄻㄴㅇㄻㄴㅇ" localSheetId="12" hidden="1">{#N/A,#N/A,FALSE,"이태원철근"}</definedName>
    <definedName name="ㅁㄴㅇㄻㄴㅇㄻㄴㅇ" localSheetId="13" hidden="1">{#N/A,#N/A,FALSE,"이태원철근"}</definedName>
    <definedName name="ㅁㄴㅇㄻㄴㅇㄻㄴㅇ" localSheetId="8" hidden="1">{#N/A,#N/A,FALSE,"이태원철근"}</definedName>
    <definedName name="ㅁㄴㅇㄻㄴㅇㄻㄴㅇ" hidden="1">{#N/A,#N/A,FALSE,"이태원철근"}</definedName>
    <definedName name="ㅁㄴㅇㄻㄹ" localSheetId="11" hidden="1">{#N/A,#N/A,FALSE,"이태원철근"}</definedName>
    <definedName name="ㅁㄴㅇㄻㄹ" localSheetId="12" hidden="1">{#N/A,#N/A,FALSE,"이태원철근"}</definedName>
    <definedName name="ㅁㄴㅇㄻㄹ" localSheetId="13" hidden="1">{#N/A,#N/A,FALSE,"이태원철근"}</definedName>
    <definedName name="ㅁㄴㅇㄻㄹ" localSheetId="8" hidden="1">{#N/A,#N/A,FALSE,"이태원철근"}</definedName>
    <definedName name="ㅁㄴㅇㄻㄹ" hidden="1">{#N/A,#N/A,FALSE,"이태원철근"}</definedName>
    <definedName name="ㅁㄴㅇㅁㄶㅇㄶㅇㄶㅇㅁㅎㅇ" localSheetId="11" hidden="1">{#N/A,#N/A,FALSE,"이태원철근"}</definedName>
    <definedName name="ㅁㄴㅇㅁㄶㅇㄶㅇㄶㅇㅁㅎㅇ" localSheetId="12" hidden="1">{#N/A,#N/A,FALSE,"이태원철근"}</definedName>
    <definedName name="ㅁㄴㅇㅁㄶㅇㄶㅇㄶㅇㅁㅎㅇ" localSheetId="13" hidden="1">{#N/A,#N/A,FALSE,"이태원철근"}</definedName>
    <definedName name="ㅁㄴㅇㅁㄶㅇㄶㅇㄶㅇㅁㅎㅇ" localSheetId="8" hidden="1">{#N/A,#N/A,FALSE,"이태원철근"}</definedName>
    <definedName name="ㅁㄴㅇㅁㄶㅇㄶㅇㄶㅇㅁㅎㅇ" hidden="1">{#N/A,#N/A,FALSE,"이태원철근"}</definedName>
    <definedName name="ㅁㄴㅇㅂㅈㄷㅁㄴㄷㅇㅁㄴ" localSheetId="11" hidden="1">{#N/A,#N/A,FALSE,"이태원철근"}</definedName>
    <definedName name="ㅁㄴㅇㅂㅈㄷㅁㄴㄷㅇㅁㄴ" localSheetId="12" hidden="1">{#N/A,#N/A,FALSE,"이태원철근"}</definedName>
    <definedName name="ㅁㄴㅇㅂㅈㄷㅁㄴㄷㅇㅁㄴ" localSheetId="13" hidden="1">{#N/A,#N/A,FALSE,"이태원철근"}</definedName>
    <definedName name="ㅁㄴㅇㅂㅈㄷㅁㄴㄷㅇㅁㄴ" localSheetId="8" hidden="1">{#N/A,#N/A,FALSE,"이태원철근"}</definedName>
    <definedName name="ㅁㄴㅇㅂㅈㄷㅁㄴㄷㅇㅁㄴ" hidden="1">{#N/A,#N/A,FALSE,"이태원철근"}</definedName>
    <definedName name="ㅁㄴㅇㅂㅈㄷㅁㄴㅇㅂㅈ" localSheetId="11" hidden="1">{#N/A,#N/A,FALSE,"이태원철근"}</definedName>
    <definedName name="ㅁㄴㅇㅂㅈㄷㅁㄴㅇㅂㅈ" localSheetId="12" hidden="1">{#N/A,#N/A,FALSE,"이태원철근"}</definedName>
    <definedName name="ㅁㄴㅇㅂㅈㄷㅁㄴㅇㅂㅈ" localSheetId="13" hidden="1">{#N/A,#N/A,FALSE,"이태원철근"}</definedName>
    <definedName name="ㅁㄴㅇㅂㅈㄷㅁㄴㅇㅂㅈ" localSheetId="8" hidden="1">{#N/A,#N/A,FALSE,"이태원철근"}</definedName>
    <definedName name="ㅁㄴㅇㅂㅈㄷㅁㄴㅇㅂㅈ" hidden="1">{#N/A,#N/A,FALSE,"이태원철근"}</definedName>
    <definedName name="ㅁㄴㅇㅎㄴㅇㅁㄹㄷㅈㄹㄴㅇ" localSheetId="11" hidden="1">{#N/A,#N/A,FALSE,"이태원철근"}</definedName>
    <definedName name="ㅁㄴㅇㅎㄴㅇㅁㄹㄷㅈㄹㄴㅇ" localSheetId="12" hidden="1">{#N/A,#N/A,FALSE,"이태원철근"}</definedName>
    <definedName name="ㅁㄴㅇㅎㄴㅇㅁㄹㄷㅈㄹㄴㅇ" localSheetId="13" hidden="1">{#N/A,#N/A,FALSE,"이태원철근"}</definedName>
    <definedName name="ㅁㄴㅇㅎㄴㅇㅁㄹㄷㅈㄹㄴㅇ" localSheetId="8" hidden="1">{#N/A,#N/A,FALSE,"이태원철근"}</definedName>
    <definedName name="ㅁㄴㅇㅎㄴㅇㅁㄹㄷㅈㄹㄴㅇ" hidden="1">{#N/A,#N/A,FALSE,"이태원철근"}</definedName>
    <definedName name="ㅁㄴㅇㅎㄴㅇㅁㄹㄷㅈㄹㄴㅇㄹ" localSheetId="11" hidden="1">{#N/A,#N/A,FALSE,"이태원철근"}</definedName>
    <definedName name="ㅁㄴㅇㅎㄴㅇㅁㄹㄷㅈㄹㄴㅇㄹ" localSheetId="12" hidden="1">{#N/A,#N/A,FALSE,"이태원철근"}</definedName>
    <definedName name="ㅁㄴㅇㅎㄴㅇㅁㄹㄷㅈㄹㄴㅇㄹ" localSheetId="13" hidden="1">{#N/A,#N/A,FALSE,"이태원철근"}</definedName>
    <definedName name="ㅁㄴㅇㅎㄴㅇㅁㄹㄷㅈㄹㄴㅇㄹ" localSheetId="8" hidden="1">{#N/A,#N/A,FALSE,"이태원철근"}</definedName>
    <definedName name="ㅁㄴㅇㅎㄴㅇㅁㄹㄷㅈㄹㄴㅇㄹ" hidden="1">{#N/A,#N/A,FALSE,"이태원철근"}</definedName>
    <definedName name="ㅁㄴㅇㅎㄴㅇㅁㅎㅁㄴㅇㄻㄴㅇ" localSheetId="11" hidden="1">{#N/A,#N/A,FALSE,"이태원철근"}</definedName>
    <definedName name="ㅁㄴㅇㅎㄴㅇㅁㅎㅁㄴㅇㄻㄴㅇ" localSheetId="12" hidden="1">{#N/A,#N/A,FALSE,"이태원철근"}</definedName>
    <definedName name="ㅁㄴㅇㅎㄴㅇㅁㅎㅁㄴㅇㄻㄴㅇ" localSheetId="13" hidden="1">{#N/A,#N/A,FALSE,"이태원철근"}</definedName>
    <definedName name="ㅁㄴㅇㅎㄴㅇㅁㅎㅁㄴㅇㄻㄴㅇ" localSheetId="8" hidden="1">{#N/A,#N/A,FALSE,"이태원철근"}</definedName>
    <definedName name="ㅁㄴㅇㅎㄴㅇㅁㅎㅁㄴㅇㄻㄴㅇ" hidden="1">{#N/A,#N/A,FALSE,"이태원철근"}</definedName>
    <definedName name="ㅁㄴㅇㅎㄴㅇㅁㅎㅁㄴㅇㅎㅁㄴㅇㄹ" localSheetId="11" hidden="1">{#N/A,#N/A,FALSE,"이태원철근"}</definedName>
    <definedName name="ㅁㄴㅇㅎㄴㅇㅁㅎㅁㄴㅇㅎㅁㄴㅇㄹ" localSheetId="12" hidden="1">{#N/A,#N/A,FALSE,"이태원철근"}</definedName>
    <definedName name="ㅁㄴㅇㅎㄴㅇㅁㅎㅁㄴㅇㅎㅁㄴㅇㄹ" localSheetId="13" hidden="1">{#N/A,#N/A,FALSE,"이태원철근"}</definedName>
    <definedName name="ㅁㄴㅇㅎㄴㅇㅁㅎㅁㄴㅇㅎㅁㄴㅇㄹ" localSheetId="8" hidden="1">{#N/A,#N/A,FALSE,"이태원철근"}</definedName>
    <definedName name="ㅁㄴㅇㅎㄴㅇㅁㅎㅁㄴㅇㅎㅁㄴㅇㄹ" hidden="1">{#N/A,#N/A,FALSE,"이태원철근"}</definedName>
    <definedName name="ㅁㄴㅇㅎㄴㅇㅎㄶㅇㄶㅇㅁ" localSheetId="11" hidden="1">{#N/A,#N/A,FALSE,"이태원철근"}</definedName>
    <definedName name="ㅁㄴㅇㅎㄴㅇㅎㄶㅇㄶㅇㅁ" localSheetId="12" hidden="1">{#N/A,#N/A,FALSE,"이태원철근"}</definedName>
    <definedName name="ㅁㄴㅇㅎㄴㅇㅎㄶㅇㄶㅇㅁ" localSheetId="13" hidden="1">{#N/A,#N/A,FALSE,"이태원철근"}</definedName>
    <definedName name="ㅁㄴㅇㅎㄴㅇㅎㄶㅇㄶㅇㅁ" localSheetId="8" hidden="1">{#N/A,#N/A,FALSE,"이태원철근"}</definedName>
    <definedName name="ㅁㄴㅇㅎㄴㅇㅎㄶㅇㄶㅇㅁ" hidden="1">{#N/A,#N/A,FALSE,"이태원철근"}</definedName>
    <definedName name="ㅁㄴㅇㅎㅁㄴㄷㅇㅎㄴㅇㅁㅎㅁㄴ" localSheetId="11" hidden="1">{#N/A,#N/A,FALSE,"이태원철근"}</definedName>
    <definedName name="ㅁㄴㅇㅎㅁㄴㄷㅇㅎㄴㅇㅁㅎㅁㄴ" localSheetId="12" hidden="1">{#N/A,#N/A,FALSE,"이태원철근"}</definedName>
    <definedName name="ㅁㄴㅇㅎㅁㄴㄷㅇㅎㄴㅇㅁㅎㅁㄴ" localSheetId="13" hidden="1">{#N/A,#N/A,FALSE,"이태원철근"}</definedName>
    <definedName name="ㅁㄴㅇㅎㅁㄴㄷㅇㅎㄴㅇㅁㅎㅁㄴ" localSheetId="8" hidden="1">{#N/A,#N/A,FALSE,"이태원철근"}</definedName>
    <definedName name="ㅁㄴㅇㅎㅁㄴㄷㅇㅎㄴㅇㅁㅎㅁㄴ" hidden="1">{#N/A,#N/A,FALSE,"이태원철근"}</definedName>
    <definedName name="ㅁㄴㅇㅎㅁㄴㄷㅈㅎㄻㄴㅇㄻㄴㅇ" localSheetId="11" hidden="1">{#N/A,#N/A,FALSE,"이태원철근"}</definedName>
    <definedName name="ㅁㄴㅇㅎㅁㄴㄷㅈㅎㄻㄴㅇㄻㄴㅇ" localSheetId="12" hidden="1">{#N/A,#N/A,FALSE,"이태원철근"}</definedName>
    <definedName name="ㅁㄴㅇㅎㅁㄴㄷㅈㅎㄻㄴㅇㄻㄴㅇ" localSheetId="13" hidden="1">{#N/A,#N/A,FALSE,"이태원철근"}</definedName>
    <definedName name="ㅁㄴㅇㅎㅁㄴㄷㅈㅎㄻㄴㅇㄻㄴㅇ" localSheetId="8" hidden="1">{#N/A,#N/A,FALSE,"이태원철근"}</definedName>
    <definedName name="ㅁㄴㅇㅎㅁㄴㄷㅈㅎㄻㄴㅇㄻㄴㅇ" hidden="1">{#N/A,#N/A,FALSE,"이태원철근"}</definedName>
    <definedName name="ㅁㄴㅇㅎㅁㄴㅇㅅㄷㅈㅁㄻㄴㅇㄹ" localSheetId="11" hidden="1">{#N/A,#N/A,FALSE,"이태원철근"}</definedName>
    <definedName name="ㅁㄴㅇㅎㅁㄴㅇㅅㄷㅈㅁㄻㄴㅇㄹ" localSheetId="12" hidden="1">{#N/A,#N/A,FALSE,"이태원철근"}</definedName>
    <definedName name="ㅁㄴㅇㅎㅁㄴㅇㅅㄷㅈㅁㄻㄴㅇㄹ" localSheetId="13" hidden="1">{#N/A,#N/A,FALSE,"이태원철근"}</definedName>
    <definedName name="ㅁㄴㅇㅎㅁㄴㅇㅅㄷㅈㅁㄻㄴㅇㄹ" localSheetId="8" hidden="1">{#N/A,#N/A,FALSE,"이태원철근"}</definedName>
    <definedName name="ㅁㄴㅇㅎㅁㄴㅇㅅㄷㅈㅁㄻㄴㅇㄹ" hidden="1">{#N/A,#N/A,FALSE,"이태원철근"}</definedName>
    <definedName name="ㅁㄴㅇㅎㅁㄴㅇㅎㄻㄴㅇㄱㄹㄴㅇ" localSheetId="11" hidden="1">{#N/A,#N/A,FALSE,"이태원철근"}</definedName>
    <definedName name="ㅁㄴㅇㅎㅁㄴㅇㅎㄻㄴㅇㄱㄹㄴㅇ" localSheetId="12" hidden="1">{#N/A,#N/A,FALSE,"이태원철근"}</definedName>
    <definedName name="ㅁㄴㅇㅎㅁㄴㅇㅎㄻㄴㅇㄱㄹㄴㅇ" localSheetId="13" hidden="1">{#N/A,#N/A,FALSE,"이태원철근"}</definedName>
    <definedName name="ㅁㄴㅇㅎㅁㄴㅇㅎㄻㄴㅇㄱㄹㄴㅇ" localSheetId="8" hidden="1">{#N/A,#N/A,FALSE,"이태원철근"}</definedName>
    <definedName name="ㅁㄴㅇㅎㅁㄴㅇㅎㄻㄴㅇㄱㄹㄴㅇ" hidden="1">{#N/A,#N/A,FALSE,"이태원철근"}</definedName>
    <definedName name="ㅁㄴㅇㅎㅁㄴㅇㅎㄻㄴㅇㅎㅁㄴㅇ" localSheetId="11" hidden="1">{#N/A,#N/A,FALSE,"이태원철근"}</definedName>
    <definedName name="ㅁㄴㅇㅎㅁㄴㅇㅎㄻㄴㅇㅎㅁㄴㅇ" localSheetId="12" hidden="1">{#N/A,#N/A,FALSE,"이태원철근"}</definedName>
    <definedName name="ㅁㄴㅇㅎㅁㄴㅇㅎㄻㄴㅇㅎㅁㄴㅇ" localSheetId="13" hidden="1">{#N/A,#N/A,FALSE,"이태원철근"}</definedName>
    <definedName name="ㅁㄴㅇㅎㅁㄴㅇㅎㄻㄴㅇㅎㅁㄴㅇ" localSheetId="8" hidden="1">{#N/A,#N/A,FALSE,"이태원철근"}</definedName>
    <definedName name="ㅁㄴㅇㅎㅁㄴㅇㅎㄻㄴㅇㅎㅁㄴㅇ" hidden="1">{#N/A,#N/A,FALSE,"이태원철근"}</definedName>
    <definedName name="ㅁㄴㅇㅎㅁㄴㅇㅎㅁㄴㅇㄻㄴㅇㄹ" localSheetId="11" hidden="1">{#N/A,#N/A,FALSE,"이태원철근"}</definedName>
    <definedName name="ㅁㄴㅇㅎㅁㄴㅇㅎㅁㄴㅇㄻㄴㅇㄹ" localSheetId="12" hidden="1">{#N/A,#N/A,FALSE,"이태원철근"}</definedName>
    <definedName name="ㅁㄴㅇㅎㅁㄴㅇㅎㅁㄴㅇㄻㄴㅇㄹ" localSheetId="13" hidden="1">{#N/A,#N/A,FALSE,"이태원철근"}</definedName>
    <definedName name="ㅁㄴㅇㅎㅁㄴㅇㅎㅁㄴㅇㄻㄴㅇㄹ" localSheetId="8" hidden="1">{#N/A,#N/A,FALSE,"이태원철근"}</definedName>
    <definedName name="ㅁㄴㅇㅎㅁㄴㅇㅎㅁㄴㅇㄻㄴㅇㄹ" hidden="1">{#N/A,#N/A,FALSE,"이태원철근"}</definedName>
    <definedName name="ㅁㄴㅇㅎㅁㄴㅇㅎㅁㄴㅇㅎ" localSheetId="11" hidden="1">{#N/A,#N/A,FALSE,"이태원철근"}</definedName>
    <definedName name="ㅁㄴㅇㅎㅁㄴㅇㅎㅁㄴㅇㅎ" localSheetId="12" hidden="1">{#N/A,#N/A,FALSE,"이태원철근"}</definedName>
    <definedName name="ㅁㄴㅇㅎㅁㄴㅇㅎㅁㄴㅇㅎ" localSheetId="13" hidden="1">{#N/A,#N/A,FALSE,"이태원철근"}</definedName>
    <definedName name="ㅁㄴㅇㅎㅁㄴㅇㅎㅁㄴㅇㅎ" localSheetId="8" hidden="1">{#N/A,#N/A,FALSE,"이태원철근"}</definedName>
    <definedName name="ㅁㄴㅇㅎㅁㄴㅇㅎㅁㄴㅇㅎ" hidden="1">{#N/A,#N/A,FALSE,"이태원철근"}</definedName>
    <definedName name="ㅁㄴㅇㅎㅁㄴㅇㅎㅁㄴㅇㅎㄴㅇㅁㅎ" localSheetId="11" hidden="1">{#N/A,#N/A,FALSE,"이태원철근"}</definedName>
    <definedName name="ㅁㄴㅇㅎㅁㄴㅇㅎㅁㄴㅇㅎㄴㅇㅁㅎ" localSheetId="12" hidden="1">{#N/A,#N/A,FALSE,"이태원철근"}</definedName>
    <definedName name="ㅁㄴㅇㅎㅁㄴㅇㅎㅁㄴㅇㅎㄴㅇㅁㅎ" localSheetId="13" hidden="1">{#N/A,#N/A,FALSE,"이태원철근"}</definedName>
    <definedName name="ㅁㄴㅇㅎㅁㄴㅇㅎㅁㄴㅇㅎㄴㅇㅁㅎ" localSheetId="8" hidden="1">{#N/A,#N/A,FALSE,"이태원철근"}</definedName>
    <definedName name="ㅁㄴㅇㅎㅁㄴㅇㅎㅁㄴㅇㅎㄴㅇㅁㅎ" hidden="1">{#N/A,#N/A,FALSE,"이태원철근"}</definedName>
    <definedName name="ㅁㄴㅇㅎㅁㄴㅇㅎㅁㄴㅇㅎㄹㄴㅇㅁㅎㄴ" localSheetId="11" hidden="1">{#N/A,#N/A,FALSE,"이태원철근"}</definedName>
    <definedName name="ㅁㄴㅇㅎㅁㄴㅇㅎㅁㄴㅇㅎㄹㄴㅇㅁㅎㄴ" localSheetId="12" hidden="1">{#N/A,#N/A,FALSE,"이태원철근"}</definedName>
    <definedName name="ㅁㄴㅇㅎㅁㄴㅇㅎㅁㄴㅇㅎㄹㄴㅇㅁㅎㄴ" localSheetId="13" hidden="1">{#N/A,#N/A,FALSE,"이태원철근"}</definedName>
    <definedName name="ㅁㄴㅇㅎㅁㄴㅇㅎㅁㄴㅇㅎㄹㄴㅇㅁㅎㄴ" localSheetId="8" hidden="1">{#N/A,#N/A,FALSE,"이태원철근"}</definedName>
    <definedName name="ㅁㄴㅇㅎㅁㄴㅇㅎㅁㄴㅇㅎㄹㄴㅇㅁㅎㄴ" hidden="1">{#N/A,#N/A,FALSE,"이태원철근"}</definedName>
    <definedName name="ㅁㄴㅇㅎㅁㄴㅇㅎㅁㄴㅇㅎㅁ" localSheetId="11" hidden="1">{#N/A,#N/A,FALSE,"이태원철근"}</definedName>
    <definedName name="ㅁㄴㅇㅎㅁㄴㅇㅎㅁㄴㅇㅎㅁ" localSheetId="12" hidden="1">{#N/A,#N/A,FALSE,"이태원철근"}</definedName>
    <definedName name="ㅁㄴㅇㅎㅁㄴㅇㅎㅁㄴㅇㅎㅁ" localSheetId="13" hidden="1">{#N/A,#N/A,FALSE,"이태원철근"}</definedName>
    <definedName name="ㅁㄴㅇㅎㅁㄴㅇㅎㅁㄴㅇㅎㅁ" localSheetId="8" hidden="1">{#N/A,#N/A,FALSE,"이태원철근"}</definedName>
    <definedName name="ㅁㄴㅇㅎㅁㄴㅇㅎㅁㄴㅇㅎㅁ" hidden="1">{#N/A,#N/A,FALSE,"이태원철근"}</definedName>
    <definedName name="ㅁㄴㅇㅎㅁㄴㅇㅎㅁㄴㅇㅎㅁㄴ" localSheetId="11" hidden="1">{#N/A,#N/A,FALSE,"이태원철근"}</definedName>
    <definedName name="ㅁㄴㅇㅎㅁㄴㅇㅎㅁㄴㅇㅎㅁㄴ" localSheetId="12" hidden="1">{#N/A,#N/A,FALSE,"이태원철근"}</definedName>
    <definedName name="ㅁㄴㅇㅎㅁㄴㅇㅎㅁㄴㅇㅎㅁㄴ" localSheetId="13" hidden="1">{#N/A,#N/A,FALSE,"이태원철근"}</definedName>
    <definedName name="ㅁㄴㅇㅎㅁㄴㅇㅎㅁㄴㅇㅎㅁㄴ" localSheetId="8" hidden="1">{#N/A,#N/A,FALSE,"이태원철근"}</definedName>
    <definedName name="ㅁㄴㅇㅎㅁㄴㅇㅎㅁㄴㅇㅎㅁㄴ" hidden="1">{#N/A,#N/A,FALSE,"이태원철근"}</definedName>
    <definedName name="ㅁㄴㅇㅎㅁㄴㅇㅎㅁㄶㅇㅁㄶㅇ" localSheetId="11" hidden="1">{#N/A,#N/A,FALSE,"이태원철근"}</definedName>
    <definedName name="ㅁㄴㅇㅎㅁㄴㅇㅎㅁㄶㅇㅁㄶㅇ" localSheetId="12" hidden="1">{#N/A,#N/A,FALSE,"이태원철근"}</definedName>
    <definedName name="ㅁㄴㅇㅎㅁㄴㅇㅎㅁㄶㅇㅁㄶㅇ" localSheetId="13" hidden="1">{#N/A,#N/A,FALSE,"이태원철근"}</definedName>
    <definedName name="ㅁㄴㅇㅎㅁㄴㅇㅎㅁㄶㅇㅁㄶㅇ" localSheetId="8" hidden="1">{#N/A,#N/A,FALSE,"이태원철근"}</definedName>
    <definedName name="ㅁㄴㅇㅎㅁㄴㅇㅎㅁㄶㅇㅁㄶㅇ" hidden="1">{#N/A,#N/A,FALSE,"이태원철근"}</definedName>
    <definedName name="ㅁㄴㅇㅎㅁㄶㅇㅁㄶㅇㄶㅇㅁ" localSheetId="11" hidden="1">{#N/A,#N/A,FALSE,"이태원철근"}</definedName>
    <definedName name="ㅁㄴㅇㅎㅁㄶㅇㅁㄶㅇㄶㅇㅁ" localSheetId="12" hidden="1">{#N/A,#N/A,FALSE,"이태원철근"}</definedName>
    <definedName name="ㅁㄴㅇㅎㅁㄶㅇㅁㄶㅇㄶㅇㅁ" localSheetId="13" hidden="1">{#N/A,#N/A,FALSE,"이태원철근"}</definedName>
    <definedName name="ㅁㄴㅇㅎㅁㄶㅇㅁㄶㅇㄶㅇㅁ" localSheetId="8" hidden="1">{#N/A,#N/A,FALSE,"이태원철근"}</definedName>
    <definedName name="ㅁㄴㅇㅎㅁㄶㅇㅁㄶㅇㄶㅇㅁ" hidden="1">{#N/A,#N/A,FALSE,"이태원철근"}</definedName>
    <definedName name="ㅁㄴㅇㅎㅁㄶㅇㅇㅁㄶ" localSheetId="11" hidden="1">{#N/A,#N/A,FALSE,"이태원철근"}</definedName>
    <definedName name="ㅁㄴㅇㅎㅁㄶㅇㅇㅁㄶ" localSheetId="12" hidden="1">{#N/A,#N/A,FALSE,"이태원철근"}</definedName>
    <definedName name="ㅁㄴㅇㅎㅁㄶㅇㅇㅁㄶ" localSheetId="13" hidden="1">{#N/A,#N/A,FALSE,"이태원철근"}</definedName>
    <definedName name="ㅁㄴㅇㅎㅁㄶㅇㅇㅁㄶ" localSheetId="8" hidden="1">{#N/A,#N/A,FALSE,"이태원철근"}</definedName>
    <definedName name="ㅁㄴㅇㅎㅁㄶㅇㅇㅁㄶ" hidden="1">{#N/A,#N/A,FALSE,"이태원철근"}</definedName>
    <definedName name="ㅁㄴㅇㅎㅁㄷㅈㅎㅁㄴㄷㄱㄻㄴㅇ" localSheetId="11" hidden="1">{#N/A,#N/A,FALSE,"이태원철근"}</definedName>
    <definedName name="ㅁㄴㅇㅎㅁㄷㅈㅎㅁㄴㄷㄱㄻㄴㅇ" localSheetId="12" hidden="1">{#N/A,#N/A,FALSE,"이태원철근"}</definedName>
    <definedName name="ㅁㄴㅇㅎㅁㄷㅈㅎㅁㄴㄷㄱㄻㄴㅇ" localSheetId="13" hidden="1">{#N/A,#N/A,FALSE,"이태원철근"}</definedName>
    <definedName name="ㅁㄴㅇㅎㅁㄷㅈㅎㅁㄴㄷㄱㄻㄴㅇ" localSheetId="8" hidden="1">{#N/A,#N/A,FALSE,"이태원철근"}</definedName>
    <definedName name="ㅁㄴㅇㅎㅁㄷㅈㅎㅁㄴㄷㄱㄻㄴㅇ" hidden="1">{#N/A,#N/A,FALSE,"이태원철근"}</definedName>
    <definedName name="ㅁㄴㅇㅎㅁㅎㅇㅁㅎㅇ" localSheetId="11" hidden="1">{#N/A,#N/A,FALSE,"이태원철근"}</definedName>
    <definedName name="ㅁㄴㅇㅎㅁㅎㅇㅁㅎㅇ" localSheetId="12" hidden="1">{#N/A,#N/A,FALSE,"이태원철근"}</definedName>
    <definedName name="ㅁㄴㅇㅎㅁㅎㅇㅁㅎㅇ" localSheetId="13" hidden="1">{#N/A,#N/A,FALSE,"이태원철근"}</definedName>
    <definedName name="ㅁㄴㅇㅎㅁㅎㅇㅁㅎㅇ" localSheetId="8" hidden="1">{#N/A,#N/A,FALSE,"이태원철근"}</definedName>
    <definedName name="ㅁㄴㅇㅎㅁㅎㅇㅁㅎㅇ" hidden="1">{#N/A,#N/A,FALSE,"이태원철근"}</definedName>
    <definedName name="ㅁㄴ옴ㄴ오" localSheetId="11" hidden="1">{#N/A,#N/A,FALSE,"이태원철근"}</definedName>
    <definedName name="ㅁㄴ옴ㄴ오" localSheetId="12" hidden="1">{#N/A,#N/A,FALSE,"이태원철근"}</definedName>
    <definedName name="ㅁㄴ옴ㄴ오" localSheetId="13" hidden="1">{#N/A,#N/A,FALSE,"이태원철근"}</definedName>
    <definedName name="ㅁㄴ옴ㄴ오" localSheetId="8" hidden="1">{#N/A,#N/A,FALSE,"이태원철근"}</definedName>
    <definedName name="ㅁㄴ옴ㄴ오" hidden="1">{#N/A,#N/A,FALSE,"이태원철근"}</definedName>
    <definedName name="ㅁ뇬ㄱ쇿ㄴ" localSheetId="11" hidden="1">{#N/A,#N/A,FALSE,"이태원철근"}</definedName>
    <definedName name="ㅁ뇬ㄱ쇿ㄴ" localSheetId="12" hidden="1">{#N/A,#N/A,FALSE,"이태원철근"}</definedName>
    <definedName name="ㅁ뇬ㄱ쇿ㄴ" localSheetId="13" hidden="1">{#N/A,#N/A,FALSE,"이태원철근"}</definedName>
    <definedName name="ㅁ뇬ㄱ쇿ㄴ" localSheetId="8" hidden="1">{#N/A,#N/A,FALSE,"이태원철근"}</definedName>
    <definedName name="ㅁ뇬ㄱ쇿ㄴ" hidden="1">{#N/A,#N/A,FALSE,"이태원철근"}</definedName>
    <definedName name="ㅁㄶㅇㄶㅇㄶㅇㄶㅇㅁ" localSheetId="11" hidden="1">{#N/A,#N/A,FALSE,"이태원철근"}</definedName>
    <definedName name="ㅁㄶㅇㄶㅇㄶㅇㄶㅇㅁ" localSheetId="12" hidden="1">{#N/A,#N/A,FALSE,"이태원철근"}</definedName>
    <definedName name="ㅁㄶㅇㄶㅇㄶㅇㄶㅇㅁ" localSheetId="13" hidden="1">{#N/A,#N/A,FALSE,"이태원철근"}</definedName>
    <definedName name="ㅁㄶㅇㄶㅇㄶㅇㄶㅇㅁ" localSheetId="8" hidden="1">{#N/A,#N/A,FALSE,"이태원철근"}</definedName>
    <definedName name="ㅁㄶㅇㄶㅇㄶㅇㄶㅇㅁ" hidden="1">{#N/A,#N/A,FALSE,"이태원철근"}</definedName>
    <definedName name="ㅁㄶㅇㄶㅇㄶㅇㅁㅁㄶㅇㅎㅇ" localSheetId="11" hidden="1">{#N/A,#N/A,FALSE,"이태원철근"}</definedName>
    <definedName name="ㅁㄶㅇㄶㅇㄶㅇㅁㅁㄶㅇㅎㅇ" localSheetId="12" hidden="1">{#N/A,#N/A,FALSE,"이태원철근"}</definedName>
    <definedName name="ㅁㄶㅇㄶㅇㄶㅇㅁㅁㄶㅇㅎㅇ" localSheetId="13" hidden="1">{#N/A,#N/A,FALSE,"이태원철근"}</definedName>
    <definedName name="ㅁㄶㅇㄶㅇㄶㅇㅁㅁㄶㅇㅎㅇ" localSheetId="8" hidden="1">{#N/A,#N/A,FALSE,"이태원철근"}</definedName>
    <definedName name="ㅁㄶㅇㄶㅇㄶㅇㅁㅁㄶㅇㅎㅇ" hidden="1">{#N/A,#N/A,FALSE,"이태원철근"}</definedName>
    <definedName name="ㅁㄶㅇㄶㅇㅁㄶㅇㅁㄶㅇㄶㅇㅁ" localSheetId="11" hidden="1">{#N/A,#N/A,FALSE,"이태원철근"}</definedName>
    <definedName name="ㅁㄶㅇㄶㅇㅁㄶㅇㅁㄶㅇㄶㅇㅁ" localSheetId="12" hidden="1">{#N/A,#N/A,FALSE,"이태원철근"}</definedName>
    <definedName name="ㅁㄶㅇㄶㅇㅁㄶㅇㅁㄶㅇㄶㅇㅁ" localSheetId="13" hidden="1">{#N/A,#N/A,FALSE,"이태원철근"}</definedName>
    <definedName name="ㅁㄶㅇㄶㅇㅁㄶㅇㅁㄶㅇㄶㅇㅁ" localSheetId="8" hidden="1">{#N/A,#N/A,FALSE,"이태원철근"}</definedName>
    <definedName name="ㅁㄶㅇㄶㅇㅁㄶㅇㅁㄶㅇㄶㅇㅁ" hidden="1">{#N/A,#N/A,FALSE,"이태원철근"}</definedName>
    <definedName name="ㅁㄶㅇㄶㅇㅁㄶㅇㅁㄶㅇㅁㄶㅇ" localSheetId="11" hidden="1">{#N/A,#N/A,FALSE,"이태원철근"}</definedName>
    <definedName name="ㅁㄶㅇㄶㅇㅁㄶㅇㅁㄶㅇㅁㄶㅇ" localSheetId="12" hidden="1">{#N/A,#N/A,FALSE,"이태원철근"}</definedName>
    <definedName name="ㅁㄶㅇㄶㅇㅁㄶㅇㅁㄶㅇㅁㄶㅇ" localSheetId="13" hidden="1">{#N/A,#N/A,FALSE,"이태원철근"}</definedName>
    <definedName name="ㅁㄶㅇㄶㅇㅁㄶㅇㅁㄶㅇㅁㄶㅇ" localSheetId="8" hidden="1">{#N/A,#N/A,FALSE,"이태원철근"}</definedName>
    <definedName name="ㅁㄶㅇㄶㅇㅁㄶㅇㅁㄶㅇㅁㄶㅇ" hidden="1">{#N/A,#N/A,FALSE,"이태원철근"}</definedName>
    <definedName name="ㅁㄶㅇㅁㄶㅇㄶㅇㄶㅇㄶㅇ" localSheetId="11" hidden="1">{#N/A,#N/A,FALSE,"이태원철근"}</definedName>
    <definedName name="ㅁㄶㅇㅁㄶㅇㄶㅇㄶㅇㄶㅇ" localSheetId="12" hidden="1">{#N/A,#N/A,FALSE,"이태원철근"}</definedName>
    <definedName name="ㅁㄶㅇㅁㄶㅇㄶㅇㄶㅇㄶㅇ" localSheetId="13" hidden="1">{#N/A,#N/A,FALSE,"이태원철근"}</definedName>
    <definedName name="ㅁㄶㅇㅁㄶㅇㄶㅇㄶㅇㄶㅇ" localSheetId="8" hidden="1">{#N/A,#N/A,FALSE,"이태원철근"}</definedName>
    <definedName name="ㅁㄶㅇㅁㄶㅇㄶㅇㄶㅇㄶㅇ" hidden="1">{#N/A,#N/A,FALSE,"이태원철근"}</definedName>
    <definedName name="ㅁㄶㅇㅎㅎㅇㄴㄶㅇㅁㄶㅇ" localSheetId="11" hidden="1">{#N/A,#N/A,FALSE,"이태원철근"}</definedName>
    <definedName name="ㅁㄶㅇㅎㅎㅇㄴㄶㅇㅁㄶㅇ" localSheetId="12" hidden="1">{#N/A,#N/A,FALSE,"이태원철근"}</definedName>
    <definedName name="ㅁㄶㅇㅎㅎㅇㄴㄶㅇㅁㄶㅇ" localSheetId="13" hidden="1">{#N/A,#N/A,FALSE,"이태원철근"}</definedName>
    <definedName name="ㅁㄶㅇㅎㅎㅇㄴㄶㅇㅁㄶㅇ" localSheetId="8" hidden="1">{#N/A,#N/A,FALSE,"이태원철근"}</definedName>
    <definedName name="ㅁㄶㅇㅎㅎㅇㄴㄶㅇㅁㄶㅇ" hidden="1">{#N/A,#N/A,FALSE,"이태원철근"}</definedName>
    <definedName name="ㅁㄹ" localSheetId="11" hidden="1">{#N/A,#N/A,FALSE,"이태원철근"}</definedName>
    <definedName name="ㅁㄹ" localSheetId="12" hidden="1">{#N/A,#N/A,FALSE,"이태원철근"}</definedName>
    <definedName name="ㅁㄹ" localSheetId="13" hidden="1">{#N/A,#N/A,FALSE,"이태원철근"}</definedName>
    <definedName name="ㅁㄹ" localSheetId="8" hidden="1">{#N/A,#N/A,FALSE,"이태원철근"}</definedName>
    <definedName name="ㅁㄹ" hidden="1">{#N/A,#N/A,FALSE,"이태원철근"}</definedName>
    <definedName name="ㅁㄹㅇㄴ" localSheetId="11" hidden="1">{#N/A,#N/A,FALSE,"이태원철근"}</definedName>
    <definedName name="ㅁㄹㅇㄴ" localSheetId="12" hidden="1">{#N/A,#N/A,FALSE,"이태원철근"}</definedName>
    <definedName name="ㅁㄹㅇㄴ" localSheetId="13" hidden="1">{#N/A,#N/A,FALSE,"이태원철근"}</definedName>
    <definedName name="ㅁㄹㅇㄴ" localSheetId="8" hidden="1">{#N/A,#N/A,FALSE,"이태원철근"}</definedName>
    <definedName name="ㅁㄹㅇㄴ" hidden="1">{#N/A,#N/A,FALSE,"이태원철근"}</definedName>
    <definedName name="ㅁㅁㅁㅁㅁ" localSheetId="11" hidden="1">{#N/A,#N/A,FALSE,"이태원철근"}</definedName>
    <definedName name="ㅁㅁㅁㅁㅁ" localSheetId="12" hidden="1">{#N/A,#N/A,FALSE,"이태원철근"}</definedName>
    <definedName name="ㅁㅁㅁㅁㅁ" localSheetId="13" hidden="1">{#N/A,#N/A,FALSE,"이태원철근"}</definedName>
    <definedName name="ㅁㅁㅁㅁㅁ" localSheetId="8" hidden="1">{#N/A,#N/A,FALSE,"이태원철근"}</definedName>
    <definedName name="ㅁㅁㅁㅁㅁ" hidden="1">{#N/A,#N/A,FALSE,"이태원철근"}</definedName>
    <definedName name="ㅁㅁㅁㅁㅁㅁㅁㅁㅁㅁㅁ" localSheetId="11" hidden="1">{#N/A,#N/A,FALSE,"이태원철근"}</definedName>
    <definedName name="ㅁㅁㅁㅁㅁㅁㅁㅁㅁㅁㅁ" localSheetId="12" hidden="1">{#N/A,#N/A,FALSE,"이태원철근"}</definedName>
    <definedName name="ㅁㅁㅁㅁㅁㅁㅁㅁㅁㅁㅁ" localSheetId="13" hidden="1">{#N/A,#N/A,FALSE,"이태원철근"}</definedName>
    <definedName name="ㅁㅁㅁㅁㅁㅁㅁㅁㅁㅁㅁ" localSheetId="8" hidden="1">{#N/A,#N/A,FALSE,"이태원철근"}</definedName>
    <definedName name="ㅁㅁㅁㅁㅁㅁㅁㅁㅁㅁㅁ" hidden="1">{#N/A,#N/A,FALSE,"이태원철근"}</definedName>
    <definedName name="ㅁㅁㅁㅁㅁㅁㅁㅁㅁㅁㅁㅁ" localSheetId="11" hidden="1">{#N/A,#N/A,FALSE,"이태원철근"}</definedName>
    <definedName name="ㅁㅁㅁㅁㅁㅁㅁㅁㅁㅁㅁㅁ" localSheetId="12" hidden="1">{#N/A,#N/A,FALSE,"이태원철근"}</definedName>
    <definedName name="ㅁㅁㅁㅁㅁㅁㅁㅁㅁㅁㅁㅁ" localSheetId="13" hidden="1">{#N/A,#N/A,FALSE,"이태원철근"}</definedName>
    <definedName name="ㅁㅁㅁㅁㅁㅁㅁㅁㅁㅁㅁㅁ" localSheetId="8" hidden="1">{#N/A,#N/A,FALSE,"이태원철근"}</definedName>
    <definedName name="ㅁㅁㅁㅁㅁㅁㅁㅁㅁㅁㅁㅁ" hidden="1">{#N/A,#N/A,FALSE,"이태원철근"}</definedName>
    <definedName name="ㅁㅁㅁㅁㅁㅁㅁㅁㅁㅁㅁㅁㅁ" localSheetId="11" hidden="1">{#N/A,#N/A,FALSE,"이태원철근"}</definedName>
    <definedName name="ㅁㅁㅁㅁㅁㅁㅁㅁㅁㅁㅁㅁㅁ" localSheetId="12" hidden="1">{#N/A,#N/A,FALSE,"이태원철근"}</definedName>
    <definedName name="ㅁㅁㅁㅁㅁㅁㅁㅁㅁㅁㅁㅁㅁ" localSheetId="13" hidden="1">{#N/A,#N/A,FALSE,"이태원철근"}</definedName>
    <definedName name="ㅁㅁㅁㅁㅁㅁㅁㅁㅁㅁㅁㅁㅁ" localSheetId="8" hidden="1">{#N/A,#N/A,FALSE,"이태원철근"}</definedName>
    <definedName name="ㅁㅁㅁㅁㅁㅁㅁㅁㅁㅁㅁㅁㅁ" hidden="1">{#N/A,#N/A,FALSE,"이태원철근"}</definedName>
    <definedName name="ㅁㅁㅁㅁㅁㅁㅁㅁㅁㅁㅁㅁㅁㅁ" localSheetId="11" hidden="1">{#N/A,#N/A,FALSE,"이태원철근"}</definedName>
    <definedName name="ㅁㅁㅁㅁㅁㅁㅁㅁㅁㅁㅁㅁㅁㅁ" localSheetId="12" hidden="1">{#N/A,#N/A,FALSE,"이태원철근"}</definedName>
    <definedName name="ㅁㅁㅁㅁㅁㅁㅁㅁㅁㅁㅁㅁㅁㅁ" localSheetId="13" hidden="1">{#N/A,#N/A,FALSE,"이태원철근"}</definedName>
    <definedName name="ㅁㅁㅁㅁㅁㅁㅁㅁㅁㅁㅁㅁㅁㅁ" localSheetId="8" hidden="1">{#N/A,#N/A,FALSE,"이태원철근"}</definedName>
    <definedName name="ㅁㅁㅁㅁㅁㅁㅁㅁㅁㅁㅁㅁㅁㅁ" hidden="1">{#N/A,#N/A,FALSE,"이태원철근"}</definedName>
    <definedName name="ㅁㅇㄴㄻㄴㅇㄻㄴㅇㄹ" localSheetId="11" hidden="1">{#N/A,#N/A,FALSE,"이태원철근"}</definedName>
    <definedName name="ㅁㅇㄴㄻㄴㅇㄻㄴㅇㄹ" localSheetId="12" hidden="1">{#N/A,#N/A,FALSE,"이태원철근"}</definedName>
    <definedName name="ㅁㅇㄴㄻㄴㅇㄻㄴㅇㄹ" localSheetId="13" hidden="1">{#N/A,#N/A,FALSE,"이태원철근"}</definedName>
    <definedName name="ㅁㅇㄴㄻㄴㅇㄻㄴㅇㄹ" localSheetId="8" hidden="1">{#N/A,#N/A,FALSE,"이태원철근"}</definedName>
    <definedName name="ㅁㅇㄴㄻㄴㅇㄻㄴㅇㄹ" hidden="1">{#N/A,#N/A,FALSE,"이태원철근"}</definedName>
    <definedName name="ㅁㅇㄻㄴㄻ" localSheetId="11" hidden="1">{#N/A,#N/A,FALSE,"이태원철근"}</definedName>
    <definedName name="ㅁㅇㄻㄴㄻ" localSheetId="12" hidden="1">{#N/A,#N/A,FALSE,"이태원철근"}</definedName>
    <definedName name="ㅁㅇㄻㄴㄻ" localSheetId="13" hidden="1">{#N/A,#N/A,FALSE,"이태원철근"}</definedName>
    <definedName name="ㅁㅇㄻㄴㄻ" localSheetId="8" hidden="1">{#N/A,#N/A,FALSE,"이태원철근"}</definedName>
    <definedName name="ㅁㅇㄻㄴㄻ" hidden="1">{#N/A,#N/A,FALSE,"이태원철근"}</definedName>
    <definedName name="ㅁㅇㅂㅈㄷㅇㅂㅈㄷㅁㄴ" localSheetId="11" hidden="1">{#N/A,#N/A,FALSE,"이태원철근"}</definedName>
    <definedName name="ㅁㅇㅂㅈㄷㅇㅂㅈㄷㅁㄴ" localSheetId="12" hidden="1">{#N/A,#N/A,FALSE,"이태원철근"}</definedName>
    <definedName name="ㅁㅇㅂㅈㄷㅇㅂㅈㄷㅁㄴ" localSheetId="13" hidden="1">{#N/A,#N/A,FALSE,"이태원철근"}</definedName>
    <definedName name="ㅁㅇㅂㅈㄷㅇㅂㅈㄷㅁㄴ" localSheetId="8" hidden="1">{#N/A,#N/A,FALSE,"이태원철근"}</definedName>
    <definedName name="ㅁㅇㅂㅈㄷㅇㅂㅈㄷㅁㄴ" hidden="1">{#N/A,#N/A,FALSE,"이태원철근"}</definedName>
    <definedName name="ㅁㅇㅎㅁㄴㅇㅎㅇㅁㄶㄻㅇㄴ" localSheetId="11" hidden="1">{#N/A,#N/A,FALSE,"이태원철근"}</definedName>
    <definedName name="ㅁㅇㅎㅁㄴㅇㅎㅇㅁㄶㄻㅇㄴ" localSheetId="12" hidden="1">{#N/A,#N/A,FALSE,"이태원철근"}</definedName>
    <definedName name="ㅁㅇㅎㅁㄴㅇㅎㅇㅁㄶㄻㅇㄴ" localSheetId="13" hidden="1">{#N/A,#N/A,FALSE,"이태원철근"}</definedName>
    <definedName name="ㅁㅇㅎㅁㄴㅇㅎㅇㅁㄶㄻㅇㄴ" localSheetId="8" hidden="1">{#N/A,#N/A,FALSE,"이태원철근"}</definedName>
    <definedName name="ㅁㅇㅎㅁㄴㅇㅎㅇㅁㄶㄻㅇㄴ" hidden="1">{#N/A,#N/A,FALSE,"이태원철근"}</definedName>
    <definedName name="ㅁㅇㅎㅁㄶㅇㅁㅎㅇㄶㅇ" localSheetId="11" hidden="1">{#N/A,#N/A,FALSE,"이태원철근"}</definedName>
    <definedName name="ㅁㅇㅎㅁㄶㅇㅁㅎㅇㄶㅇ" localSheetId="12" hidden="1">{#N/A,#N/A,FALSE,"이태원철근"}</definedName>
    <definedName name="ㅁㅇㅎㅁㄶㅇㅁㅎㅇㄶㅇ" localSheetId="13" hidden="1">{#N/A,#N/A,FALSE,"이태원철근"}</definedName>
    <definedName name="ㅁㅇㅎㅁㄶㅇㅁㅎㅇㄶㅇ" localSheetId="8" hidden="1">{#N/A,#N/A,FALSE,"이태원철근"}</definedName>
    <definedName name="ㅁㅇㅎㅁㄶㅇㅁㅎㅇㄶㅇ" hidden="1">{#N/A,#N/A,FALSE,"이태원철근"}</definedName>
    <definedName name="ㅁ오ㅓㅇ머" localSheetId="11" hidden="1">{#N/A,#N/A,FALSE,"이태원철근"}</definedName>
    <definedName name="ㅁ오ㅓㅇ머" localSheetId="12" hidden="1">{#N/A,#N/A,FALSE,"이태원철근"}</definedName>
    <definedName name="ㅁ오ㅓㅇ머" localSheetId="13" hidden="1">{#N/A,#N/A,FALSE,"이태원철근"}</definedName>
    <definedName name="ㅁ오ㅓㅇ머" localSheetId="8" hidden="1">{#N/A,#N/A,FALSE,"이태원철근"}</definedName>
    <definedName name="ㅁ오ㅓㅇ머" hidden="1">{#N/A,#N/A,FALSE,"이태원철근"}</definedName>
    <definedName name="매출" localSheetId="11" hidden="1">{#N/A,#N/A,FALSE,"이태원철근"}</definedName>
    <definedName name="매출" localSheetId="12" hidden="1">{#N/A,#N/A,FALSE,"이태원철근"}</definedName>
    <definedName name="매출" localSheetId="13" hidden="1">{#N/A,#N/A,FALSE,"이태원철근"}</definedName>
    <definedName name="매출" localSheetId="8" hidden="1">{#N/A,#N/A,FALSE,"이태원철근"}</definedName>
    <definedName name="매출" hidden="1">{#N/A,#N/A,FALSE,"이태원철근"}</definedName>
    <definedName name="먁" localSheetId="5" hidden="1">#REF!</definedName>
    <definedName name="먁" localSheetId="11" hidden="1">#REF!</definedName>
    <definedName name="먁" localSheetId="6" hidden="1">#REF!</definedName>
    <definedName name="먁" localSheetId="12" hidden="1">#REF!</definedName>
    <definedName name="먁" localSheetId="7" hidden="1">#REF!</definedName>
    <definedName name="먁" localSheetId="13" hidden="1">#REF!</definedName>
    <definedName name="먁" localSheetId="8" hidden="1">#REF!</definedName>
    <definedName name="먁" hidden="1">#REF!</definedName>
    <definedName name="뫃ㄹ놓ㄴ오" localSheetId="11" hidden="1">{#N/A,#N/A,FALSE,"이태원철근"}</definedName>
    <definedName name="뫃ㄹ놓ㄴ오" localSheetId="12" hidden="1">{#N/A,#N/A,FALSE,"이태원철근"}</definedName>
    <definedName name="뫃ㄹ놓ㄴ오" localSheetId="13" hidden="1">{#N/A,#N/A,FALSE,"이태원철근"}</definedName>
    <definedName name="뫃ㄹ놓ㄴ오" localSheetId="8" hidden="1">{#N/A,#N/A,FALSE,"이태원철근"}</definedName>
    <definedName name="뫃ㄹ놓ㄴ오" hidden="1">{#N/A,#N/A,FALSE,"이태원철근"}</definedName>
    <definedName name="물" localSheetId="11" hidden="1">{#N/A,#N/A,FALSE,"이태원철근"}</definedName>
    <definedName name="물" localSheetId="12" hidden="1">{#N/A,#N/A,FALSE,"이태원철근"}</definedName>
    <definedName name="물" localSheetId="13" hidden="1">{#N/A,#N/A,FALSE,"이태원철근"}</definedName>
    <definedName name="물" localSheetId="8" hidden="1">{#N/A,#N/A,FALSE,"이태원철근"}</definedName>
    <definedName name="물" hidden="1">{#N/A,#N/A,FALSE,"이태원철근"}</definedName>
    <definedName name="물가" localSheetId="11" hidden="1">{#N/A,#N/A,FALSE,"이태원철근"}</definedName>
    <definedName name="물가" localSheetId="12" hidden="1">{#N/A,#N/A,FALSE,"이태원철근"}</definedName>
    <definedName name="물가" localSheetId="13" hidden="1">{#N/A,#N/A,FALSE,"이태원철근"}</definedName>
    <definedName name="물가" localSheetId="8" hidden="1">{#N/A,#N/A,FALSE,"이태원철근"}</definedName>
    <definedName name="물가" hidden="1">{#N/A,#N/A,FALSE,"이태원철근"}</definedName>
    <definedName name="물가2" localSheetId="11" hidden="1">{#N/A,#N/A,FALSE,"이태원철근"}</definedName>
    <definedName name="물가2" localSheetId="12" hidden="1">{#N/A,#N/A,FALSE,"이태원철근"}</definedName>
    <definedName name="물가2" localSheetId="13" hidden="1">{#N/A,#N/A,FALSE,"이태원철근"}</definedName>
    <definedName name="물가2" localSheetId="8" hidden="1">{#N/A,#N/A,FALSE,"이태원철근"}</definedName>
    <definedName name="물가2" hidden="1">{#N/A,#N/A,FALSE,"이태원철근"}</definedName>
    <definedName name="뭐" localSheetId="11" hidden="1">{#N/A,#N/A,FALSE,"이태원철근"}</definedName>
    <definedName name="뭐" localSheetId="12" hidden="1">{#N/A,#N/A,FALSE,"이태원철근"}</definedName>
    <definedName name="뭐" localSheetId="13" hidden="1">{#N/A,#N/A,FALSE,"이태원철근"}</definedName>
    <definedName name="뭐" localSheetId="8" hidden="1">{#N/A,#N/A,FALSE,"이태원철근"}</definedName>
    <definedName name="뭐" hidden="1">{#N/A,#N/A,FALSE,"이태원철근"}</definedName>
    <definedName name="뭐가이태원이야" localSheetId="11" hidden="1">{#N/A,#N/A,FALSE,"이태원철근"}</definedName>
    <definedName name="뭐가이태원이야" localSheetId="12" hidden="1">{#N/A,#N/A,FALSE,"이태원철근"}</definedName>
    <definedName name="뭐가이태원이야" localSheetId="13" hidden="1">{#N/A,#N/A,FALSE,"이태원철근"}</definedName>
    <definedName name="뭐가이태원이야" localSheetId="8" hidden="1">{#N/A,#N/A,FALSE,"이태원철근"}</definedName>
    <definedName name="뭐가이태원이야" hidden="1">{#N/A,#N/A,FALSE,"이태원철근"}</definedName>
    <definedName name="뮤직" localSheetId="11" hidden="1">{#N/A,#N/A,FALSE,"이태원철근"}</definedName>
    <definedName name="뮤직" localSheetId="12" hidden="1">{#N/A,#N/A,FALSE,"이태원철근"}</definedName>
    <definedName name="뮤직" localSheetId="13" hidden="1">{#N/A,#N/A,FALSE,"이태원철근"}</definedName>
    <definedName name="뮤직" localSheetId="8" hidden="1">{#N/A,#N/A,FALSE,"이태원철근"}</definedName>
    <definedName name="뮤직" hidden="1">{#N/A,#N/A,FALSE,"이태원철근"}</definedName>
    <definedName name="미동의" localSheetId="11" hidden="1">{#N/A,#N/A,FALSE,"이태원철근"}</definedName>
    <definedName name="미동의" localSheetId="12" hidden="1">{#N/A,#N/A,FALSE,"이태원철근"}</definedName>
    <definedName name="미동의" localSheetId="13" hidden="1">{#N/A,#N/A,FALSE,"이태원철근"}</definedName>
    <definedName name="미동의" localSheetId="8" hidden="1">{#N/A,#N/A,FALSE,"이태원철근"}</definedName>
    <definedName name="미동의" hidden="1">{#N/A,#N/A,FALSE,"이태원철근"}</definedName>
    <definedName name="미동의이주" hidden="1">#N/A</definedName>
    <definedName name="미이주" localSheetId="11" hidden="1">{#N/A,#N/A,FALSE,"이태원철근"}</definedName>
    <definedName name="미이주" localSheetId="12" hidden="1">{#N/A,#N/A,FALSE,"이태원철근"}</definedName>
    <definedName name="미이주" localSheetId="13" hidden="1">{#N/A,#N/A,FALSE,"이태원철근"}</definedName>
    <definedName name="미이주" localSheetId="8" hidden="1">{#N/A,#N/A,FALSE,"이태원철근"}</definedName>
    <definedName name="미이주" hidden="1">{#N/A,#N/A,FALSE,"이태원철근"}</definedName>
    <definedName name="ㅂㄷ" localSheetId="11" hidden="1">{#N/A,#N/A,FALSE,"이태원철근"}</definedName>
    <definedName name="ㅂㄷ" localSheetId="12" hidden="1">{#N/A,#N/A,FALSE,"이태원철근"}</definedName>
    <definedName name="ㅂㄷ" localSheetId="13" hidden="1">{#N/A,#N/A,FALSE,"이태원철근"}</definedName>
    <definedName name="ㅂㄷ" localSheetId="8" hidden="1">{#N/A,#N/A,FALSE,"이태원철근"}</definedName>
    <definedName name="ㅂㄷ" hidden="1">{#N/A,#N/A,FALSE,"이태원철근"}</definedName>
    <definedName name="ㅂㅂ" localSheetId="11" hidden="1">{#N/A,#N/A,FALSE,"이태원철근"}</definedName>
    <definedName name="ㅂㅂ" localSheetId="12" hidden="1">{#N/A,#N/A,FALSE,"이태원철근"}</definedName>
    <definedName name="ㅂㅂ" localSheetId="13" hidden="1">{#N/A,#N/A,FALSE,"이태원철근"}</definedName>
    <definedName name="ㅂㅂ" localSheetId="8" hidden="1">{#N/A,#N/A,FALSE,"이태원철근"}</definedName>
    <definedName name="ㅂㅂ" hidden="1">{#N/A,#N/A,FALSE,"이태원철근"}</definedName>
    <definedName name="ㅂㅂㅂㅂㅂㅂㅂ" localSheetId="11" hidden="1">{#N/A,#N/A,FALSE,"이태원철근"}</definedName>
    <definedName name="ㅂㅂㅂㅂㅂㅂㅂ" localSheetId="12" hidden="1">{#N/A,#N/A,FALSE,"이태원철근"}</definedName>
    <definedName name="ㅂㅂㅂㅂㅂㅂㅂ" localSheetId="13" hidden="1">{#N/A,#N/A,FALSE,"이태원철근"}</definedName>
    <definedName name="ㅂㅂㅂㅂㅂㅂㅂ" localSheetId="8" hidden="1">{#N/A,#N/A,FALSE,"이태원철근"}</definedName>
    <definedName name="ㅂㅂㅂㅂㅂㅂㅂ" hidden="1">{#N/A,#N/A,FALSE,"이태원철근"}</definedName>
    <definedName name="ㅂㅂㅂㅂㅂㅂㅂㅂ" localSheetId="11" hidden="1">{#N/A,#N/A,FALSE,"이태원철근"}</definedName>
    <definedName name="ㅂㅂㅂㅂㅂㅂㅂㅂ" localSheetId="12" hidden="1">{#N/A,#N/A,FALSE,"이태원철근"}</definedName>
    <definedName name="ㅂㅂㅂㅂㅂㅂㅂㅂ" localSheetId="13" hidden="1">{#N/A,#N/A,FALSE,"이태원철근"}</definedName>
    <definedName name="ㅂㅂㅂㅂㅂㅂㅂㅂ" localSheetId="8" hidden="1">{#N/A,#N/A,FALSE,"이태원철근"}</definedName>
    <definedName name="ㅂㅂㅂㅂㅂㅂㅂㅂ" hidden="1">{#N/A,#N/A,FALSE,"이태원철근"}</definedName>
    <definedName name="ㅂㅂㅂㅂㅂㅂㅂㅂㅂ" localSheetId="11" hidden="1">{#N/A,#N/A,FALSE,"이태원철근"}</definedName>
    <definedName name="ㅂㅂㅂㅂㅂㅂㅂㅂㅂ" localSheetId="12" hidden="1">{#N/A,#N/A,FALSE,"이태원철근"}</definedName>
    <definedName name="ㅂㅂㅂㅂㅂㅂㅂㅂㅂ" localSheetId="13" hidden="1">{#N/A,#N/A,FALSE,"이태원철근"}</definedName>
    <definedName name="ㅂㅂㅂㅂㅂㅂㅂㅂㅂ" localSheetId="8" hidden="1">{#N/A,#N/A,FALSE,"이태원철근"}</definedName>
    <definedName name="ㅂㅂㅂㅂㅂㅂㅂㅂㅂ" hidden="1">{#N/A,#N/A,FALSE,"이태원철근"}</definedName>
    <definedName name="ㅂㅂㅂㅂㅂㅂㅂㅂㅂㅂㅂ" localSheetId="11" hidden="1">{#N/A,#N/A,FALSE,"이태원철근"}</definedName>
    <definedName name="ㅂㅂㅂㅂㅂㅂㅂㅂㅂㅂㅂ" localSheetId="12" hidden="1">{#N/A,#N/A,FALSE,"이태원철근"}</definedName>
    <definedName name="ㅂㅂㅂㅂㅂㅂㅂㅂㅂㅂㅂ" localSheetId="13" hidden="1">{#N/A,#N/A,FALSE,"이태원철근"}</definedName>
    <definedName name="ㅂㅂㅂㅂㅂㅂㅂㅂㅂㅂㅂ" localSheetId="8" hidden="1">{#N/A,#N/A,FALSE,"이태원철근"}</definedName>
    <definedName name="ㅂㅂㅂㅂㅂㅂㅂㅂㅂㅂㅂ" hidden="1">{#N/A,#N/A,FALSE,"이태원철근"}</definedName>
    <definedName name="ㅂㅂㅂㅂㅂㅂㅂㅂㅂㅂㅂㅂ" localSheetId="11" hidden="1">{#N/A,#N/A,FALSE,"이태원철근"}</definedName>
    <definedName name="ㅂㅂㅂㅂㅂㅂㅂㅂㅂㅂㅂㅂ" localSheetId="12" hidden="1">{#N/A,#N/A,FALSE,"이태원철근"}</definedName>
    <definedName name="ㅂㅂㅂㅂㅂㅂㅂㅂㅂㅂㅂㅂ" localSheetId="13" hidden="1">{#N/A,#N/A,FALSE,"이태원철근"}</definedName>
    <definedName name="ㅂㅂㅂㅂㅂㅂㅂㅂㅂㅂㅂㅂ" localSheetId="8" hidden="1">{#N/A,#N/A,FALSE,"이태원철근"}</definedName>
    <definedName name="ㅂㅂㅂㅂㅂㅂㅂㅂㅂㅂㅂㅂ" hidden="1">{#N/A,#N/A,FALSE,"이태원철근"}</definedName>
    <definedName name="ㅂㅂㅂㅂㅂㅂㅂㅂㅂㅂㅂㅂㅂ" localSheetId="11" hidden="1">{#N/A,#N/A,FALSE,"이태원철근"}</definedName>
    <definedName name="ㅂㅂㅂㅂㅂㅂㅂㅂㅂㅂㅂㅂㅂ" localSheetId="12" hidden="1">{#N/A,#N/A,FALSE,"이태원철근"}</definedName>
    <definedName name="ㅂㅂㅂㅂㅂㅂㅂㅂㅂㅂㅂㅂㅂ" localSheetId="13" hidden="1">{#N/A,#N/A,FALSE,"이태원철근"}</definedName>
    <definedName name="ㅂㅂㅂㅂㅂㅂㅂㅂㅂㅂㅂㅂㅂ" localSheetId="8" hidden="1">{#N/A,#N/A,FALSE,"이태원철근"}</definedName>
    <definedName name="ㅂㅂㅂㅂㅂㅂㅂㅂㅂㅂㅂㅂㅂ" hidden="1">{#N/A,#N/A,FALSE,"이태원철근"}</definedName>
    <definedName name="ㅂㅂㅂㅂㅂㅂㅂㅂㅂㅂㅂㅂㅂㅂㅂㅂㅂ" localSheetId="11" hidden="1">{#N/A,#N/A,FALSE,"이태원철근"}</definedName>
    <definedName name="ㅂㅂㅂㅂㅂㅂㅂㅂㅂㅂㅂㅂㅂㅂㅂㅂㅂ" localSheetId="12" hidden="1">{#N/A,#N/A,FALSE,"이태원철근"}</definedName>
    <definedName name="ㅂㅂㅂㅂㅂㅂㅂㅂㅂㅂㅂㅂㅂㅂㅂㅂㅂ" localSheetId="13" hidden="1">{#N/A,#N/A,FALSE,"이태원철근"}</definedName>
    <definedName name="ㅂㅂㅂㅂㅂㅂㅂㅂㅂㅂㅂㅂㅂㅂㅂㅂㅂ" localSheetId="8" hidden="1">{#N/A,#N/A,FALSE,"이태원철근"}</definedName>
    <definedName name="ㅂㅂㅂㅂㅂㅂㅂㅂㅂㅂㅂㅂㅂㅂㅂㅂㅂ" hidden="1">{#N/A,#N/A,FALSE,"이태원철근"}</definedName>
    <definedName name="ㅂㅂㅂㅂㅂㅂㅂㅂㅂㅂㅂㅂㅂㅂㅂㅂㅂㅂ" localSheetId="11" hidden="1">{#N/A,#N/A,FALSE,"이태원철근"}</definedName>
    <definedName name="ㅂㅂㅂㅂㅂㅂㅂㅂㅂㅂㅂㅂㅂㅂㅂㅂㅂㅂ" localSheetId="12" hidden="1">{#N/A,#N/A,FALSE,"이태원철근"}</definedName>
    <definedName name="ㅂㅂㅂㅂㅂㅂㅂㅂㅂㅂㅂㅂㅂㅂㅂㅂㅂㅂ" localSheetId="13" hidden="1">{#N/A,#N/A,FALSE,"이태원철근"}</definedName>
    <definedName name="ㅂㅂㅂㅂㅂㅂㅂㅂㅂㅂㅂㅂㅂㅂㅂㅂㅂㅂ" localSheetId="8" hidden="1">{#N/A,#N/A,FALSE,"이태원철근"}</definedName>
    <definedName name="ㅂㅂㅂㅂㅂㅂㅂㅂㅂㅂㅂㅂㅂㅂㅂㅂㅂㅂ" hidden="1">{#N/A,#N/A,FALSE,"이태원철근"}</definedName>
    <definedName name="ㅂㅂㅂㅂㅂㅂㅂㅂㅂㅂㅂㅂㅂㅂㅂㅂㅂㅂㅂ" localSheetId="11" hidden="1">{#N/A,#N/A,FALSE,"이태원철근"}</definedName>
    <definedName name="ㅂㅂㅂㅂㅂㅂㅂㅂㅂㅂㅂㅂㅂㅂㅂㅂㅂㅂㅂ" localSheetId="12" hidden="1">{#N/A,#N/A,FALSE,"이태원철근"}</definedName>
    <definedName name="ㅂㅂㅂㅂㅂㅂㅂㅂㅂㅂㅂㅂㅂㅂㅂㅂㅂㅂㅂ" localSheetId="13" hidden="1">{#N/A,#N/A,FALSE,"이태원철근"}</definedName>
    <definedName name="ㅂㅂㅂㅂㅂㅂㅂㅂㅂㅂㅂㅂㅂㅂㅂㅂㅂㅂㅂ" localSheetId="8" hidden="1">{#N/A,#N/A,FALSE,"이태원철근"}</definedName>
    <definedName name="ㅂㅂㅂㅂㅂㅂㅂㅂㅂㅂㅂㅂㅂㅂㅂㅂㅂㅂㅂ" hidden="1">{#N/A,#N/A,FALSE,"이태원철근"}</definedName>
    <definedName name="ㅂㅂㅂㅂㅂㅂㅂㅂㅂㅂㅂㅂㅂㅂㅂㅂㅂㅂㅂㅂ" localSheetId="11" hidden="1">{#N/A,#N/A,FALSE,"이태원철근"}</definedName>
    <definedName name="ㅂㅂㅂㅂㅂㅂㅂㅂㅂㅂㅂㅂㅂㅂㅂㅂㅂㅂㅂㅂ" localSheetId="12" hidden="1">{#N/A,#N/A,FALSE,"이태원철근"}</definedName>
    <definedName name="ㅂㅂㅂㅂㅂㅂㅂㅂㅂㅂㅂㅂㅂㅂㅂㅂㅂㅂㅂㅂ" localSheetId="13" hidden="1">{#N/A,#N/A,FALSE,"이태원철근"}</definedName>
    <definedName name="ㅂㅂㅂㅂㅂㅂㅂㅂㅂㅂㅂㅂㅂㅂㅂㅂㅂㅂㅂㅂ" localSheetId="8" hidden="1">{#N/A,#N/A,FALSE,"이태원철근"}</definedName>
    <definedName name="ㅂㅂㅂㅂㅂㅂㅂㅂㅂㅂㅂㅂㅂㅂㅂㅂㅂㅂㅂㅂ" hidden="1">{#N/A,#N/A,FALSE,"이태원철근"}</definedName>
    <definedName name="ㅂㅂㅂㅂㅂㅂㅂㅂㅂㅂㅂㅂㅂㅂㅂㅂㅂㅂㅂㅂㅂㅂㅂㅂㅂㅂ" localSheetId="11" hidden="1">{#N/A,#N/A,FALSE,"이태원철근"}</definedName>
    <definedName name="ㅂㅂㅂㅂㅂㅂㅂㅂㅂㅂㅂㅂㅂㅂㅂㅂㅂㅂㅂㅂㅂㅂㅂㅂㅂㅂ" localSheetId="12" hidden="1">{#N/A,#N/A,FALSE,"이태원철근"}</definedName>
    <definedName name="ㅂㅂㅂㅂㅂㅂㅂㅂㅂㅂㅂㅂㅂㅂㅂㅂㅂㅂㅂㅂㅂㅂㅂㅂㅂㅂ" localSheetId="13" hidden="1">{#N/A,#N/A,FALSE,"이태원철근"}</definedName>
    <definedName name="ㅂㅂㅂㅂㅂㅂㅂㅂㅂㅂㅂㅂㅂㅂㅂㅂㅂㅂㅂㅂㅂㅂㅂㅂㅂㅂ" localSheetId="8"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localSheetId="11" hidden="1">{#N/A,#N/A,FALSE,"이태원철근"}</definedName>
    <definedName name="ㅂㅂㅂㅂㅂㅂㅂㅂㅂㅂㅂㅂㅂㅂㅂㅂㅂㅂㅂㅂㅂㅂㅂㅂㅂㅂㅂㅂ" localSheetId="12" hidden="1">{#N/A,#N/A,FALSE,"이태원철근"}</definedName>
    <definedName name="ㅂㅂㅂㅂㅂㅂㅂㅂㅂㅂㅂㅂㅂㅂㅂㅂㅂㅂㅂㅂㅂㅂㅂㅂㅂㅂㅂㅂ" localSheetId="13" hidden="1">{#N/A,#N/A,FALSE,"이태원철근"}</definedName>
    <definedName name="ㅂㅂㅂㅂㅂㅂㅂㅂㅂㅂㅂㅂㅂㅂㅂㅂㅂㅂㅂㅂㅂㅂㅂㅂㅂㅂㅂㅂ" localSheetId="8"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localSheetId="11" hidden="1">{#N/A,#N/A,FALSE,"이태원철근"}</definedName>
    <definedName name="ㅂㅂㅂㅂㅂㅂㅂㅂㅂㅂㅂㅂㅂㅂㅂㅂㅂㅂㅂㅂㅂㅂㅂㅂㅂㅂㅂㅂㅂㅂ" localSheetId="12" hidden="1">{#N/A,#N/A,FALSE,"이태원철근"}</definedName>
    <definedName name="ㅂㅂㅂㅂㅂㅂㅂㅂㅂㅂㅂㅂㅂㅂㅂㅂㅂㅂㅂㅂㅂㅂㅂㅂㅂㅂㅂㅂㅂㅂ" localSheetId="13" hidden="1">{#N/A,#N/A,FALSE,"이태원철근"}</definedName>
    <definedName name="ㅂㅂㅂㅂㅂㅂㅂㅂㅂㅂㅂㅂㅂㅂㅂㅂㅂㅂㅂㅂㅂㅂㅂㅂㅂㅂㅂㅂㅂㅂ" localSheetId="8"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localSheetId="11" hidden="1">{#N/A,#N/A,FALSE,"이태원철근"}</definedName>
    <definedName name="ㅂㅂㅂㅂㅂㅂㅂㅂㅂㅂㅂㅂㅂㅂㅂㅂㅂㅂㅂㅂㅂㅂㅂㅂㅂㅂㅂㅂㅂㅂㅂㅂ" localSheetId="12" hidden="1">{#N/A,#N/A,FALSE,"이태원철근"}</definedName>
    <definedName name="ㅂㅂㅂㅂㅂㅂㅂㅂㅂㅂㅂㅂㅂㅂㅂㅂㅂㅂㅂㅂㅂㅂㅂㅂㅂㅂㅂㅂㅂㅂㅂㅂ" localSheetId="13" hidden="1">{#N/A,#N/A,FALSE,"이태원철근"}</definedName>
    <definedName name="ㅂㅂㅂㅂㅂㅂㅂㅂㅂㅂㅂㅂㅂㅂㅂㅂㅂㅂㅂㅂㅂㅂㅂㅂㅂㅂㅂㅂㅂㅂㅂㅂ" localSheetId="8"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localSheetId="11" hidden="1">{#N/A,#N/A,FALSE,"이태원철근"}</definedName>
    <definedName name="ㅂㅂㅂㅂㅂㅂㅂㅂㅂㅂㅂㅂㅂㅂㅂㅂㅂㅂㅂㅂㅂㅂㅂㅂㅂㅂㅂㅂㅂㅂㅂㅂㅂㅂㅂㅂㅂ" localSheetId="12" hidden="1">{#N/A,#N/A,FALSE,"이태원철근"}</definedName>
    <definedName name="ㅂㅂㅂㅂㅂㅂㅂㅂㅂㅂㅂㅂㅂㅂㅂㅂㅂㅂㅂㅂㅂㅂㅂㅂㅂㅂㅂㅂㅂㅂㅂㅂㅂㅂㅂㅂㅂ" localSheetId="13" hidden="1">{#N/A,#N/A,FALSE,"이태원철근"}</definedName>
    <definedName name="ㅂㅂㅂㅂㅂㅂㅂㅂㅂㅂㅂㅂㅂㅂㅂㅂㅂㅂㅂㅂㅂㅂㅂㅂㅂㅂㅂㅂㅂㅂㅂㅂㅂㅂㅂㅂㅂ" localSheetId="8"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localSheetId="11" hidden="1">{#N/A,#N/A,FALSE,"이태원철근"}</definedName>
    <definedName name="ㅂㅂㅂㅂㅂㅂㅂㅂㅂㅂㅂㅂㅂㅂㅂㅂ부" localSheetId="12" hidden="1">{#N/A,#N/A,FALSE,"이태원철근"}</definedName>
    <definedName name="ㅂㅂㅂㅂㅂㅂㅂㅂㅂㅂㅂㅂㅂㅂㅂㅂ부" localSheetId="13" hidden="1">{#N/A,#N/A,FALSE,"이태원철근"}</definedName>
    <definedName name="ㅂㅂㅂㅂㅂㅂㅂㅂㅂㅂㅂㅂㅂㅂㅂㅂ부" localSheetId="8" hidden="1">{#N/A,#N/A,FALSE,"이태원철근"}</definedName>
    <definedName name="ㅂㅂㅂㅂㅂㅂㅂㅂㅂㅂㅂㅂㅂㅂㅂㅂ부" hidden="1">{#N/A,#N/A,FALSE,"이태원철근"}</definedName>
    <definedName name="ㅂㅂㅂㅂㅂㅂㅂㅂㅂㅂㅂ부" localSheetId="11" hidden="1">{#N/A,#N/A,FALSE,"이태원철근"}</definedName>
    <definedName name="ㅂㅂㅂㅂㅂㅂㅂㅂㅂㅂㅂ부" localSheetId="12" hidden="1">{#N/A,#N/A,FALSE,"이태원철근"}</definedName>
    <definedName name="ㅂㅂㅂㅂㅂㅂㅂㅂㅂㅂㅂ부" localSheetId="13" hidden="1">{#N/A,#N/A,FALSE,"이태원철근"}</definedName>
    <definedName name="ㅂㅂㅂㅂㅂㅂㅂㅂㅂㅂㅂ부" localSheetId="8" hidden="1">{#N/A,#N/A,FALSE,"이태원철근"}</definedName>
    <definedName name="ㅂㅂㅂㅂㅂㅂㅂㅂㅂㅂㅂ부" hidden="1">{#N/A,#N/A,FALSE,"이태원철근"}</definedName>
    <definedName name="ㅂㅂㅂㅂㅂㅂㅂㅂㅂㅂ붑ㅂ" localSheetId="11" hidden="1">{#N/A,#N/A,FALSE,"이태원철근"}</definedName>
    <definedName name="ㅂㅂㅂㅂㅂㅂㅂㅂㅂㅂ붑ㅂ" localSheetId="12" hidden="1">{#N/A,#N/A,FALSE,"이태원철근"}</definedName>
    <definedName name="ㅂㅂㅂㅂㅂㅂㅂㅂㅂㅂ붑ㅂ" localSheetId="13" hidden="1">{#N/A,#N/A,FALSE,"이태원철근"}</definedName>
    <definedName name="ㅂㅂㅂㅂㅂㅂㅂㅂㅂㅂ붑ㅂ" localSheetId="8" hidden="1">{#N/A,#N/A,FALSE,"이태원철근"}</definedName>
    <definedName name="ㅂㅂㅂㅂㅂㅂㅂㅂㅂㅂ붑ㅂ" hidden="1">{#N/A,#N/A,FALSE,"이태원철근"}</definedName>
    <definedName name="ㅂㅂㅂㅂㅂㅂㅂㅂㅂ부" localSheetId="11" hidden="1">{#N/A,#N/A,FALSE,"이태원철근"}</definedName>
    <definedName name="ㅂㅂㅂㅂㅂㅂㅂㅂㅂ부" localSheetId="12" hidden="1">{#N/A,#N/A,FALSE,"이태원철근"}</definedName>
    <definedName name="ㅂㅂㅂㅂㅂㅂㅂㅂㅂ부" localSheetId="13" hidden="1">{#N/A,#N/A,FALSE,"이태원철근"}</definedName>
    <definedName name="ㅂㅂㅂㅂㅂㅂㅂㅂㅂ부" localSheetId="8" hidden="1">{#N/A,#N/A,FALSE,"이태원철근"}</definedName>
    <definedName name="ㅂㅂㅂㅂㅂㅂㅂㅂㅂ부" hidden="1">{#N/A,#N/A,FALSE,"이태원철근"}</definedName>
    <definedName name="ㅂㅂㅂㅂㅂㅂㅂㅂ부" localSheetId="11" hidden="1">{#N/A,#N/A,FALSE,"이태원철근"}</definedName>
    <definedName name="ㅂㅂㅂㅂㅂㅂㅂㅂ부" localSheetId="12" hidden="1">{#N/A,#N/A,FALSE,"이태원철근"}</definedName>
    <definedName name="ㅂㅂㅂㅂㅂㅂㅂㅂ부" localSheetId="13" hidden="1">{#N/A,#N/A,FALSE,"이태원철근"}</definedName>
    <definedName name="ㅂㅂㅂㅂㅂㅂㅂㅂ부" localSheetId="8" hidden="1">{#N/A,#N/A,FALSE,"이태원철근"}</definedName>
    <definedName name="ㅂㅂㅂㅂㅂㅂㅂㅂ부" hidden="1">{#N/A,#N/A,FALSE,"이태원철근"}</definedName>
    <definedName name="ㅂㅂㅂㅂㅂㅂㅂ부" localSheetId="11" hidden="1">{#N/A,#N/A,FALSE,"이태원철근"}</definedName>
    <definedName name="ㅂㅂㅂㅂㅂㅂㅂ부" localSheetId="12" hidden="1">{#N/A,#N/A,FALSE,"이태원철근"}</definedName>
    <definedName name="ㅂㅂㅂㅂㅂㅂㅂ부" localSheetId="13" hidden="1">{#N/A,#N/A,FALSE,"이태원철근"}</definedName>
    <definedName name="ㅂㅂㅂㅂㅂㅂㅂ부" localSheetId="8" hidden="1">{#N/A,#N/A,FALSE,"이태원철근"}</definedName>
    <definedName name="ㅂㅂㅂㅂㅂㅂㅂ부" hidden="1">{#N/A,#N/A,FALSE,"이태원철근"}</definedName>
    <definedName name="ㅂㅂㅂㅂㅂ부" localSheetId="11" hidden="1">{#N/A,#N/A,FALSE,"이태원철근"}</definedName>
    <definedName name="ㅂㅂㅂㅂㅂ부" localSheetId="12" hidden="1">{#N/A,#N/A,FALSE,"이태원철근"}</definedName>
    <definedName name="ㅂㅂㅂㅂㅂ부" localSheetId="13" hidden="1">{#N/A,#N/A,FALSE,"이태원철근"}</definedName>
    <definedName name="ㅂㅂㅂㅂㅂ부" localSheetId="8" hidden="1">{#N/A,#N/A,FALSE,"이태원철근"}</definedName>
    <definedName name="ㅂㅂㅂㅂㅂ부" hidden="1">{#N/A,#N/A,FALSE,"이태원철근"}</definedName>
    <definedName name="ㅂㅂㅂㅂ붑ㅂㅂ" localSheetId="11" hidden="1">{#N/A,#N/A,FALSE,"이태원철근"}</definedName>
    <definedName name="ㅂㅂㅂㅂ붑ㅂㅂ" localSheetId="12" hidden="1">{#N/A,#N/A,FALSE,"이태원철근"}</definedName>
    <definedName name="ㅂㅂㅂㅂ붑ㅂㅂ" localSheetId="13" hidden="1">{#N/A,#N/A,FALSE,"이태원철근"}</definedName>
    <definedName name="ㅂㅂㅂㅂ붑ㅂㅂ" localSheetId="8" hidden="1">{#N/A,#N/A,FALSE,"이태원철근"}</definedName>
    <definedName name="ㅂㅂㅂㅂ붑ㅂㅂ" hidden="1">{#N/A,#N/A,FALSE,"이태원철근"}</definedName>
    <definedName name="ㅂㅂ붑ㅂㅂㅂㅂㅂㅂㅂㅂ" localSheetId="11" hidden="1">{#N/A,#N/A,FALSE,"이태원철근"}</definedName>
    <definedName name="ㅂㅂ붑ㅂㅂㅂㅂㅂㅂㅂㅂ" localSheetId="12" hidden="1">{#N/A,#N/A,FALSE,"이태원철근"}</definedName>
    <definedName name="ㅂㅂ붑ㅂㅂㅂㅂㅂㅂㅂㅂ" localSheetId="13" hidden="1">{#N/A,#N/A,FALSE,"이태원철근"}</definedName>
    <definedName name="ㅂㅂ붑ㅂㅂㅂㅂㅂㅂㅂㅂ" localSheetId="8" hidden="1">{#N/A,#N/A,FALSE,"이태원철근"}</definedName>
    <definedName name="ㅂㅂ붑ㅂㅂㅂㅂㅂㅂㅂㅂ" hidden="1">{#N/A,#N/A,FALSE,"이태원철근"}</definedName>
    <definedName name="ㅂㅈ" localSheetId="11" hidden="1">{#N/A,#N/A,FALSE,"이태원철근"}</definedName>
    <definedName name="ㅂㅈ" localSheetId="12" hidden="1">{#N/A,#N/A,FALSE,"이태원철근"}</definedName>
    <definedName name="ㅂㅈ" localSheetId="13" hidden="1">{#N/A,#N/A,FALSE,"이태원철근"}</definedName>
    <definedName name="ㅂㅈ" localSheetId="8" hidden="1">{#N/A,#N/A,FALSE,"이태원철근"}</definedName>
    <definedName name="ㅂㅈ" hidden="1">{#N/A,#N/A,FALSE,"이태원철근"}</definedName>
    <definedName name="ㅂㅈㄱㅂㅈㄱ" localSheetId="11" hidden="1">{#N/A,#N/A,FALSE,"이태원철근"}</definedName>
    <definedName name="ㅂㅈㄱㅂㅈㄱ" localSheetId="12" hidden="1">{#N/A,#N/A,FALSE,"이태원철근"}</definedName>
    <definedName name="ㅂㅈㄱㅂㅈㄱ" localSheetId="13" hidden="1">{#N/A,#N/A,FALSE,"이태원철근"}</definedName>
    <definedName name="ㅂㅈㄱㅂㅈㄱ" localSheetId="8" hidden="1">{#N/A,#N/A,FALSE,"이태원철근"}</definedName>
    <definedName name="ㅂㅈㄱㅂㅈㄱ" hidden="1">{#N/A,#N/A,FALSE,"이태원철근"}</definedName>
    <definedName name="ㅂㅈㄱㅂㅈㄱㄷㅂ" localSheetId="11" hidden="1">{#N/A,#N/A,FALSE,"이태원철근"}</definedName>
    <definedName name="ㅂㅈㄱㅂㅈㄱㄷㅂ" localSheetId="12" hidden="1">{#N/A,#N/A,FALSE,"이태원철근"}</definedName>
    <definedName name="ㅂㅈㄱㅂㅈㄱㄷㅂ" localSheetId="13" hidden="1">{#N/A,#N/A,FALSE,"이태원철근"}</definedName>
    <definedName name="ㅂㅈㄱㅂㅈㄱㄷㅂ" localSheetId="8" hidden="1">{#N/A,#N/A,FALSE,"이태원철근"}</definedName>
    <definedName name="ㅂㅈㄱㅂㅈㄱㄷㅂ" hidden="1">{#N/A,#N/A,FALSE,"이태원철근"}</definedName>
    <definedName name="ㅂㅈㄱㅂㅈㄱㄷㅂㅈㄱ" localSheetId="11" hidden="1">{#N/A,#N/A,FALSE,"이태원철근"}</definedName>
    <definedName name="ㅂㅈㄱㅂㅈㄱㄷㅂㅈㄱ" localSheetId="12" hidden="1">{#N/A,#N/A,FALSE,"이태원철근"}</definedName>
    <definedName name="ㅂㅈㄱㅂㅈㄱㄷㅂㅈㄱ" localSheetId="13" hidden="1">{#N/A,#N/A,FALSE,"이태원철근"}</definedName>
    <definedName name="ㅂㅈㄱㅂㅈㄱㄷㅂㅈㄱ" localSheetId="8" hidden="1">{#N/A,#N/A,FALSE,"이태원철근"}</definedName>
    <definedName name="ㅂㅈㄱㅂㅈㄱㄷㅂㅈㄱ" hidden="1">{#N/A,#N/A,FALSE,"이태원철근"}</definedName>
    <definedName name="ㅂㅈㄱㅂㅈㄱㅇㅂㅈ" localSheetId="11" hidden="1">{#N/A,#N/A,FALSE,"이태원철근"}</definedName>
    <definedName name="ㅂㅈㄱㅂㅈㄱㅇㅂㅈ" localSheetId="12" hidden="1">{#N/A,#N/A,FALSE,"이태원철근"}</definedName>
    <definedName name="ㅂㅈㄱㅂㅈㄱㅇㅂㅈ" localSheetId="13" hidden="1">{#N/A,#N/A,FALSE,"이태원철근"}</definedName>
    <definedName name="ㅂㅈㄱㅂㅈㄱㅇㅂㅈ" localSheetId="8" hidden="1">{#N/A,#N/A,FALSE,"이태원철근"}</definedName>
    <definedName name="ㅂㅈㄱㅂㅈㄱㅇㅂㅈ" hidden="1">{#N/A,#N/A,FALSE,"이태원철근"}</definedName>
    <definedName name="ㅂㅈㄱㅂㅈㄱㅇㅂㅈㄱ" localSheetId="11" hidden="1">{#N/A,#N/A,FALSE,"이태원철근"}</definedName>
    <definedName name="ㅂㅈㄱㅂㅈㄱㅇㅂㅈㄱ" localSheetId="12" hidden="1">{#N/A,#N/A,FALSE,"이태원철근"}</definedName>
    <definedName name="ㅂㅈㄱㅂㅈㄱㅇㅂㅈㄱ" localSheetId="13" hidden="1">{#N/A,#N/A,FALSE,"이태원철근"}</definedName>
    <definedName name="ㅂㅈㄱㅂㅈㄱㅇㅂㅈㄱ" localSheetId="8" hidden="1">{#N/A,#N/A,FALSE,"이태원철근"}</definedName>
    <definedName name="ㅂㅈㄱㅂㅈㄱㅇㅂㅈㄱ" hidden="1">{#N/A,#N/A,FALSE,"이태원철근"}</definedName>
    <definedName name="ㅂㅈㄱㅂㅈㄷㄱㅂㅈㄷ" localSheetId="11" hidden="1">{#N/A,#N/A,FALSE,"이태원철근"}</definedName>
    <definedName name="ㅂㅈㄱㅂㅈㄷㄱㅂㅈㄷ" localSheetId="12" hidden="1">{#N/A,#N/A,FALSE,"이태원철근"}</definedName>
    <definedName name="ㅂㅈㄱㅂㅈㄷㄱㅂㅈㄷ" localSheetId="13" hidden="1">{#N/A,#N/A,FALSE,"이태원철근"}</definedName>
    <definedName name="ㅂㅈㄱㅂㅈㄷㄱㅂㅈㄷ" localSheetId="8" hidden="1">{#N/A,#N/A,FALSE,"이태원철근"}</definedName>
    <definedName name="ㅂㅈㄱㅂㅈㄷㄱㅂㅈㄷ" hidden="1">{#N/A,#N/A,FALSE,"이태원철근"}</definedName>
    <definedName name="ㅂㅈㄱㅂㅈㄷㅂㅈㄷ" localSheetId="11" hidden="1">{#N/A,#N/A,FALSE,"이태원철근"}</definedName>
    <definedName name="ㅂㅈㄱㅂㅈㄷㅂㅈㄷ" localSheetId="12" hidden="1">{#N/A,#N/A,FALSE,"이태원철근"}</definedName>
    <definedName name="ㅂㅈㄱㅂㅈㄷㅂㅈㄷ" localSheetId="13" hidden="1">{#N/A,#N/A,FALSE,"이태원철근"}</definedName>
    <definedName name="ㅂㅈㄱㅂㅈㄷㅂㅈㄷ" localSheetId="8" hidden="1">{#N/A,#N/A,FALSE,"이태원철근"}</definedName>
    <definedName name="ㅂㅈㄱㅂㅈㄷㅂㅈㄷ" hidden="1">{#N/A,#N/A,FALSE,"이태원철근"}</definedName>
    <definedName name="ㅂㅈㄱㅂㅈㅇㅂㅈㅇㄷㅂㅈ" localSheetId="11" hidden="1">{#N/A,#N/A,FALSE,"이태원철근"}</definedName>
    <definedName name="ㅂㅈㄱㅂㅈㅇㅂㅈㅇㄷㅂㅈ" localSheetId="12" hidden="1">{#N/A,#N/A,FALSE,"이태원철근"}</definedName>
    <definedName name="ㅂㅈㄱㅂㅈㅇㅂㅈㅇㄷㅂㅈ" localSheetId="13" hidden="1">{#N/A,#N/A,FALSE,"이태원철근"}</definedName>
    <definedName name="ㅂㅈㄱㅂㅈㅇㅂㅈㅇㄷㅂㅈ" localSheetId="8" hidden="1">{#N/A,#N/A,FALSE,"이태원철근"}</definedName>
    <definedName name="ㅂㅈㄱㅂㅈㅇㅂㅈㅇㄷㅂㅈ" hidden="1">{#N/A,#N/A,FALSE,"이태원철근"}</definedName>
    <definedName name="ㅂㅈㄷ" localSheetId="11" hidden="1">{#N/A,#N/A,FALSE,"이태원철근"}</definedName>
    <definedName name="ㅂㅈㄷ" localSheetId="12" hidden="1">{#N/A,#N/A,FALSE,"이태원철근"}</definedName>
    <definedName name="ㅂㅈㄷ" localSheetId="13" hidden="1">{#N/A,#N/A,FALSE,"이태원철근"}</definedName>
    <definedName name="ㅂㅈㄷ" localSheetId="8" hidden="1">{#N/A,#N/A,FALSE,"이태원철근"}</definedName>
    <definedName name="ㅂㅈㄷ" hidden="1">{#N/A,#N/A,FALSE,"이태원철근"}</definedName>
    <definedName name="ㅂㅈㄷㄱㅂㅈㄱㅂㅈ" localSheetId="11" hidden="1">{#N/A,#N/A,FALSE,"이태원철근"}</definedName>
    <definedName name="ㅂㅈㄷㄱㅂㅈㄱㅂㅈ" localSheetId="12" hidden="1">{#N/A,#N/A,FALSE,"이태원철근"}</definedName>
    <definedName name="ㅂㅈㄷㄱㅂㅈㄱㅂㅈ" localSheetId="13" hidden="1">{#N/A,#N/A,FALSE,"이태원철근"}</definedName>
    <definedName name="ㅂㅈㄷㄱㅂㅈㄱㅂㅈ" localSheetId="8" hidden="1">{#N/A,#N/A,FALSE,"이태원철근"}</definedName>
    <definedName name="ㅂㅈㄷㄱㅂㅈㄱㅂㅈ" hidden="1">{#N/A,#N/A,FALSE,"이태원철근"}</definedName>
    <definedName name="ㅂㅈㄷㅂㅈㄱㅂㅈㅇ" localSheetId="11" hidden="1">{#N/A,#N/A,FALSE,"이태원철근"}</definedName>
    <definedName name="ㅂㅈㄷㅂㅈㄱㅂㅈㅇ" localSheetId="12" hidden="1">{#N/A,#N/A,FALSE,"이태원철근"}</definedName>
    <definedName name="ㅂㅈㄷㅂㅈㄱㅂㅈㅇ" localSheetId="13" hidden="1">{#N/A,#N/A,FALSE,"이태원철근"}</definedName>
    <definedName name="ㅂㅈㄷㅂㅈㄱㅂㅈㅇ" localSheetId="8" hidden="1">{#N/A,#N/A,FALSE,"이태원철근"}</definedName>
    <definedName name="ㅂㅈㄷㅂㅈㄱㅂㅈㅇ" hidden="1">{#N/A,#N/A,FALSE,"이태원철근"}</definedName>
    <definedName name="ㅂㅈㄷㅂㅈㅈㅇ부" localSheetId="11" hidden="1">{#N/A,#N/A,FALSE,"이태원철근"}</definedName>
    <definedName name="ㅂㅈㄷㅂㅈㅈㅇ부" localSheetId="12" hidden="1">{#N/A,#N/A,FALSE,"이태원철근"}</definedName>
    <definedName name="ㅂㅈㄷㅂㅈㅈㅇ부" localSheetId="13" hidden="1">{#N/A,#N/A,FALSE,"이태원철근"}</definedName>
    <definedName name="ㅂㅈㄷㅂㅈㅈㅇ부" localSheetId="8" hidden="1">{#N/A,#N/A,FALSE,"이태원철근"}</definedName>
    <definedName name="ㅂㅈㄷㅂㅈㅈㅇ부" hidden="1">{#N/A,#N/A,FALSE,"이태원철근"}</definedName>
    <definedName name="ㅂㅈㄷㅈㄷ" localSheetId="11" hidden="1">{#N/A,#N/A,FALSE,"이태원철근"}</definedName>
    <definedName name="ㅂㅈㄷㅈㄷ" localSheetId="12" hidden="1">{#N/A,#N/A,FALSE,"이태원철근"}</definedName>
    <definedName name="ㅂㅈㄷㅈㄷ" localSheetId="13" hidden="1">{#N/A,#N/A,FALSE,"이태원철근"}</definedName>
    <definedName name="ㅂㅈㄷㅈㄷ" localSheetId="8" hidden="1">{#N/A,#N/A,FALSE,"이태원철근"}</definedName>
    <definedName name="ㅂㅈㄷㅈㄷ" hidden="1">{#N/A,#N/A,FALSE,"이태원철근"}</definedName>
    <definedName name="ㅂㅈㅇㅁㄴㅇㅂㅈㄷㅁㄴ" localSheetId="11" hidden="1">{#N/A,#N/A,FALSE,"이태원철근"}</definedName>
    <definedName name="ㅂㅈㅇㅁㄴㅇㅂㅈㄷㅁㄴ" localSheetId="12" hidden="1">{#N/A,#N/A,FALSE,"이태원철근"}</definedName>
    <definedName name="ㅂㅈㅇㅁㄴㅇㅂㅈㄷㅁㄴ" localSheetId="13" hidden="1">{#N/A,#N/A,FALSE,"이태원철근"}</definedName>
    <definedName name="ㅂㅈㅇㅁㄴㅇㅂㅈㄷㅁㄴ" localSheetId="8" hidden="1">{#N/A,#N/A,FALSE,"이태원철근"}</definedName>
    <definedName name="ㅂㅈㅇㅁㄴㅇㅂㅈㄷㅁㄴ" hidden="1">{#N/A,#N/A,FALSE,"이태원철근"}</definedName>
    <definedName name="ㅂㅈㅇㅁㅇㅂㅈㄷㅁㄴ" localSheetId="11" hidden="1">{#N/A,#N/A,FALSE,"이태원철근"}</definedName>
    <definedName name="ㅂㅈㅇㅁㅇㅂㅈㄷㅁㄴ" localSheetId="12" hidden="1">{#N/A,#N/A,FALSE,"이태원철근"}</definedName>
    <definedName name="ㅂㅈㅇㅁㅇㅂㅈㄷㅁㄴ" localSheetId="13" hidden="1">{#N/A,#N/A,FALSE,"이태원철근"}</definedName>
    <definedName name="ㅂㅈㅇㅁㅇㅂㅈㄷㅁㄴ" localSheetId="8" hidden="1">{#N/A,#N/A,FALSE,"이태원철근"}</definedName>
    <definedName name="ㅂㅈㅇㅁㅇㅂㅈㄷㅁㄴ" hidden="1">{#N/A,#N/A,FALSE,"이태원철근"}</definedName>
    <definedName name="ㅂㅈㅇㅂㄴㅇㄴㅂㅇㅂㅈ" localSheetId="11" hidden="1">{#N/A,#N/A,FALSE,"이태원철근"}</definedName>
    <definedName name="ㅂㅈㅇㅂㄴㅇㄴㅂㅇㅂㅈ" localSheetId="12" hidden="1">{#N/A,#N/A,FALSE,"이태원철근"}</definedName>
    <definedName name="ㅂㅈㅇㅂㄴㅇㄴㅂㅇㅂㅈ" localSheetId="13" hidden="1">{#N/A,#N/A,FALSE,"이태원철근"}</definedName>
    <definedName name="ㅂㅈㅇㅂㄴㅇㄴㅂㅇㅂㅈ" localSheetId="8" hidden="1">{#N/A,#N/A,FALSE,"이태원철근"}</definedName>
    <definedName name="ㅂㅈㅇㅂㄴㅇㄴㅂㅇㅂㅈ" hidden="1">{#N/A,#N/A,FALSE,"이태원철근"}</definedName>
    <definedName name="ㅂㅈㅇㅂㅈㅇㅂㅈㅇ" localSheetId="11" hidden="1">{#N/A,#N/A,FALSE,"이태원철근"}</definedName>
    <definedName name="ㅂㅈㅇㅂㅈㅇㅂㅈㅇ" localSheetId="12" hidden="1">{#N/A,#N/A,FALSE,"이태원철근"}</definedName>
    <definedName name="ㅂㅈㅇㅂㅈㅇㅂㅈㅇ" localSheetId="13" hidden="1">{#N/A,#N/A,FALSE,"이태원철근"}</definedName>
    <definedName name="ㅂㅈㅇㅂㅈㅇㅂㅈㅇ" localSheetId="8" hidden="1">{#N/A,#N/A,FALSE,"이태원철근"}</definedName>
    <definedName name="ㅂㅈㅇㅂㅈㅇㅂㅈㅇ" hidden="1">{#N/A,#N/A,FALSE,"이태원철근"}</definedName>
    <definedName name="박종태" localSheetId="11" hidden="1">{#N/A,#N/A,FALSE,"이태원철근"}</definedName>
    <definedName name="박종태" localSheetId="12" hidden="1">{#N/A,#N/A,FALSE,"이태원철근"}</definedName>
    <definedName name="박종태" localSheetId="13" hidden="1">{#N/A,#N/A,FALSE,"이태원철근"}</definedName>
    <definedName name="박종태" localSheetId="8" hidden="1">{#N/A,#N/A,FALSE,"이태원철근"}</definedName>
    <definedName name="박종태" hidden="1">{#N/A,#N/A,FALSE,"이태원철근"}</definedName>
    <definedName name="보" localSheetId="11" hidden="1">{#N/A,#N/A,FALSE,"이태원철근"}</definedName>
    <definedName name="보" localSheetId="12" hidden="1">{#N/A,#N/A,FALSE,"이태원철근"}</definedName>
    <definedName name="보" localSheetId="13" hidden="1">{#N/A,#N/A,FALSE,"이태원철근"}</definedName>
    <definedName name="보" localSheetId="8" hidden="1">{#N/A,#N/A,FALSE,"이태원철근"}</definedName>
    <definedName name="보" hidden="1">{#N/A,#N/A,FALSE,"이태원철근"}</definedName>
    <definedName name="보정리" localSheetId="11" hidden="1">{#N/A,#N/A,FALSE,"이태원철근"}</definedName>
    <definedName name="보정리" localSheetId="12" hidden="1">{#N/A,#N/A,FALSE,"이태원철근"}</definedName>
    <definedName name="보정리" localSheetId="13" hidden="1">{#N/A,#N/A,FALSE,"이태원철근"}</definedName>
    <definedName name="보정리" localSheetId="8" hidden="1">{#N/A,#N/A,FALSE,"이태원철근"}</definedName>
    <definedName name="보정리" hidden="1">{#N/A,#N/A,FALSE,"이태원철근"}</definedName>
    <definedName name="보충" localSheetId="5" hidden="1">#REF!</definedName>
    <definedName name="보충" localSheetId="11" hidden="1">#REF!</definedName>
    <definedName name="보충" localSheetId="6" hidden="1">#REF!</definedName>
    <definedName name="보충" localSheetId="12" hidden="1">#REF!</definedName>
    <definedName name="보충" localSheetId="7" hidden="1">#REF!</definedName>
    <definedName name="보충" localSheetId="13" hidden="1">#REF!</definedName>
    <definedName name="보충" localSheetId="8" hidden="1">#REF!</definedName>
    <definedName name="보충" hidden="1">#REF!</definedName>
    <definedName name="보할" localSheetId="11" hidden="1">{#N/A,#N/A,FALSE,"이태원철근"}</definedName>
    <definedName name="보할" localSheetId="12" hidden="1">{#N/A,#N/A,FALSE,"이태원철근"}</definedName>
    <definedName name="보할" localSheetId="13" hidden="1">{#N/A,#N/A,FALSE,"이태원철근"}</definedName>
    <definedName name="보할" localSheetId="8" hidden="1">{#N/A,#N/A,FALSE,"이태원철근"}</definedName>
    <definedName name="보할" hidden="1">{#N/A,#N/A,FALSE,"이태원철근"}</definedName>
    <definedName name="보할공정률매출투입취하" localSheetId="11" hidden="1">{#N/A,#N/A,FALSE,"이태원철근"}</definedName>
    <definedName name="보할공정률매출투입취하" localSheetId="12" hidden="1">{#N/A,#N/A,FALSE,"이태원철근"}</definedName>
    <definedName name="보할공정률매출투입취하" localSheetId="13" hidden="1">{#N/A,#N/A,FALSE,"이태원철근"}</definedName>
    <definedName name="보할공정률매출투입취하" localSheetId="8" hidden="1">{#N/A,#N/A,FALSE,"이태원철근"}</definedName>
    <definedName name="보할공정률매출투입취하" hidden="1">{#N/A,#N/A,FALSE,"이태원철근"}</definedName>
    <definedName name="보활공정" localSheetId="11" hidden="1">{#N/A,#N/A,FALSE,"이태원철근"}</definedName>
    <definedName name="보활공정" localSheetId="12" hidden="1">{#N/A,#N/A,FALSE,"이태원철근"}</definedName>
    <definedName name="보활공정" localSheetId="13" hidden="1">{#N/A,#N/A,FALSE,"이태원철근"}</definedName>
    <definedName name="보활공정" localSheetId="8" hidden="1">{#N/A,#N/A,FALSE,"이태원철근"}</definedName>
    <definedName name="보활공정" hidden="1">{#N/A,#N/A,FALSE,"이태원철근"}</definedName>
    <definedName name="부임일" localSheetId="11" hidden="1">{#N/A,#N/A,FALSE,"이태원철근"}</definedName>
    <definedName name="부임일" localSheetId="12" hidden="1">{#N/A,#N/A,FALSE,"이태원철근"}</definedName>
    <definedName name="부임일" localSheetId="13" hidden="1">{#N/A,#N/A,FALSE,"이태원철근"}</definedName>
    <definedName name="부임일" localSheetId="8" hidden="1">{#N/A,#N/A,FALSE,"이태원철근"}</definedName>
    <definedName name="부임일" hidden="1">{#N/A,#N/A,FALSE,"이태원철근"}</definedName>
    <definedName name="분" localSheetId="11" hidden="1">{#N/A,#N/A,FALSE,"이태원철근"}</definedName>
    <definedName name="분" localSheetId="12" hidden="1">{#N/A,#N/A,FALSE,"이태원철근"}</definedName>
    <definedName name="분" localSheetId="13" hidden="1">{#N/A,#N/A,FALSE,"이태원철근"}</definedName>
    <definedName name="분" localSheetId="8" hidden="1">{#N/A,#N/A,FALSE,"이태원철근"}</definedName>
    <definedName name="분" hidden="1">{#N/A,#N/A,FALSE,"이태원철근"}</definedName>
    <definedName name="분당협조" localSheetId="11" hidden="1">{#N/A,#N/A,FALSE,"이태원철근"}</definedName>
    <definedName name="분당협조" localSheetId="12" hidden="1">{#N/A,#N/A,FALSE,"이태원철근"}</definedName>
    <definedName name="분당협조" localSheetId="13" hidden="1">{#N/A,#N/A,FALSE,"이태원철근"}</definedName>
    <definedName name="분당협조" localSheetId="8" hidden="1">{#N/A,#N/A,FALSE,"이태원철근"}</definedName>
    <definedName name="분당협조" hidden="1">{#N/A,#N/A,FALSE,"이태원철근"}</definedName>
    <definedName name="분양" localSheetId="11" hidden="1">{#N/A,#N/A,FALSE,"이태원철근"}</definedName>
    <definedName name="분양" localSheetId="12" hidden="1">{#N/A,#N/A,FALSE,"이태원철근"}</definedName>
    <definedName name="분양" localSheetId="13" hidden="1">{#N/A,#N/A,FALSE,"이태원철근"}</definedName>
    <definedName name="분양" localSheetId="8" hidden="1">{#N/A,#N/A,FALSE,"이태원철근"}</definedName>
    <definedName name="분양" hidden="1">{#N/A,#N/A,FALSE,"이태원철근"}</definedName>
    <definedName name="ㅅ" localSheetId="11" hidden="1">{#N/A,#N/A,TRUE,"토적및재료집계";#N/A,#N/A,TRUE,"토적및재료집계";#N/A,#N/A,TRUE,"단위량"}</definedName>
    <definedName name="ㅅ" localSheetId="12" hidden="1">{#N/A,#N/A,TRUE,"토적및재료집계";#N/A,#N/A,TRUE,"토적및재료집계";#N/A,#N/A,TRUE,"단위량"}</definedName>
    <definedName name="ㅅ" localSheetId="13" hidden="1">{#N/A,#N/A,TRUE,"토적및재료집계";#N/A,#N/A,TRUE,"토적및재료집계";#N/A,#N/A,TRUE,"단위량"}</definedName>
    <definedName name="ㅅ" localSheetId="8" hidden="1">{#N/A,#N/A,TRUE,"토적및재료집계";#N/A,#N/A,TRUE,"토적및재료집계";#N/A,#N/A,TRUE,"단위량"}</definedName>
    <definedName name="ㅅ" hidden="1">{#N/A,#N/A,TRUE,"토적및재료집계";#N/A,#N/A,TRUE,"토적및재료집계";#N/A,#N/A,TRUE,"단위량"}</definedName>
    <definedName name="사" localSheetId="11" hidden="1">{#N/A,#N/A,FALSE,"이태원철근"}</definedName>
    <definedName name="사" localSheetId="12" hidden="1">{#N/A,#N/A,FALSE,"이태원철근"}</definedName>
    <definedName name="사" localSheetId="13" hidden="1">{#N/A,#N/A,FALSE,"이태원철근"}</definedName>
    <definedName name="사" localSheetId="8" hidden="1">{#N/A,#N/A,FALSE,"이태원철근"}</definedName>
    <definedName name="사" hidden="1">{#N/A,#N/A,FALSE,"이태원철근"}</definedName>
    <definedName name="사랑해" localSheetId="11" hidden="1">{#N/A,#N/A,FALSE,"이태원철근"}</definedName>
    <definedName name="사랑해" localSheetId="12" hidden="1">{#N/A,#N/A,FALSE,"이태원철근"}</definedName>
    <definedName name="사랑해" localSheetId="13" hidden="1">{#N/A,#N/A,FALSE,"이태원철근"}</definedName>
    <definedName name="사랑해" localSheetId="8" hidden="1">{#N/A,#N/A,FALSE,"이태원철근"}</definedName>
    <definedName name="사랑해" hidden="1">{#N/A,#N/A,FALSE,"이태원철근"}</definedName>
    <definedName name="사무임차1" localSheetId="5" hidden="1">#REF!</definedName>
    <definedName name="사무임차1" localSheetId="11" hidden="1">#REF!</definedName>
    <definedName name="사무임차1" localSheetId="6" hidden="1">#REF!</definedName>
    <definedName name="사무임차1" localSheetId="12" hidden="1">#REF!</definedName>
    <definedName name="사무임차1" localSheetId="7" hidden="1">#REF!</definedName>
    <definedName name="사무임차1" localSheetId="13" hidden="1">#REF!</definedName>
    <definedName name="사무임차1" localSheetId="8" hidden="1">#REF!</definedName>
    <definedName name="사무임차1" hidden="1">#REF!</definedName>
    <definedName name="사업계획수정" localSheetId="5" hidden="1">#REF!</definedName>
    <definedName name="사업계획수정" localSheetId="11" hidden="1">#REF!</definedName>
    <definedName name="사업계획수정" localSheetId="6" hidden="1">#REF!</definedName>
    <definedName name="사업계획수정" localSheetId="12" hidden="1">#REF!</definedName>
    <definedName name="사업계획수정" localSheetId="7" hidden="1">#REF!</definedName>
    <definedName name="사업계획수정" localSheetId="13" hidden="1">#REF!</definedName>
    <definedName name="사업계획수정" hidden="1">#REF!</definedName>
    <definedName name="사업부양식2" localSheetId="5" hidden="1">#REF!</definedName>
    <definedName name="사업부양식2" localSheetId="11" hidden="1">#REF!</definedName>
    <definedName name="사업부양식2" localSheetId="6" hidden="1">#REF!</definedName>
    <definedName name="사업부양식2" localSheetId="12" hidden="1">#REF!</definedName>
    <definedName name="사업부양식2" localSheetId="7" hidden="1">#REF!</definedName>
    <definedName name="사업부양식2" localSheetId="13" hidden="1">#REF!</definedName>
    <definedName name="사업부양식2" hidden="1">#REF!</definedName>
    <definedName name="사업비최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7"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현황" localSheetId="11" hidden="1">{#N/A,#N/A,FALSE,"TABLE"}</definedName>
    <definedName name="사업현황" localSheetId="12" hidden="1">{#N/A,#N/A,FALSE,"TABLE"}</definedName>
    <definedName name="사업현황" localSheetId="13" hidden="1">{#N/A,#N/A,FALSE,"TABLE"}</definedName>
    <definedName name="사업현황" localSheetId="8" hidden="1">{#N/A,#N/A,FALSE,"TABLE"}</definedName>
    <definedName name="사업현황" hidden="1">{#N/A,#N/A,FALSE,"TABLE"}</definedName>
    <definedName name="사호" localSheetId="11" hidden="1">{#N/A,#N/A,FALSE,"이태원철근"}</definedName>
    <definedName name="사호" localSheetId="12" hidden="1">{#N/A,#N/A,FALSE,"이태원철근"}</definedName>
    <definedName name="사호" localSheetId="13" hidden="1">{#N/A,#N/A,FALSE,"이태원철근"}</definedName>
    <definedName name="사호" localSheetId="8" hidden="1">{#N/A,#N/A,FALSE,"이태원철근"}</definedName>
    <definedName name="사호" hidden="1">{#N/A,#N/A,FALSE,"이태원철근"}</definedName>
    <definedName name="산출" localSheetId="5" hidden="1">#REF!</definedName>
    <definedName name="산출" localSheetId="11" hidden="1">#REF!</definedName>
    <definedName name="산출" localSheetId="6" hidden="1">#REF!</definedName>
    <definedName name="산출" localSheetId="12" hidden="1">#REF!</definedName>
    <definedName name="산출" localSheetId="7" hidden="1">#REF!</definedName>
    <definedName name="산출" localSheetId="13" hidden="1">#REF!</definedName>
    <definedName name="산출" localSheetId="8" hidden="1">#REF!</definedName>
    <definedName name="산출" hidden="1">#REF!</definedName>
    <definedName name="상각비2" localSheetId="5" hidden="1">#REF!</definedName>
    <definedName name="상각비2" localSheetId="11" hidden="1">#REF!</definedName>
    <definedName name="상각비2" localSheetId="6" hidden="1">#REF!</definedName>
    <definedName name="상각비2" localSheetId="12" hidden="1">#REF!</definedName>
    <definedName name="상각비2" localSheetId="7" hidden="1">#REF!</definedName>
    <definedName name="상각비2" localSheetId="13" hidden="1">#REF!</definedName>
    <definedName name="상각비2" hidden="1">#REF!</definedName>
    <definedName name="상자" localSheetId="11" hidden="1">{#N/A,#N/A,FALSE,"이태원철근"}</definedName>
    <definedName name="상자" localSheetId="12" hidden="1">{#N/A,#N/A,FALSE,"이태원철근"}</definedName>
    <definedName name="상자" localSheetId="13" hidden="1">{#N/A,#N/A,FALSE,"이태원철근"}</definedName>
    <definedName name="상자" localSheetId="8" hidden="1">{#N/A,#N/A,FALSE,"이태원철근"}</definedName>
    <definedName name="상자" hidden="1">{#N/A,#N/A,FALSE,"이태원철근"}</definedName>
    <definedName name="새" localSheetId="11" hidden="1">{#N/A,#N/A,FALSE,"이태원철근"}</definedName>
    <definedName name="새" localSheetId="12" hidden="1">{#N/A,#N/A,FALSE,"이태원철근"}</definedName>
    <definedName name="새" localSheetId="13" hidden="1">{#N/A,#N/A,FALSE,"이태원철근"}</definedName>
    <definedName name="새" localSheetId="8" hidden="1">{#N/A,#N/A,FALSE,"이태원철근"}</definedName>
    <definedName name="새" hidden="1">{#N/A,#N/A,FALSE,"이태원철근"}</definedName>
    <definedName name="새공통" localSheetId="11" hidden="1">{#N/A,#N/A,FALSE,"이태원철근"}</definedName>
    <definedName name="새공통" localSheetId="12" hidden="1">{#N/A,#N/A,FALSE,"이태원철근"}</definedName>
    <definedName name="새공통" localSheetId="13" hidden="1">{#N/A,#N/A,FALSE,"이태원철근"}</definedName>
    <definedName name="새공통" localSheetId="8" hidden="1">{#N/A,#N/A,FALSE,"이태원철근"}</definedName>
    <definedName name="새공통" hidden="1">{#N/A,#N/A,FALSE,"이태원철근"}</definedName>
    <definedName name="새로" localSheetId="5" hidden="1">#REF!</definedName>
    <definedName name="새로" localSheetId="11" hidden="1">#REF!</definedName>
    <definedName name="새로" localSheetId="6" hidden="1">#REF!</definedName>
    <definedName name="새로" localSheetId="12" hidden="1">#REF!</definedName>
    <definedName name="새로" localSheetId="7" hidden="1">#REF!</definedName>
    <definedName name="새로" localSheetId="13" hidden="1">#REF!</definedName>
    <definedName name="새로" localSheetId="8" hidden="1">#REF!</definedName>
    <definedName name="새로" hidden="1">#REF!</definedName>
    <definedName name="새안" localSheetId="11" hidden="1">{#N/A,#N/A,FALSE,"TABLE"}</definedName>
    <definedName name="새안" localSheetId="12" hidden="1">{#N/A,#N/A,FALSE,"TABLE"}</definedName>
    <definedName name="새안" localSheetId="13" hidden="1">{#N/A,#N/A,FALSE,"TABLE"}</definedName>
    <definedName name="새안" localSheetId="8" hidden="1">{#N/A,#N/A,FALSE,"TABLE"}</definedName>
    <definedName name="새안" hidden="1">{#N/A,#N/A,FALSE,"TABLE"}</definedName>
    <definedName name="생" localSheetId="11" hidden="1">{#N/A,#N/A,FALSE,"이태원철근"}</definedName>
    <definedName name="생" localSheetId="12" hidden="1">{#N/A,#N/A,FALSE,"이태원철근"}</definedName>
    <definedName name="생" localSheetId="13" hidden="1">{#N/A,#N/A,FALSE,"이태원철근"}</definedName>
    <definedName name="생" localSheetId="8" hidden="1">{#N/A,#N/A,FALSE,"이태원철근"}</definedName>
    <definedName name="생" hidden="1">{#N/A,#N/A,FALSE,"이태원철근"}</definedName>
    <definedName name="생산" localSheetId="11" hidden="1">{#N/A,#N/A,FALSE,"이태원철근"}</definedName>
    <definedName name="생산" localSheetId="12" hidden="1">{#N/A,#N/A,FALSE,"이태원철근"}</definedName>
    <definedName name="생산" localSheetId="13" hidden="1">{#N/A,#N/A,FALSE,"이태원철근"}</definedName>
    <definedName name="생산" localSheetId="8" hidden="1">{#N/A,#N/A,FALSE,"이태원철근"}</definedName>
    <definedName name="생산" hidden="1">{#N/A,#N/A,FALSE,"이태원철근"}</definedName>
    <definedName name="소33" localSheetId="11" hidden="1">{#N/A,#N/A,FALSE,"이태원철근"}</definedName>
    <definedName name="소33" localSheetId="12" hidden="1">{#N/A,#N/A,FALSE,"이태원철근"}</definedName>
    <definedName name="소33" localSheetId="13" hidden="1">{#N/A,#N/A,FALSE,"이태원철근"}</definedName>
    <definedName name="소33" localSheetId="8" hidden="1">{#N/A,#N/A,FALSE,"이태원철근"}</definedName>
    <definedName name="소33" hidden="1">{#N/A,#N/A,FALSE,"이태원철근"}</definedName>
    <definedName name="소요계획" localSheetId="11" hidden="1">{#N/A,#N/A,FALSE,"이태원철근"}</definedName>
    <definedName name="소요계획" localSheetId="12" hidden="1">{#N/A,#N/A,FALSE,"이태원철근"}</definedName>
    <definedName name="소요계획" localSheetId="13" hidden="1">{#N/A,#N/A,FALSE,"이태원철근"}</definedName>
    <definedName name="소요계획" localSheetId="8" hidden="1">{#N/A,#N/A,FALSE,"이태원철근"}</definedName>
    <definedName name="소요계획" hidden="1">{#N/A,#N/A,FALSE,"이태원철근"}</definedName>
    <definedName name="소ㅗㅗ" localSheetId="11" hidden="1">{#N/A,#N/A,FALSE,"이태원철근"}</definedName>
    <definedName name="소ㅗㅗ" localSheetId="12" hidden="1">{#N/A,#N/A,FALSE,"이태원철근"}</definedName>
    <definedName name="소ㅗㅗ" localSheetId="13" hidden="1">{#N/A,#N/A,FALSE,"이태원철근"}</definedName>
    <definedName name="소ㅗㅗ" localSheetId="8" hidden="1">{#N/A,#N/A,FALSE,"이태원철근"}</definedName>
    <definedName name="소ㅗㅗ" hidden="1">{#N/A,#N/A,FALSE,"이태원철근"}</definedName>
    <definedName name="손익계산서" localSheetId="5" hidden="1">#REF!</definedName>
    <definedName name="손익계산서" localSheetId="11" hidden="1">#REF!</definedName>
    <definedName name="손익계산서" localSheetId="6" hidden="1">#REF!</definedName>
    <definedName name="손익계산서" localSheetId="12" hidden="1">#REF!</definedName>
    <definedName name="손익계산서" localSheetId="7" hidden="1">#REF!</definedName>
    <definedName name="손익계산서" localSheetId="13" hidden="1">#REF!</definedName>
    <definedName name="손익계산서" localSheetId="8" hidden="1">#REF!</definedName>
    <definedName name="손익계산서" hidden="1">#REF!</definedName>
    <definedName name="쇼" localSheetId="11" hidden="1">{#N/A,#N/A,FALSE,"이태원철근"}</definedName>
    <definedName name="쇼" localSheetId="12" hidden="1">{#N/A,#N/A,FALSE,"이태원철근"}</definedName>
    <definedName name="쇼" localSheetId="13" hidden="1">{#N/A,#N/A,FALSE,"이태원철근"}</definedName>
    <definedName name="쇼" localSheetId="8" hidden="1">{#N/A,#N/A,FALSE,"이태원철근"}</definedName>
    <definedName name="쇼" hidden="1">{#N/A,#N/A,FALSE,"이태원철근"}</definedName>
    <definedName name="수" localSheetId="5" hidden="1">{#N/A,#N/A,TRUE,"Basic";#N/A,#N/A,TRUE,"EXT-TABLE";#N/A,#N/A,TRUE,"STEEL";#N/A,#N/A,TRUE,"INT-Table";#N/A,#N/A,TRUE,"STEEL";#N/A,#N/A,TRUE,"Door"}</definedName>
    <definedName name="수" localSheetId="11" hidden="1">{#N/A,#N/A,TRUE,"Basic";#N/A,#N/A,TRUE,"EXT-TABLE";#N/A,#N/A,TRUE,"STEEL";#N/A,#N/A,TRUE,"INT-Table";#N/A,#N/A,TRUE,"STEEL";#N/A,#N/A,TRUE,"Door"}</definedName>
    <definedName name="수" localSheetId="6" hidden="1">{#N/A,#N/A,TRUE,"Basic";#N/A,#N/A,TRUE,"EXT-TABLE";#N/A,#N/A,TRUE,"STEEL";#N/A,#N/A,TRUE,"INT-Table";#N/A,#N/A,TRUE,"STEEL";#N/A,#N/A,TRUE,"Door"}</definedName>
    <definedName name="수" localSheetId="12" hidden="1">{#N/A,#N/A,TRUE,"Basic";#N/A,#N/A,TRUE,"EXT-TABLE";#N/A,#N/A,TRUE,"STEEL";#N/A,#N/A,TRUE,"INT-Table";#N/A,#N/A,TRUE,"STEEL";#N/A,#N/A,TRUE,"Door"}</definedName>
    <definedName name="수" localSheetId="7" hidden="1">{#N/A,#N/A,TRUE,"Basic";#N/A,#N/A,TRUE,"EXT-TABLE";#N/A,#N/A,TRUE,"STEEL";#N/A,#N/A,TRUE,"INT-Table";#N/A,#N/A,TRUE,"STEEL";#N/A,#N/A,TRUE,"Door"}</definedName>
    <definedName name="수" localSheetId="13" hidden="1">{#N/A,#N/A,TRUE,"Basic";#N/A,#N/A,TRUE,"EXT-TABLE";#N/A,#N/A,TRUE,"STEEL";#N/A,#N/A,TRUE,"INT-Table";#N/A,#N/A,TRUE,"STEEL";#N/A,#N/A,TRUE,"Door"}</definedName>
    <definedName name="수" localSheetId="8" hidden="1">{#N/A,#N/A,TRUE,"Basic";#N/A,#N/A,TRUE,"EXT-TABLE";#N/A,#N/A,TRUE,"STEEL";#N/A,#N/A,TRUE,"INT-Table";#N/A,#N/A,TRUE,"STEEL";#N/A,#N/A,TRUE,"Door"}</definedName>
    <definedName name="수" hidden="1">{#N/A,#N/A,TRUE,"Basic";#N/A,#N/A,TRUE,"EXT-TABLE";#N/A,#N/A,TRUE,"STEEL";#N/A,#N/A,TRUE,"INT-Table";#N/A,#N/A,TRUE,"STEEL";#N/A,#N/A,TRUE,"Door"}</definedName>
    <definedName name="수당" hidden="1">#N/A</definedName>
    <definedName name="순서" localSheetId="5" hidden="1">#REF!</definedName>
    <definedName name="순서" localSheetId="11" hidden="1">#REF!</definedName>
    <definedName name="순서" localSheetId="6" hidden="1">#REF!</definedName>
    <definedName name="순서" localSheetId="12" hidden="1">#REF!</definedName>
    <definedName name="순서" localSheetId="7" hidden="1">#REF!</definedName>
    <definedName name="순서" localSheetId="13" hidden="1">#REF!</definedName>
    <definedName name="순서" localSheetId="8" hidden="1">#REF!</definedName>
    <definedName name="순서" hidden="1">#REF!</definedName>
    <definedName name="시" localSheetId="11" hidden="1">{#N/A,#N/A,FALSE,"이태원철근"}</definedName>
    <definedName name="시" localSheetId="12" hidden="1">{#N/A,#N/A,FALSE,"이태원철근"}</definedName>
    <definedName name="시" localSheetId="13" hidden="1">{#N/A,#N/A,FALSE,"이태원철근"}</definedName>
    <definedName name="시" localSheetId="8" hidden="1">{#N/A,#N/A,FALSE,"이태원철근"}</definedName>
    <definedName name="시" hidden="1">{#N/A,#N/A,FALSE,"이태원철근"}</definedName>
    <definedName name="시행" localSheetId="11" hidden="1">{#N/A,#N/A,FALSE,"이태원철근"}</definedName>
    <definedName name="시행" localSheetId="12" hidden="1">{#N/A,#N/A,FALSE,"이태원철근"}</definedName>
    <definedName name="시행" localSheetId="13" hidden="1">{#N/A,#N/A,FALSE,"이태원철근"}</definedName>
    <definedName name="시행" localSheetId="8" hidden="1">{#N/A,#N/A,FALSE,"이태원철근"}</definedName>
    <definedName name="시행" hidden="1">{#N/A,#N/A,FALSE,"이태원철근"}</definedName>
    <definedName name="시행2" localSheetId="11" hidden="1">{#N/A,#N/A,FALSE,"이태원철근"}</definedName>
    <definedName name="시행2" localSheetId="12" hidden="1">{#N/A,#N/A,FALSE,"이태원철근"}</definedName>
    <definedName name="시행2" localSheetId="13" hidden="1">{#N/A,#N/A,FALSE,"이태원철근"}</definedName>
    <definedName name="시행2" localSheetId="8" hidden="1">{#N/A,#N/A,FALSE,"이태원철근"}</definedName>
    <definedName name="시행2" hidden="1">{#N/A,#N/A,FALSE,"이태원철근"}</definedName>
    <definedName name="신재점" localSheetId="11" hidden="1">{#N/A,#N/A,FALSE,"이태원철근"}</definedName>
    <definedName name="신재점" localSheetId="12" hidden="1">{#N/A,#N/A,FALSE,"이태원철근"}</definedName>
    <definedName name="신재점" localSheetId="13" hidden="1">{#N/A,#N/A,FALSE,"이태원철근"}</definedName>
    <definedName name="신재점" localSheetId="8" hidden="1">{#N/A,#N/A,FALSE,"이태원철근"}</definedName>
    <definedName name="신재점" hidden="1">{#N/A,#N/A,FALSE,"이태원철근"}</definedName>
    <definedName name="실적총괄1" localSheetId="5" hidden="1">#REF!</definedName>
    <definedName name="실적총괄1" localSheetId="11" hidden="1">#REF!</definedName>
    <definedName name="실적총괄1" localSheetId="6" hidden="1">#REF!</definedName>
    <definedName name="실적총괄1" localSheetId="12" hidden="1">#REF!</definedName>
    <definedName name="실적총괄1" localSheetId="7" hidden="1">#REF!</definedName>
    <definedName name="실적총괄1" localSheetId="13" hidden="1">#REF!</definedName>
    <definedName name="실적총괄1" localSheetId="8" hidden="1">#REF!</definedName>
    <definedName name="실적총괄1" hidden="1">#REF!</definedName>
    <definedName name="실총" localSheetId="5" hidden="1">#REF!</definedName>
    <definedName name="실총" localSheetId="11" hidden="1">#REF!</definedName>
    <definedName name="실총" localSheetId="6" hidden="1">#REF!</definedName>
    <definedName name="실총" localSheetId="12" hidden="1">#REF!</definedName>
    <definedName name="실총" localSheetId="7" hidden="1">#REF!</definedName>
    <definedName name="실총" localSheetId="13" hidden="1">#REF!</definedName>
    <definedName name="실총" hidden="1">#REF!</definedName>
    <definedName name="ㅇㄴㅁㅎ" localSheetId="11" hidden="1">{#N/A,#N/A,FALSE,"이태원철근"}</definedName>
    <definedName name="ㅇㄴㅁㅎ" localSheetId="12" hidden="1">{#N/A,#N/A,FALSE,"이태원철근"}</definedName>
    <definedName name="ㅇㄴㅁㅎ" localSheetId="13" hidden="1">{#N/A,#N/A,FALSE,"이태원철근"}</definedName>
    <definedName name="ㅇㄴㅁㅎ" localSheetId="8" hidden="1">{#N/A,#N/A,FALSE,"이태원철근"}</definedName>
    <definedName name="ㅇㄴㅁㅎ" hidden="1">{#N/A,#N/A,FALSE,"이태원철근"}</definedName>
    <definedName name="ㅇㄹㄴㄻㄴㅇㄹ" localSheetId="11" hidden="1">{#N/A,#N/A,FALSE,"이태원철근"}</definedName>
    <definedName name="ㅇㄹㄴㄻㄴㅇㄹ" localSheetId="12" hidden="1">{#N/A,#N/A,FALSE,"이태원철근"}</definedName>
    <definedName name="ㅇㄹㄴㄻㄴㅇㄹ" localSheetId="13" hidden="1">{#N/A,#N/A,FALSE,"이태원철근"}</definedName>
    <definedName name="ㅇㄹㄴㄻㄴㅇㄹ" localSheetId="8" hidden="1">{#N/A,#N/A,FALSE,"이태원철근"}</definedName>
    <definedName name="ㅇㄹㄴㄻㄴㅇㄹ" hidden="1">{#N/A,#N/A,FALSE,"이태원철근"}</definedName>
    <definedName name="ㅇㅁㅎㅁㅇㄶㄻㅇㄶㄹ" localSheetId="11" hidden="1">{#N/A,#N/A,FALSE,"이태원철근"}</definedName>
    <definedName name="ㅇㅁㅎㅁㅇㄶㄻㅇㄶㄹ" localSheetId="12" hidden="1">{#N/A,#N/A,FALSE,"이태원철근"}</definedName>
    <definedName name="ㅇㅁㅎㅁㅇㄶㄻㅇㄶㄹ" localSheetId="13" hidden="1">{#N/A,#N/A,FALSE,"이태원철근"}</definedName>
    <definedName name="ㅇㅁㅎㅁㅇㄶㄻㅇㄶㄹ" localSheetId="8" hidden="1">{#N/A,#N/A,FALSE,"이태원철근"}</definedName>
    <definedName name="ㅇㅁㅎㅁㅇㄶㄻㅇㄶㄹ" hidden="1">{#N/A,#N/A,FALSE,"이태원철근"}</definedName>
    <definedName name="ㅇㅂㄴㅇㄴㅁㅇㄷㅂㅈ" localSheetId="11" hidden="1">{#N/A,#N/A,FALSE,"이태원철근"}</definedName>
    <definedName name="ㅇㅂㄴㅇㄴㅁㅇㄷㅂㅈ" localSheetId="12" hidden="1">{#N/A,#N/A,FALSE,"이태원철근"}</definedName>
    <definedName name="ㅇㅂㄴㅇㄴㅁㅇㄷㅂㅈ" localSheetId="13" hidden="1">{#N/A,#N/A,FALSE,"이태원철근"}</definedName>
    <definedName name="ㅇㅂㄴㅇㄴㅁㅇㄷㅂㅈ" localSheetId="8" hidden="1">{#N/A,#N/A,FALSE,"이태원철근"}</definedName>
    <definedName name="ㅇㅂㄴㅇㄴㅁㅇㄷㅂㅈ" hidden="1">{#N/A,#N/A,FALSE,"이태원철근"}</definedName>
    <definedName name="ㅇㅂㅁ" localSheetId="11" hidden="1">{#N/A,#N/A,FALSE,"이태원철근"}</definedName>
    <definedName name="ㅇㅂㅁ" localSheetId="12" hidden="1">{#N/A,#N/A,FALSE,"이태원철근"}</definedName>
    <definedName name="ㅇㅂㅁ" localSheetId="13" hidden="1">{#N/A,#N/A,FALSE,"이태원철근"}</definedName>
    <definedName name="ㅇㅂㅁ" localSheetId="8" hidden="1">{#N/A,#N/A,FALSE,"이태원철근"}</definedName>
    <definedName name="ㅇㅂㅁ" hidden="1">{#N/A,#N/A,FALSE,"이태원철근"}</definedName>
    <definedName name="ㅇㅅ굓요" localSheetId="11" hidden="1">{#N/A,#N/A,FALSE,"이태원철근"}</definedName>
    <definedName name="ㅇㅅ굓요" localSheetId="12" hidden="1">{#N/A,#N/A,FALSE,"이태원철근"}</definedName>
    <definedName name="ㅇㅅ굓요" localSheetId="13" hidden="1">{#N/A,#N/A,FALSE,"이태원철근"}</definedName>
    <definedName name="ㅇㅅ굓요" localSheetId="8" hidden="1">{#N/A,#N/A,FALSE,"이태원철근"}</definedName>
    <definedName name="ㅇㅅ굓요" hidden="1">{#N/A,#N/A,FALSE,"이태원철근"}</definedName>
    <definedName name="ㅇㅇ4" localSheetId="11" hidden="1">{#N/A,#N/A,FALSE,"이태원철근"}</definedName>
    <definedName name="ㅇㅇ4" localSheetId="12" hidden="1">{#N/A,#N/A,FALSE,"이태원철근"}</definedName>
    <definedName name="ㅇㅇ4" localSheetId="13" hidden="1">{#N/A,#N/A,FALSE,"이태원철근"}</definedName>
    <definedName name="ㅇㅇ4" localSheetId="8" hidden="1">{#N/A,#N/A,FALSE,"이태원철근"}</definedName>
    <definedName name="ㅇㅇ4" hidden="1">{#N/A,#N/A,FALSE,"이태원철근"}</definedName>
    <definedName name="ㅇㅇㅇㅇㅇㅇㅇ" localSheetId="11" hidden="1">{#N/A,#N/A,FALSE,"이태원철근"}</definedName>
    <definedName name="ㅇㅇㅇㅇㅇㅇㅇ" localSheetId="12" hidden="1">{#N/A,#N/A,FALSE,"이태원철근"}</definedName>
    <definedName name="ㅇㅇㅇㅇㅇㅇㅇ" localSheetId="13" hidden="1">{#N/A,#N/A,FALSE,"이태원철근"}</definedName>
    <definedName name="ㅇㅇㅇㅇㅇㅇㅇ" localSheetId="8" hidden="1">{#N/A,#N/A,FALSE,"이태원철근"}</definedName>
    <definedName name="ㅇㅇㅇㅇㅇㅇㅇ" hidden="1">{#N/A,#N/A,FALSE,"이태원철근"}</definedName>
    <definedName name="ㅇ호ㅓㅗ허" localSheetId="11" hidden="1">{#N/A,#N/A,FALSE,"이태원철근"}</definedName>
    <definedName name="ㅇ호ㅓㅗ허" localSheetId="12" hidden="1">{#N/A,#N/A,FALSE,"이태원철근"}</definedName>
    <definedName name="ㅇ호ㅓㅗ허" localSheetId="13" hidden="1">{#N/A,#N/A,FALSE,"이태원철근"}</definedName>
    <definedName name="ㅇ호ㅓㅗ허" localSheetId="8" hidden="1">{#N/A,#N/A,FALSE,"이태원철근"}</definedName>
    <definedName name="ㅇ호ㅓㅗ허" hidden="1">{#N/A,#N/A,FALSE,"이태원철근"}</definedName>
    <definedName name="아름" localSheetId="11" hidden="1">{#N/A,#N/A,FALSE,"이태원철근"}</definedName>
    <definedName name="아름" localSheetId="12" hidden="1">{#N/A,#N/A,FALSE,"이태원철근"}</definedName>
    <definedName name="아름" localSheetId="13" hidden="1">{#N/A,#N/A,FALSE,"이태원철근"}</definedName>
    <definedName name="아름" localSheetId="8" hidden="1">{#N/A,#N/A,FALSE,"이태원철근"}</definedName>
    <definedName name="아름" hidden="1">{#N/A,#N/A,FALSE,"이태원철근"}</definedName>
    <definedName name="안내" localSheetId="11" hidden="1">{#N/A,#N/A,FALSE,"이태원철근"}</definedName>
    <definedName name="안내" localSheetId="12" hidden="1">{#N/A,#N/A,FALSE,"이태원철근"}</definedName>
    <definedName name="안내" localSheetId="13" hidden="1">{#N/A,#N/A,FALSE,"이태원철근"}</definedName>
    <definedName name="안내" localSheetId="8" hidden="1">{#N/A,#N/A,FALSE,"이태원철근"}</definedName>
    <definedName name="안내" hidden="1">{#N/A,#N/A,FALSE,"이태원철근"}</definedName>
    <definedName name="안양현대" localSheetId="11" hidden="1">{#N/A,#N/A,FALSE,"이태원철근"}</definedName>
    <definedName name="안양현대" localSheetId="12" hidden="1">{#N/A,#N/A,FALSE,"이태원철근"}</definedName>
    <definedName name="안양현대" localSheetId="13" hidden="1">{#N/A,#N/A,FALSE,"이태원철근"}</definedName>
    <definedName name="안양현대" localSheetId="8" hidden="1">{#N/A,#N/A,FALSE,"이태원철근"}</definedName>
    <definedName name="안양현대" hidden="1">{#N/A,#N/A,FALSE,"이태원철근"}</definedName>
    <definedName name="양" localSheetId="11" hidden="1">{#N/A,#N/A,FALSE,"이태원철근"}</definedName>
    <definedName name="양" localSheetId="12" hidden="1">{#N/A,#N/A,FALSE,"이태원철근"}</definedName>
    <definedName name="양" localSheetId="13" hidden="1">{#N/A,#N/A,FALSE,"이태원철근"}</definedName>
    <definedName name="양" localSheetId="8" hidden="1">{#N/A,#N/A,FALSE,"이태원철근"}</definedName>
    <definedName name="양" hidden="1">{#N/A,#N/A,FALSE,"이태원철근"}</definedName>
    <definedName name="양중계획" localSheetId="11" hidden="1">{#N/A,#N/A,FALSE,"이태원철근"}</definedName>
    <definedName name="양중계획" localSheetId="12" hidden="1">{#N/A,#N/A,FALSE,"이태원철근"}</definedName>
    <definedName name="양중계획" localSheetId="13" hidden="1">{#N/A,#N/A,FALSE,"이태원철근"}</definedName>
    <definedName name="양중계획" localSheetId="8" hidden="1">{#N/A,#N/A,FALSE,"이태원철근"}</definedName>
    <definedName name="양중계획" hidden="1">{#N/A,#N/A,FALSE,"이태원철근"}</definedName>
    <definedName name="어ㅏㅣ" localSheetId="11" hidden="1">{#N/A,#N/A,FALSE,"이태원철근"}</definedName>
    <definedName name="어ㅏㅣ" localSheetId="12" hidden="1">{#N/A,#N/A,FALSE,"이태원철근"}</definedName>
    <definedName name="어ㅏㅣ" localSheetId="13" hidden="1">{#N/A,#N/A,FALSE,"이태원철근"}</definedName>
    <definedName name="어ㅏㅣ" localSheetId="8" hidden="1">{#N/A,#N/A,FALSE,"이태원철근"}</definedName>
    <definedName name="어ㅏㅣ" hidden="1">{#N/A,#N/A,FALSE,"이태원철근"}</definedName>
    <definedName name="예산내역" localSheetId="11" hidden="1">{#N/A,#N/A,FALSE,"이태원철근"}</definedName>
    <definedName name="예산내역" localSheetId="12" hidden="1">{#N/A,#N/A,FALSE,"이태원철근"}</definedName>
    <definedName name="예산내역" localSheetId="13" hidden="1">{#N/A,#N/A,FALSE,"이태원철근"}</definedName>
    <definedName name="예산내역" localSheetId="8" hidden="1">{#N/A,#N/A,FALSE,"이태원철근"}</definedName>
    <definedName name="예산내역" hidden="1">{#N/A,#N/A,FALSE,"이태원철근"}</definedName>
    <definedName name="옥" localSheetId="11" hidden="1">{#N/A,#N/A,FALSE,"이태원철근"}</definedName>
    <definedName name="옥" localSheetId="12" hidden="1">{#N/A,#N/A,FALSE,"이태원철근"}</definedName>
    <definedName name="옥" localSheetId="13" hidden="1">{#N/A,#N/A,FALSE,"이태원철근"}</definedName>
    <definedName name="옥" localSheetId="8" hidden="1">{#N/A,#N/A,FALSE,"이태원철근"}</definedName>
    <definedName name="옥" hidden="1">{#N/A,#N/A,FALSE,"이태원철근"}</definedName>
    <definedName name="옥외대비" localSheetId="11" hidden="1">{#N/A,#N/A,FALSE,"이태원철근"}</definedName>
    <definedName name="옥외대비" localSheetId="12" hidden="1">{#N/A,#N/A,FALSE,"이태원철근"}</definedName>
    <definedName name="옥외대비" localSheetId="13" hidden="1">{#N/A,#N/A,FALSE,"이태원철근"}</definedName>
    <definedName name="옥외대비" localSheetId="8" hidden="1">{#N/A,#N/A,FALSE,"이태원철근"}</definedName>
    <definedName name="옥외대비" hidden="1">{#N/A,#N/A,FALSE,"이태원철근"}</definedName>
    <definedName name="옥외대비1" localSheetId="11" hidden="1">{#N/A,#N/A,FALSE,"이태원철근"}</definedName>
    <definedName name="옥외대비1" localSheetId="12" hidden="1">{#N/A,#N/A,FALSE,"이태원철근"}</definedName>
    <definedName name="옥외대비1" localSheetId="13" hidden="1">{#N/A,#N/A,FALSE,"이태원철근"}</definedName>
    <definedName name="옥외대비1" localSheetId="8" hidden="1">{#N/A,#N/A,FALSE,"이태원철근"}</definedName>
    <definedName name="옥외대비1" hidden="1">{#N/A,#N/A,FALSE,"이태원철근"}</definedName>
    <definedName name="우가" localSheetId="11" hidden="1">{#N/A,#N/A,FALSE,"이태원철근"}</definedName>
    <definedName name="우가" localSheetId="12" hidden="1">{#N/A,#N/A,FALSE,"이태원철근"}</definedName>
    <definedName name="우가" localSheetId="13" hidden="1">{#N/A,#N/A,FALSE,"이태원철근"}</definedName>
    <definedName name="우가" localSheetId="8" hidden="1">{#N/A,#N/A,FALSE,"이태원철근"}</definedName>
    <definedName name="우가" hidden="1">{#N/A,#N/A,FALSE,"이태원철근"}</definedName>
    <definedName name="우리" localSheetId="11" hidden="1">{#N/A,#N/A,FALSE,"이태원철근"}</definedName>
    <definedName name="우리" localSheetId="12" hidden="1">{#N/A,#N/A,FALSE,"이태원철근"}</definedName>
    <definedName name="우리" localSheetId="13" hidden="1">{#N/A,#N/A,FALSE,"이태원철근"}</definedName>
    <definedName name="우리" localSheetId="8" hidden="1">{#N/A,#N/A,FALSE,"이태원철근"}</definedName>
    <definedName name="우리" hidden="1">{#N/A,#N/A,FALSE,"이태원철근"}</definedName>
    <definedName name="월드건설" localSheetId="11" hidden="1">{#N/A,#N/A,FALSE,"이태원철근"}</definedName>
    <definedName name="월드건설" localSheetId="12" hidden="1">{#N/A,#N/A,FALSE,"이태원철근"}</definedName>
    <definedName name="월드건설" localSheetId="13" hidden="1">{#N/A,#N/A,FALSE,"이태원철근"}</definedName>
    <definedName name="월드건설" localSheetId="8" hidden="1">{#N/A,#N/A,FALSE,"이태원철근"}</definedName>
    <definedName name="월드건설" hidden="1">{#N/A,#N/A,FALSE,"이태원철근"}</definedName>
    <definedName name="유" localSheetId="11" hidden="1">{#N/A,#N/A,FALSE,"이태원철근"}</definedName>
    <definedName name="유" localSheetId="12" hidden="1">{#N/A,#N/A,FALSE,"이태원철근"}</definedName>
    <definedName name="유" localSheetId="13" hidden="1">{#N/A,#N/A,FALSE,"이태원철근"}</definedName>
    <definedName name="유" localSheetId="8" hidden="1">{#N/A,#N/A,FALSE,"이태원철근"}</definedName>
    <definedName name="유" hidden="1">{#N/A,#N/A,FALSE,"이태원철근"}</definedName>
    <definedName name="이" localSheetId="11" hidden="1">{#N/A,#N/A,FALSE,"이태원철근"}</definedName>
    <definedName name="이" localSheetId="12" hidden="1">{#N/A,#N/A,FALSE,"이태원철근"}</definedName>
    <definedName name="이" localSheetId="13" hidden="1">{#N/A,#N/A,FALSE,"이태원철근"}</definedName>
    <definedName name="이" localSheetId="8" hidden="1">{#N/A,#N/A,FALSE,"이태원철근"}</definedName>
    <definedName name="이" hidden="1">{#N/A,#N/A,FALSE,"이태원철근"}</definedName>
    <definedName name="이름" localSheetId="11" hidden="1">{#N/A,#N/A,FALSE,"이태원철근"}</definedName>
    <definedName name="이름" localSheetId="12" hidden="1">{#N/A,#N/A,FALSE,"이태원철근"}</definedName>
    <definedName name="이름" localSheetId="13" hidden="1">{#N/A,#N/A,FALSE,"이태원철근"}</definedName>
    <definedName name="이름" localSheetId="8" hidden="1">{#N/A,#N/A,FALSE,"이태원철근"}</definedName>
    <definedName name="이름" hidden="1">{#N/A,#N/A,FALSE,"이태원철근"}</definedName>
    <definedName name="이이" localSheetId="11" hidden="1">{#N/A,#N/A,FALSE,"이태원철근"}</definedName>
    <definedName name="이이" localSheetId="12" hidden="1">{#N/A,#N/A,FALSE,"이태원철근"}</definedName>
    <definedName name="이이" localSheetId="13" hidden="1">{#N/A,#N/A,FALSE,"이태원철근"}</definedName>
    <definedName name="이이" localSheetId="8" hidden="1">{#N/A,#N/A,FALSE,"이태원철근"}</definedName>
    <definedName name="이이" hidden="1">{#N/A,#N/A,FALSE,"이태원철근"}</definedName>
    <definedName name="이ㅏㅎ" localSheetId="11" hidden="1">{#N/A,#N/A,FALSE,"이태원철근"}</definedName>
    <definedName name="이ㅏㅎ" localSheetId="12" hidden="1">{#N/A,#N/A,FALSE,"이태원철근"}</definedName>
    <definedName name="이ㅏㅎ" localSheetId="13" hidden="1">{#N/A,#N/A,FALSE,"이태원철근"}</definedName>
    <definedName name="이ㅏㅎ" localSheetId="8" hidden="1">{#N/A,#N/A,FALSE,"이태원철근"}</definedName>
    <definedName name="이ㅏㅎ" hidden="1">{#N/A,#N/A,FALSE,"이태원철근"}</definedName>
    <definedName name="일정표" localSheetId="11" hidden="1">{#N/A,#N/A,FALSE,"이태원철근"}</definedName>
    <definedName name="일정표" localSheetId="12" hidden="1">{#N/A,#N/A,FALSE,"이태원철근"}</definedName>
    <definedName name="일정표" localSheetId="13" hidden="1">{#N/A,#N/A,FALSE,"이태원철근"}</definedName>
    <definedName name="일정표" localSheetId="8" hidden="1">{#N/A,#N/A,FALSE,"이태원철근"}</definedName>
    <definedName name="일정표" hidden="1">{#N/A,#N/A,FALSE,"이태원철근"}</definedName>
    <definedName name="일정표0124" localSheetId="11" hidden="1">{#N/A,#N/A,FALSE,"이태원철근"}</definedName>
    <definedName name="일정표0124" localSheetId="12" hidden="1">{#N/A,#N/A,FALSE,"이태원철근"}</definedName>
    <definedName name="일정표0124" localSheetId="13" hidden="1">{#N/A,#N/A,FALSE,"이태원철근"}</definedName>
    <definedName name="일정표0124" localSheetId="8" hidden="1">{#N/A,#N/A,FALSE,"이태원철근"}</definedName>
    <definedName name="일정표0124" hidden="1">{#N/A,#N/A,FALSE,"이태원철근"}</definedName>
    <definedName name="임금" hidden="1">#REF!</definedName>
    <definedName name="ㅈㄷㄱ" localSheetId="11" hidden="1">{#N/A,#N/A,FALSE,"이태원철근"}</definedName>
    <definedName name="ㅈㄷㄱ" localSheetId="12" hidden="1">{#N/A,#N/A,FALSE,"이태원철근"}</definedName>
    <definedName name="ㅈㄷㄱ" localSheetId="13" hidden="1">{#N/A,#N/A,FALSE,"이태원철근"}</definedName>
    <definedName name="ㅈㄷㄱ" localSheetId="8" hidden="1">{#N/A,#N/A,FALSE,"이태원철근"}</definedName>
    <definedName name="ㅈㄷㄱ" hidden="1">{#N/A,#N/A,FALSE,"이태원철근"}</definedName>
    <definedName name="ㅈㄷㄱㅈㄷㄱ" localSheetId="11" hidden="1">{#N/A,#N/A,FALSE,"이태원철근"}</definedName>
    <definedName name="ㅈㄷㄱㅈㄷㄱ" localSheetId="12" hidden="1">{#N/A,#N/A,FALSE,"이태원철근"}</definedName>
    <definedName name="ㅈㄷㄱㅈㄷㄱ" localSheetId="13" hidden="1">{#N/A,#N/A,FALSE,"이태원철근"}</definedName>
    <definedName name="ㅈㄷㄱㅈㄷㄱ" localSheetId="8" hidden="1">{#N/A,#N/A,FALSE,"이태원철근"}</definedName>
    <definedName name="ㅈㄷㄱㅈㄷㄱ" hidden="1">{#N/A,#N/A,FALSE,"이태원철근"}</definedName>
    <definedName name="ㅈㄷㄱㅈㄷㄱㄷ주" localSheetId="11" hidden="1">{#N/A,#N/A,FALSE,"이태원철근"}</definedName>
    <definedName name="ㅈㄷㄱㅈㄷㄱㄷ주" localSheetId="12" hidden="1">{#N/A,#N/A,FALSE,"이태원철근"}</definedName>
    <definedName name="ㅈㄷㄱㅈㄷㄱㄷ주" localSheetId="13" hidden="1">{#N/A,#N/A,FALSE,"이태원철근"}</definedName>
    <definedName name="ㅈㄷㄱㅈㄷㄱㄷ주" localSheetId="8" hidden="1">{#N/A,#N/A,FALSE,"이태원철근"}</definedName>
    <definedName name="ㅈㄷㄱㅈㄷㄱㄷ주" hidden="1">{#N/A,#N/A,FALSE,"이태원철근"}</definedName>
    <definedName name="ㅈㄷㄱㅈㄷㄱㅈ" localSheetId="11" hidden="1">{#N/A,#N/A,FALSE,"이태원철근"}</definedName>
    <definedName name="ㅈㄷㄱㅈㄷㄱㅈ" localSheetId="12" hidden="1">{#N/A,#N/A,FALSE,"이태원철근"}</definedName>
    <definedName name="ㅈㄷㄱㅈㄷㄱㅈ" localSheetId="13" hidden="1">{#N/A,#N/A,FALSE,"이태원철근"}</definedName>
    <definedName name="ㅈㄷㄱㅈㄷㄱㅈ" localSheetId="8" hidden="1">{#N/A,#N/A,FALSE,"이태원철근"}</definedName>
    <definedName name="ㅈㄷㄱㅈㄷㄱㅈ" hidden="1">{#N/A,#N/A,FALSE,"이태원철근"}</definedName>
    <definedName name="ㅈㄷㄱㅈㄷㄱㅈㄷ" localSheetId="11" hidden="1">{#N/A,#N/A,FALSE,"이태원철근"}</definedName>
    <definedName name="ㅈㄷㄱㅈㄷㄱㅈㄷ" localSheetId="12" hidden="1">{#N/A,#N/A,FALSE,"이태원철근"}</definedName>
    <definedName name="ㅈㄷㄱㅈㄷㄱㅈㄷ" localSheetId="13" hidden="1">{#N/A,#N/A,FALSE,"이태원철근"}</definedName>
    <definedName name="ㅈㄷㄱㅈㄷㄱㅈㄷ" localSheetId="8" hidden="1">{#N/A,#N/A,FALSE,"이태원철근"}</definedName>
    <definedName name="ㅈㄷㄱㅈㄷㄱㅈㄷ" hidden="1">{#N/A,#N/A,FALSE,"이태원철근"}</definedName>
    <definedName name="ㅈㄷㄱㅈㄷㄱㅈㄷㄱ" localSheetId="11" hidden="1">{#N/A,#N/A,FALSE,"이태원철근"}</definedName>
    <definedName name="ㅈㄷㄱㅈㄷㄱㅈㄷㄱ" localSheetId="12" hidden="1">{#N/A,#N/A,FALSE,"이태원철근"}</definedName>
    <definedName name="ㅈㄷㄱㅈㄷㄱㅈㄷㄱ" localSheetId="13" hidden="1">{#N/A,#N/A,FALSE,"이태원철근"}</definedName>
    <definedName name="ㅈㄷㄱㅈㄷㄱㅈㄷㄱ" localSheetId="8" hidden="1">{#N/A,#N/A,FALSE,"이태원철근"}</definedName>
    <definedName name="ㅈㄷㄱㅈㄷㄱㅈㄷㄱ" hidden="1">{#N/A,#N/A,FALSE,"이태원철근"}</definedName>
    <definedName name="ㅈㄷㄱㅈㄷㄱㅈㄷㄱㅈㄷ" localSheetId="11" hidden="1">{#N/A,#N/A,FALSE,"이태원철근"}</definedName>
    <definedName name="ㅈㄷㄱㅈㄷㄱㅈㄷㄱㅈㄷ" localSheetId="12" hidden="1">{#N/A,#N/A,FALSE,"이태원철근"}</definedName>
    <definedName name="ㅈㄷㄱㅈㄷㄱㅈㄷㄱㅈㄷ" localSheetId="13" hidden="1">{#N/A,#N/A,FALSE,"이태원철근"}</definedName>
    <definedName name="ㅈㄷㄱㅈㄷㄱㅈㄷㄱㅈㄷ" localSheetId="8" hidden="1">{#N/A,#N/A,FALSE,"이태원철근"}</definedName>
    <definedName name="ㅈㄷㄱㅈㄷㄱㅈㄷㄱㅈㄷ" hidden="1">{#N/A,#N/A,FALSE,"이태원철근"}</definedName>
    <definedName name="ㅈㄷㄱㅈㄷㄱㅈㅈ" localSheetId="11" hidden="1">{#N/A,#N/A,FALSE,"이태원철근"}</definedName>
    <definedName name="ㅈㄷㄱㅈㄷㄱㅈㅈ" localSheetId="12" hidden="1">{#N/A,#N/A,FALSE,"이태원철근"}</definedName>
    <definedName name="ㅈㄷㄱㅈㄷㄱㅈㅈ" localSheetId="13" hidden="1">{#N/A,#N/A,FALSE,"이태원철근"}</definedName>
    <definedName name="ㅈㄷㄱㅈㄷㄱㅈㅈ" localSheetId="8" hidden="1">{#N/A,#N/A,FALSE,"이태원철근"}</definedName>
    <definedName name="ㅈㄷㄱㅈㄷㄱㅈㅈ" hidden="1">{#N/A,#N/A,FALSE,"이태원철근"}</definedName>
    <definedName name="ㅈㄷ교죠ㅜ" localSheetId="11" hidden="1">{#N/A,#N/A,FALSE,"이태원철근"}</definedName>
    <definedName name="ㅈㄷ교죠ㅜ" localSheetId="12" hidden="1">{#N/A,#N/A,FALSE,"이태원철근"}</definedName>
    <definedName name="ㅈㄷ교죠ㅜ" localSheetId="13" hidden="1">{#N/A,#N/A,FALSE,"이태원철근"}</definedName>
    <definedName name="ㅈㄷ교죠ㅜ" localSheetId="8" hidden="1">{#N/A,#N/A,FALSE,"이태원철근"}</definedName>
    <definedName name="ㅈㄷ교죠ㅜ" hidden="1">{#N/A,#N/A,FALSE,"이태원철근"}</definedName>
    <definedName name="ㅈㄷ굗ㄱ죠죠" localSheetId="11" hidden="1">{#N/A,#N/A,FALSE,"이태원철근"}</definedName>
    <definedName name="ㅈㄷ굗ㄱ죠죠" localSheetId="12" hidden="1">{#N/A,#N/A,FALSE,"이태원철근"}</definedName>
    <definedName name="ㅈㄷ굗ㄱ죠죠" localSheetId="13" hidden="1">{#N/A,#N/A,FALSE,"이태원철근"}</definedName>
    <definedName name="ㅈㄷ굗ㄱ죠죠" localSheetId="8" hidden="1">{#N/A,#N/A,FALSE,"이태원철근"}</definedName>
    <definedName name="ㅈㄷ굗ㄱ죠죠" hidden="1">{#N/A,#N/A,FALSE,"이태원철근"}</definedName>
    <definedName name="ㅈㄷ굦ㄷ굑ㅈ됴죧ㄱ" localSheetId="11" hidden="1">{#N/A,#N/A,FALSE,"이태원철근"}</definedName>
    <definedName name="ㅈㄷ굦ㄷ굑ㅈ됴죧ㄱ" localSheetId="12" hidden="1">{#N/A,#N/A,FALSE,"이태원철근"}</definedName>
    <definedName name="ㅈㄷ굦ㄷ굑ㅈ됴죧ㄱ" localSheetId="13" hidden="1">{#N/A,#N/A,FALSE,"이태원철근"}</definedName>
    <definedName name="ㅈㄷ굦ㄷ굑ㅈ됴죧ㄱ" localSheetId="8" hidden="1">{#N/A,#N/A,FALSE,"이태원철근"}</definedName>
    <definedName name="ㅈㄷ굦ㄷ굑ㅈ됴죧ㄱ" hidden="1">{#N/A,#N/A,FALSE,"이태원철근"}</definedName>
    <definedName name="ㅈㄷㄳ" localSheetId="11" hidden="1">{#N/A,#N/A,FALSE,"이태원철근"}</definedName>
    <definedName name="ㅈㄷㄳ" localSheetId="12" hidden="1">{#N/A,#N/A,FALSE,"이태원철근"}</definedName>
    <definedName name="ㅈㄷㄳ" localSheetId="13" hidden="1">{#N/A,#N/A,FALSE,"이태원철근"}</definedName>
    <definedName name="ㅈㄷㄳ" localSheetId="8" hidden="1">{#N/A,#N/A,FALSE,"이태원철근"}</definedName>
    <definedName name="ㅈㄷㄳ" hidden="1">{#N/A,#N/A,FALSE,"이태원철근"}</definedName>
    <definedName name="ㅈㄷㅅㅅㅈㅅㅈㄷ" localSheetId="11" hidden="1">{#N/A,#N/A,FALSE,"이태원철근"}</definedName>
    <definedName name="ㅈㄷㅅㅅㅈㅅㅈㄷ" localSheetId="12" hidden="1">{#N/A,#N/A,FALSE,"이태원철근"}</definedName>
    <definedName name="ㅈㄷㅅㅅㅈㅅㅈㄷ" localSheetId="13" hidden="1">{#N/A,#N/A,FALSE,"이태원철근"}</definedName>
    <definedName name="ㅈㄷㅅㅅㅈㅅㅈㄷ" localSheetId="8" hidden="1">{#N/A,#N/A,FALSE,"이태원철근"}</definedName>
    <definedName name="ㅈㄷㅅㅅㅈㅅㅈㄷ" hidden="1">{#N/A,#N/A,FALSE,"이태원철근"}</definedName>
    <definedName name="ㅈㄷㅅㅈㅅ" localSheetId="11" hidden="1">{#N/A,#N/A,FALSE,"이태원철근"}</definedName>
    <definedName name="ㅈㄷㅅㅈㅅ" localSheetId="12" hidden="1">{#N/A,#N/A,FALSE,"이태원철근"}</definedName>
    <definedName name="ㅈㄷㅅㅈㅅ" localSheetId="13" hidden="1">{#N/A,#N/A,FALSE,"이태원철근"}</definedName>
    <definedName name="ㅈㄷㅅㅈㅅ" localSheetId="8" hidden="1">{#N/A,#N/A,FALSE,"이태원철근"}</definedName>
    <definedName name="ㅈㄷㅅㅈㅅ" hidden="1">{#N/A,#N/A,FALSE,"이태원철근"}</definedName>
    <definedName name="ㅈㄷ쇼ㅛㅈㄱ" localSheetId="11" hidden="1">{#N/A,#N/A,FALSE,"이태원철근"}</definedName>
    <definedName name="ㅈㄷ쇼ㅛㅈㄱ" localSheetId="12" hidden="1">{#N/A,#N/A,FALSE,"이태원철근"}</definedName>
    <definedName name="ㅈㄷ쇼ㅛㅈㄱ" localSheetId="13" hidden="1">{#N/A,#N/A,FALSE,"이태원철근"}</definedName>
    <definedName name="ㅈㄷ쇼ㅛㅈㄱ" localSheetId="8" hidden="1">{#N/A,#N/A,FALSE,"이태원철근"}</definedName>
    <definedName name="ㅈㄷ쇼ㅛㅈㄱ" hidden="1">{#N/A,#N/A,FALSE,"이태원철근"}</definedName>
    <definedName name="ㅈㅂㅇㄴㅁㅇㅈㅇㅂ" localSheetId="11" hidden="1">{#N/A,#N/A,FALSE,"이태원철근"}</definedName>
    <definedName name="ㅈㅂㅇㄴㅁㅇㅈㅇㅂ" localSheetId="12" hidden="1">{#N/A,#N/A,FALSE,"이태원철근"}</definedName>
    <definedName name="ㅈㅂㅇㄴㅁㅇㅈㅇㅂ" localSheetId="13" hidden="1">{#N/A,#N/A,FALSE,"이태원철근"}</definedName>
    <definedName name="ㅈㅂㅇㄴㅁㅇㅈㅇㅂ" localSheetId="8" hidden="1">{#N/A,#N/A,FALSE,"이태원철근"}</definedName>
    <definedName name="ㅈㅂㅇㄴㅁㅇㅈㅇㅂ" hidden="1">{#N/A,#N/A,FALSE,"이태원철근"}</definedName>
    <definedName name="ㅈㅇㅁㄴㅇㅂㄴㄷㅇㅁ" localSheetId="11" hidden="1">{#N/A,#N/A,FALSE,"이태원철근"}</definedName>
    <definedName name="ㅈㅇㅁㄴㅇㅂㄴㄷㅇㅁ" localSheetId="12" hidden="1">{#N/A,#N/A,FALSE,"이태원철근"}</definedName>
    <definedName name="ㅈㅇㅁㄴㅇㅂㄴㄷㅇㅁ" localSheetId="13" hidden="1">{#N/A,#N/A,FALSE,"이태원철근"}</definedName>
    <definedName name="ㅈㅇㅁㄴㅇㅂㄴㄷㅇㅁ" localSheetId="8" hidden="1">{#N/A,#N/A,FALSE,"이태원철근"}</definedName>
    <definedName name="ㅈㅇㅁㄴㅇㅂㄴㄷㅇㅁ" hidden="1">{#N/A,#N/A,FALSE,"이태원철근"}</definedName>
    <definedName name="자" localSheetId="11" hidden="1">{#N/A,#N/A,FALSE,"이태원철근"}</definedName>
    <definedName name="자" localSheetId="12" hidden="1">{#N/A,#N/A,FALSE,"이태원철근"}</definedName>
    <definedName name="자" localSheetId="13" hidden="1">{#N/A,#N/A,FALSE,"이태원철근"}</definedName>
    <definedName name="자" localSheetId="8" hidden="1">{#N/A,#N/A,FALSE,"이태원철근"}</definedName>
    <definedName name="자" hidden="1">{#N/A,#N/A,FALSE,"이태원철근"}</definedName>
    <definedName name="자금7차" localSheetId="11" hidden="1">{#N/A,#N/A,FALSE,"이태원철근"}</definedName>
    <definedName name="자금7차" localSheetId="12" hidden="1">{#N/A,#N/A,FALSE,"이태원철근"}</definedName>
    <definedName name="자금7차" localSheetId="13" hidden="1">{#N/A,#N/A,FALSE,"이태원철근"}</definedName>
    <definedName name="자금7차" localSheetId="8" hidden="1">{#N/A,#N/A,FALSE,"이태원철근"}</definedName>
    <definedName name="자금7차" hidden="1">{#N/A,#N/A,FALSE,"이태원철근"}</definedName>
    <definedName name="자금운영7차" hidden="1">#N/A</definedName>
    <definedName name="자양" localSheetId="11" hidden="1">{#N/A,#N/A,FALSE,"이태원철근"}</definedName>
    <definedName name="자양" localSheetId="12" hidden="1">{#N/A,#N/A,FALSE,"이태원철근"}</definedName>
    <definedName name="자양" localSheetId="13" hidden="1">{#N/A,#N/A,FALSE,"이태원철근"}</definedName>
    <definedName name="자양" localSheetId="8" hidden="1">{#N/A,#N/A,FALSE,"이태원철근"}</definedName>
    <definedName name="자양" hidden="1">{#N/A,#N/A,FALSE,"이태원철근"}</definedName>
    <definedName name="자양공사개요" localSheetId="11" hidden="1">{#N/A,#N/A,FALSE,"이태원철근"}</definedName>
    <definedName name="자양공사개요" localSheetId="12" hidden="1">{#N/A,#N/A,FALSE,"이태원철근"}</definedName>
    <definedName name="자양공사개요" localSheetId="13" hidden="1">{#N/A,#N/A,FALSE,"이태원철근"}</definedName>
    <definedName name="자양공사개요" localSheetId="8" hidden="1">{#N/A,#N/A,FALSE,"이태원철근"}</definedName>
    <definedName name="자양공사개요" hidden="1">{#N/A,#N/A,FALSE,"이태원철근"}</definedName>
    <definedName name="자운" localSheetId="5" hidden="1">#REF!</definedName>
    <definedName name="자운" localSheetId="11" hidden="1">#REF!</definedName>
    <definedName name="자운" localSheetId="6" hidden="1">#REF!</definedName>
    <definedName name="자운" localSheetId="12" hidden="1">#REF!</definedName>
    <definedName name="자운" localSheetId="7" hidden="1">#REF!</definedName>
    <definedName name="자운" localSheetId="13" hidden="1">#REF!</definedName>
    <definedName name="자운" localSheetId="8" hidden="1">#REF!</definedName>
    <definedName name="자운" hidden="1">#REF!</definedName>
    <definedName name="자재단가근거" localSheetId="5" hidden="1">#REF!</definedName>
    <definedName name="자재단가근거" localSheetId="11" hidden="1">#REF!</definedName>
    <definedName name="자재단가근거" localSheetId="6" hidden="1">#REF!</definedName>
    <definedName name="자재단가근거" localSheetId="12" hidden="1">#REF!</definedName>
    <definedName name="자재단가근거" localSheetId="7" hidden="1">#REF!</definedName>
    <definedName name="자재단가근거" localSheetId="13" hidden="1">#REF!</definedName>
    <definedName name="자재단가근거" hidden="1">#REF!</definedName>
    <definedName name="재건축경과" localSheetId="11" hidden="1">{#N/A,#N/A,FALSE,"이태원철근"}</definedName>
    <definedName name="재건축경과" localSheetId="12" hidden="1">{#N/A,#N/A,FALSE,"이태원철근"}</definedName>
    <definedName name="재건축경과" localSheetId="13" hidden="1">{#N/A,#N/A,FALSE,"이태원철근"}</definedName>
    <definedName name="재건축경과" localSheetId="8" hidden="1">{#N/A,#N/A,FALSE,"이태원철근"}</definedName>
    <definedName name="재건축경과" hidden="1">{#N/A,#N/A,FALSE,"이태원철근"}</definedName>
    <definedName name="정명영" localSheetId="11" hidden="1">{#N/A,#N/A,FALSE,"이태원철근"}</definedName>
    <definedName name="정명영" localSheetId="12" hidden="1">{#N/A,#N/A,FALSE,"이태원철근"}</definedName>
    <definedName name="정명영" localSheetId="13" hidden="1">{#N/A,#N/A,FALSE,"이태원철근"}</definedName>
    <definedName name="정명영" localSheetId="8" hidden="1">{#N/A,#N/A,FALSE,"이태원철근"}</definedName>
    <definedName name="정명영" hidden="1">{#N/A,#N/A,FALSE,"이태원철근"}</definedName>
    <definedName name="조직도" localSheetId="11" hidden="1">{#N/A,#N/A,FALSE,"이태원철근"}</definedName>
    <definedName name="조직도" localSheetId="12" hidden="1">{#N/A,#N/A,FALSE,"이태원철근"}</definedName>
    <definedName name="조직도" localSheetId="13" hidden="1">{#N/A,#N/A,FALSE,"이태원철근"}</definedName>
    <definedName name="조직도" localSheetId="8" hidden="1">{#N/A,#N/A,FALSE,"이태원철근"}</definedName>
    <definedName name="조직도" hidden="1">{#N/A,#N/A,FALSE,"이태원철근"}</definedName>
    <definedName name="조직표" localSheetId="11" hidden="1">{#N/A,#N/A,FALSE,"이태원철근"}</definedName>
    <definedName name="조직표" localSheetId="12" hidden="1">{#N/A,#N/A,FALSE,"이태원철근"}</definedName>
    <definedName name="조직표" localSheetId="13" hidden="1">{#N/A,#N/A,FALSE,"이태원철근"}</definedName>
    <definedName name="조직표" localSheetId="8" hidden="1">{#N/A,#N/A,FALSE,"이태원철근"}</definedName>
    <definedName name="조직표" hidden="1">{#N/A,#N/A,FALSE,"이태원철근"}</definedName>
    <definedName name="조직표현장" hidden="1">#REF!</definedName>
    <definedName name="주요" localSheetId="11" hidden="1">{#N/A,#N/A,FALSE,"TABLE"}</definedName>
    <definedName name="주요" localSheetId="12" hidden="1">{#N/A,#N/A,FALSE,"TABLE"}</definedName>
    <definedName name="주요" localSheetId="13" hidden="1">{#N/A,#N/A,FALSE,"TABLE"}</definedName>
    <definedName name="주요" localSheetId="8" hidden="1">{#N/A,#N/A,FALSE,"TABLE"}</definedName>
    <definedName name="주요" hidden="1">{#N/A,#N/A,FALSE,"TABLE"}</definedName>
    <definedName name="죽전3차" localSheetId="11" hidden="1">{#N/A,#N/A,FALSE,"이태원철근"}</definedName>
    <definedName name="죽전3차" localSheetId="12" hidden="1">{#N/A,#N/A,FALSE,"이태원철근"}</definedName>
    <definedName name="죽전3차" localSheetId="13" hidden="1">{#N/A,#N/A,FALSE,"이태원철근"}</definedName>
    <definedName name="죽전3차" localSheetId="8" hidden="1">{#N/A,#N/A,FALSE,"이태원철근"}</definedName>
    <definedName name="죽전3차" hidden="1">{#N/A,#N/A,FALSE,"이태원철근"}</definedName>
    <definedName name="죽전5차" localSheetId="11" hidden="1">{#N/A,#N/A,FALSE,"이태원철근"}</definedName>
    <definedName name="죽전5차" localSheetId="12" hidden="1">{#N/A,#N/A,FALSE,"이태원철근"}</definedName>
    <definedName name="죽전5차" localSheetId="13" hidden="1">{#N/A,#N/A,FALSE,"이태원철근"}</definedName>
    <definedName name="죽전5차" localSheetId="8" hidden="1">{#N/A,#N/A,FALSE,"이태원철근"}</definedName>
    <definedName name="죽전5차" hidden="1">{#N/A,#N/A,FALSE,"이태원철근"}</definedName>
    <definedName name="중점0601" localSheetId="11" hidden="1">{#N/A,#N/A,FALSE,"이태원철근"}</definedName>
    <definedName name="중점0601" localSheetId="12" hidden="1">{#N/A,#N/A,FALSE,"이태원철근"}</definedName>
    <definedName name="중점0601" localSheetId="13" hidden="1">{#N/A,#N/A,FALSE,"이태원철근"}</definedName>
    <definedName name="중점0601" localSheetId="8" hidden="1">{#N/A,#N/A,FALSE,"이태원철근"}</definedName>
    <definedName name="중점0601" hidden="1">{#N/A,#N/A,FALSE,"이태원철근"}</definedName>
    <definedName name="중점관리" localSheetId="11" hidden="1">{#N/A,#N/A,FALSE,"이태원철근"}</definedName>
    <definedName name="중점관리" localSheetId="12" hidden="1">{#N/A,#N/A,FALSE,"이태원철근"}</definedName>
    <definedName name="중점관리" localSheetId="13" hidden="1">{#N/A,#N/A,FALSE,"이태원철근"}</definedName>
    <definedName name="중점관리" localSheetId="8" hidden="1">{#N/A,#N/A,FALSE,"이태원철근"}</definedName>
    <definedName name="중점관리" hidden="1">{#N/A,#N/A,FALSE,"이태원철근"}</definedName>
    <definedName name="지" localSheetId="11" hidden="1">{#N/A,#N/A,FALSE,"이태원철근"}</definedName>
    <definedName name="지" localSheetId="12" hidden="1">{#N/A,#N/A,FALSE,"이태원철근"}</definedName>
    <definedName name="지" localSheetId="13" hidden="1">{#N/A,#N/A,FALSE,"이태원철근"}</definedName>
    <definedName name="지" localSheetId="8" hidden="1">{#N/A,#N/A,FALSE,"이태원철근"}</definedName>
    <definedName name="지" hidden="1">{#N/A,#N/A,FALSE,"이태원철근"}</definedName>
    <definedName name="직매54P" localSheetId="11" hidden="1">{#N/A,#N/A,TRUE,"토적및재료집계";#N/A,#N/A,TRUE,"토적및재료집계";#N/A,#N/A,TRUE,"단위량"}</definedName>
    <definedName name="직매54P" localSheetId="12" hidden="1">{#N/A,#N/A,TRUE,"토적및재료집계";#N/A,#N/A,TRUE,"토적및재료집계";#N/A,#N/A,TRUE,"단위량"}</definedName>
    <definedName name="직매54P" localSheetId="13" hidden="1">{#N/A,#N/A,TRUE,"토적및재료집계";#N/A,#N/A,TRUE,"토적및재료집계";#N/A,#N/A,TRUE,"단위량"}</definedName>
    <definedName name="직매54P" localSheetId="8" hidden="1">{#N/A,#N/A,TRUE,"토적및재료집계";#N/A,#N/A,TRUE,"토적및재료집계";#N/A,#N/A,TRUE,"단위량"}</definedName>
    <definedName name="직매54P" hidden="1">{#N/A,#N/A,TRUE,"토적및재료집계";#N/A,#N/A,TRUE,"토적및재료집계";#N/A,#N/A,TRUE,"단위량"}</definedName>
    <definedName name="직원소요철수계획" localSheetId="11" hidden="1">{#N/A,#N/A,FALSE,"이태원철근"}</definedName>
    <definedName name="직원소요철수계획" localSheetId="12" hidden="1">{#N/A,#N/A,FALSE,"이태원철근"}</definedName>
    <definedName name="직원소요철수계획" localSheetId="13" hidden="1">{#N/A,#N/A,FALSE,"이태원철근"}</definedName>
    <definedName name="직원소요철수계획" localSheetId="8" hidden="1">{#N/A,#N/A,FALSE,"이태원철근"}</definedName>
    <definedName name="직원소요철수계획" hidden="1">{#N/A,#N/A,FALSE,"이태원철근"}</definedName>
    <definedName name="직원수" localSheetId="11" hidden="1">{#N/A,#N/A,FALSE,"이태원철근"}</definedName>
    <definedName name="직원수" localSheetId="12" hidden="1">{#N/A,#N/A,FALSE,"이태원철근"}</definedName>
    <definedName name="직원수" localSheetId="13" hidden="1">{#N/A,#N/A,FALSE,"이태원철근"}</definedName>
    <definedName name="직원수" localSheetId="8" hidden="1">{#N/A,#N/A,FALSE,"이태원철근"}</definedName>
    <definedName name="직원수" hidden="1">{#N/A,#N/A,FALSE,"이태원철근"}</definedName>
    <definedName name="직원임금" hidden="1">#REF!</definedName>
    <definedName name="직원조직" localSheetId="11" hidden="1">{#N/A,#N/A,FALSE,"이태원철근"}</definedName>
    <definedName name="직원조직" localSheetId="12" hidden="1">{#N/A,#N/A,FALSE,"이태원철근"}</definedName>
    <definedName name="직원조직" localSheetId="13" hidden="1">{#N/A,#N/A,FALSE,"이태원철근"}</definedName>
    <definedName name="직원조직" localSheetId="8" hidden="1">{#N/A,#N/A,FALSE,"이태원철근"}</definedName>
    <definedName name="직원조직" hidden="1">{#N/A,#N/A,FALSE,"이태원철근"}</definedName>
    <definedName name="직원조직표1" localSheetId="11" hidden="1">{#N/A,#N/A,FALSE,"이태원철근"}</definedName>
    <definedName name="직원조직표1" localSheetId="12" hidden="1">{#N/A,#N/A,FALSE,"이태원철근"}</definedName>
    <definedName name="직원조직표1" localSheetId="13" hidden="1">{#N/A,#N/A,FALSE,"이태원철근"}</definedName>
    <definedName name="직원조직표1" localSheetId="8" hidden="1">{#N/A,#N/A,FALSE,"이태원철근"}</definedName>
    <definedName name="직원조직표1" hidden="1">{#N/A,#N/A,FALSE,"이태원철근"}</definedName>
    <definedName name="직원조직표복사" localSheetId="11" hidden="1">{#N/A,#N/A,FALSE,"이태원철근"}</definedName>
    <definedName name="직원조직표복사" localSheetId="12" hidden="1">{#N/A,#N/A,FALSE,"이태원철근"}</definedName>
    <definedName name="직원조직표복사" localSheetId="13" hidden="1">{#N/A,#N/A,FALSE,"이태원철근"}</definedName>
    <definedName name="직원조직표복사" localSheetId="8" hidden="1">{#N/A,#N/A,FALSE,"이태원철근"}</definedName>
    <definedName name="직원조직표복사" hidden="1">{#N/A,#N/A,FALSE,"이태원철근"}</definedName>
    <definedName name="차량" localSheetId="5" hidden="1">#REF!</definedName>
    <definedName name="차량" localSheetId="11" hidden="1">#REF!</definedName>
    <definedName name="차량" localSheetId="6" hidden="1">#REF!</definedName>
    <definedName name="차량" localSheetId="12" hidden="1">#REF!</definedName>
    <definedName name="차량" localSheetId="7" hidden="1">#REF!</definedName>
    <definedName name="차량" localSheetId="13" hidden="1">#REF!</definedName>
    <definedName name="차량" localSheetId="8" hidden="1">#REF!</definedName>
    <definedName name="차량" hidden="1">#REF!</definedName>
    <definedName name="차량현황1" localSheetId="5" hidden="1">#REF!</definedName>
    <definedName name="차량현황1" localSheetId="11" hidden="1">#REF!</definedName>
    <definedName name="차량현황1" localSheetId="6" hidden="1">#REF!</definedName>
    <definedName name="차량현황1" localSheetId="12" hidden="1">#REF!</definedName>
    <definedName name="차량현황1" localSheetId="7" hidden="1">#REF!</definedName>
    <definedName name="차량현황1" localSheetId="13" hidden="1">#REF!</definedName>
    <definedName name="차량현황1" hidden="1">#REF!</definedName>
    <definedName name="착수최종" localSheetId="11" hidden="1">{#N/A,#N/A,FALSE,"이태원철근"}</definedName>
    <definedName name="착수최종" localSheetId="12" hidden="1">{#N/A,#N/A,FALSE,"이태원철근"}</definedName>
    <definedName name="착수최종" localSheetId="13" hidden="1">{#N/A,#N/A,FALSE,"이태원철근"}</definedName>
    <definedName name="착수최종" localSheetId="8" hidden="1">{#N/A,#N/A,FALSE,"이태원철근"}</definedName>
    <definedName name="착수최종" hidden="1">{#N/A,#N/A,FALSE,"이태원철근"}</definedName>
    <definedName name="창원" localSheetId="11" hidden="1">{#N/A,#N/A,FALSE,"이태원철근"}</definedName>
    <definedName name="창원" localSheetId="12" hidden="1">{#N/A,#N/A,FALSE,"이태원철근"}</definedName>
    <definedName name="창원" localSheetId="13" hidden="1">{#N/A,#N/A,FALSE,"이태원철근"}</definedName>
    <definedName name="창원" localSheetId="8" hidden="1">{#N/A,#N/A,FALSE,"이태원철근"}</definedName>
    <definedName name="창원" hidden="1">{#N/A,#N/A,FALSE,"이태원철근"}</definedName>
    <definedName name="창원공사현황" localSheetId="11" hidden="1">{#N/A,#N/A,FALSE,"이태원철근"}</definedName>
    <definedName name="창원공사현황" localSheetId="12" hidden="1">{#N/A,#N/A,FALSE,"이태원철근"}</definedName>
    <definedName name="창원공사현황" localSheetId="13" hidden="1">{#N/A,#N/A,FALSE,"이태원철근"}</definedName>
    <definedName name="창원공사현황" localSheetId="8" hidden="1">{#N/A,#N/A,FALSE,"이태원철근"}</definedName>
    <definedName name="창원공사현황" hidden="1">{#N/A,#N/A,FALSE,"이태원철근"}</definedName>
    <definedName name="초기예산서보고" localSheetId="11" hidden="1">{#N/A,#N/A,FALSE,"이태원철근"}</definedName>
    <definedName name="초기예산서보고" localSheetId="12" hidden="1">{#N/A,#N/A,FALSE,"이태원철근"}</definedName>
    <definedName name="초기예산서보고" localSheetId="13" hidden="1">{#N/A,#N/A,FALSE,"이태원철근"}</definedName>
    <definedName name="초기예산서보고" localSheetId="8" hidden="1">{#N/A,#N/A,FALSE,"이태원철근"}</definedName>
    <definedName name="초기예산서보고" hidden="1">{#N/A,#N/A,FALSE,"이태원철근"}</definedName>
    <definedName name="초기예산표지" localSheetId="11" hidden="1">{#N/A,#N/A,FALSE,"이태원철근"}</definedName>
    <definedName name="초기예산표지" localSheetId="12" hidden="1">{#N/A,#N/A,FALSE,"이태원철근"}</definedName>
    <definedName name="초기예산표지" localSheetId="13" hidden="1">{#N/A,#N/A,FALSE,"이태원철근"}</definedName>
    <definedName name="초기예산표지" localSheetId="8" hidden="1">{#N/A,#N/A,FALSE,"이태원철근"}</definedName>
    <definedName name="초기예산표지" hidden="1">{#N/A,#N/A,FALSE,"이태원철근"}</definedName>
    <definedName name="취하" localSheetId="11" hidden="1">{#N/A,#N/A,FALSE,"이태원철근"}</definedName>
    <definedName name="취하" localSheetId="12" hidden="1">{#N/A,#N/A,FALSE,"이태원철근"}</definedName>
    <definedName name="취하" localSheetId="13" hidden="1">{#N/A,#N/A,FALSE,"이태원철근"}</definedName>
    <definedName name="취하" localSheetId="8" hidden="1">{#N/A,#N/A,FALSE,"이태원철근"}</definedName>
    <definedName name="취하" hidden="1">{#N/A,#N/A,FALSE,"이태원철근"}</definedName>
    <definedName name="취하실적1." localSheetId="11" hidden="1">{#N/A,#N/A,FALSE,"이태원철근"}</definedName>
    <definedName name="취하실적1." localSheetId="12" hidden="1">{#N/A,#N/A,FALSE,"이태원철근"}</definedName>
    <definedName name="취하실적1." localSheetId="13" hidden="1">{#N/A,#N/A,FALSE,"이태원철근"}</definedName>
    <definedName name="취하실적1." localSheetId="8" hidden="1">{#N/A,#N/A,FALSE,"이태원철근"}</definedName>
    <definedName name="취하실적1." hidden="1">{#N/A,#N/A,FALSE,"이태원철근"}</definedName>
    <definedName name="ㅋ츄" localSheetId="11" hidden="1">{#N/A,#N/A,FALSE,"이태원철근"}</definedName>
    <definedName name="ㅋ츄" localSheetId="12" hidden="1">{#N/A,#N/A,FALSE,"이태원철근"}</definedName>
    <definedName name="ㅋ츄" localSheetId="13" hidden="1">{#N/A,#N/A,FALSE,"이태원철근"}</definedName>
    <definedName name="ㅋ츄" localSheetId="8" hidden="1">{#N/A,#N/A,FALSE,"이태원철근"}</definedName>
    <definedName name="ㅋ츄" hidden="1">{#N/A,#N/A,FALSE,"이태원철근"}</definedName>
    <definedName name="ㅋㅋㅋㅋㅋㅋ" localSheetId="11" hidden="1">{#N/A,#N/A,FALSE,"이태원철근"}</definedName>
    <definedName name="ㅋㅋㅋㅋㅋㅋ" localSheetId="12" hidden="1">{#N/A,#N/A,FALSE,"이태원철근"}</definedName>
    <definedName name="ㅋㅋㅋㅋㅋㅋ" localSheetId="13" hidden="1">{#N/A,#N/A,FALSE,"이태원철근"}</definedName>
    <definedName name="ㅋㅋㅋㅋㅋㅋ" localSheetId="8" hidden="1">{#N/A,#N/A,FALSE,"이태원철근"}</definedName>
    <definedName name="ㅋㅋㅋㅋㅋㅋ" hidden="1">{#N/A,#N/A,FALSE,"이태원철근"}</definedName>
    <definedName name="카메라" localSheetId="11" hidden="1">{#N/A,#N/A,FALSE,"이태원철근"}</definedName>
    <definedName name="카메라" localSheetId="12" hidden="1">{#N/A,#N/A,FALSE,"이태원철근"}</definedName>
    <definedName name="카메라" localSheetId="13" hidden="1">{#N/A,#N/A,FALSE,"이태원철근"}</definedName>
    <definedName name="카메라" localSheetId="8" hidden="1">{#N/A,#N/A,FALSE,"이태원철근"}</definedName>
    <definedName name="카메라" hidden="1">{#N/A,#N/A,FALSE,"이태원철근"}</definedName>
    <definedName name="케이블간지" localSheetId="11" hidden="1">{#N/A,#N/A,TRUE,"토적및재료집계";#N/A,#N/A,TRUE,"토적및재료집계";#N/A,#N/A,TRUE,"단위량"}</definedName>
    <definedName name="케이블간지" localSheetId="12" hidden="1">{#N/A,#N/A,TRUE,"토적및재료집계";#N/A,#N/A,TRUE,"토적및재료집계";#N/A,#N/A,TRUE,"단위량"}</definedName>
    <definedName name="케이블간지" localSheetId="13" hidden="1">{#N/A,#N/A,TRUE,"토적및재료집계";#N/A,#N/A,TRUE,"토적및재료집계";#N/A,#N/A,TRUE,"단위량"}</definedName>
    <definedName name="케이블간지" localSheetId="8" hidden="1">{#N/A,#N/A,TRUE,"토적및재료집계";#N/A,#N/A,TRUE,"토적및재료집계";#N/A,#N/A,TRUE,"단위량"}</definedName>
    <definedName name="케이블간지" hidden="1">{#N/A,#N/A,TRUE,"토적및재료집계";#N/A,#N/A,TRUE,"토적및재료집계";#N/A,#N/A,TRUE,"단위량"}</definedName>
    <definedName name="ㅌㄵㅅ" localSheetId="11" hidden="1">{#N/A,#N/A,FALSE,"이태원철근"}</definedName>
    <definedName name="ㅌㄵㅅ" localSheetId="12" hidden="1">{#N/A,#N/A,FALSE,"이태원철근"}</definedName>
    <definedName name="ㅌㄵㅅ" localSheetId="13" hidden="1">{#N/A,#N/A,FALSE,"이태원철근"}</definedName>
    <definedName name="ㅌㄵㅅ" localSheetId="8" hidden="1">{#N/A,#N/A,FALSE,"이태원철근"}</definedName>
    <definedName name="ㅌㄵㅅ" hidden="1">{#N/A,#N/A,FALSE,"이태원철근"}</definedName>
    <definedName name="ㅌㅇ" localSheetId="11" hidden="1">{#N/A,#N/A,FALSE,"이태원철근"}</definedName>
    <definedName name="ㅌㅇ" localSheetId="12" hidden="1">{#N/A,#N/A,FALSE,"이태원철근"}</definedName>
    <definedName name="ㅌㅇ" localSheetId="13" hidden="1">{#N/A,#N/A,FALSE,"이태원철근"}</definedName>
    <definedName name="ㅌㅇ" localSheetId="8" hidden="1">{#N/A,#N/A,FALSE,"이태원철근"}</definedName>
    <definedName name="ㅌㅇ" hidden="1">{#N/A,#N/A,FALSE,"이태원철근"}</definedName>
    <definedName name="ㅌㅊ" localSheetId="11" hidden="1">{#N/A,#N/A,FALSE,"이태원철근"}</definedName>
    <definedName name="ㅌㅊ" localSheetId="12" hidden="1">{#N/A,#N/A,FALSE,"이태원철근"}</definedName>
    <definedName name="ㅌㅊ" localSheetId="13" hidden="1">{#N/A,#N/A,FALSE,"이태원철근"}</definedName>
    <definedName name="ㅌㅊ" localSheetId="8" hidden="1">{#N/A,#N/A,FALSE,"이태원철근"}</definedName>
    <definedName name="ㅌㅊ" hidden="1">{#N/A,#N/A,FALSE,"이태원철근"}</definedName>
    <definedName name="토목공사" localSheetId="11" hidden="1">{#N/A,#N/A,FALSE,"이태원철근"}</definedName>
    <definedName name="토목공사" localSheetId="12" hidden="1">{#N/A,#N/A,FALSE,"이태원철근"}</definedName>
    <definedName name="토목공사" localSheetId="13" hidden="1">{#N/A,#N/A,FALSE,"이태원철근"}</definedName>
    <definedName name="토목공사" localSheetId="8" hidden="1">{#N/A,#N/A,FALSE,"이태원철근"}</definedName>
    <definedName name="토목공사" hidden="1">{#N/A,#N/A,FALSE,"이태원철근"}</definedName>
    <definedName name="토목공사2" localSheetId="11" hidden="1">{#N/A,#N/A,FALSE,"이태원철근"}</definedName>
    <definedName name="토목공사2" localSheetId="12" hidden="1">{#N/A,#N/A,FALSE,"이태원철근"}</definedName>
    <definedName name="토목공사2" localSheetId="13" hidden="1">{#N/A,#N/A,FALSE,"이태원철근"}</definedName>
    <definedName name="토목공사2" localSheetId="8" hidden="1">{#N/A,#N/A,FALSE,"이태원철근"}</definedName>
    <definedName name="토목공사2" hidden="1">{#N/A,#N/A,FALSE,"이태원철근"}</definedName>
    <definedName name="토목공사강릉" localSheetId="5" hidden="1">#REF!</definedName>
    <definedName name="토목공사강릉" localSheetId="11" hidden="1">#REF!</definedName>
    <definedName name="토목공사강릉" localSheetId="6" hidden="1">#REF!</definedName>
    <definedName name="토목공사강릉" localSheetId="12" hidden="1">#REF!</definedName>
    <definedName name="토목공사강릉" localSheetId="7" hidden="1">#REF!</definedName>
    <definedName name="토목공사강릉" localSheetId="13" hidden="1">#REF!</definedName>
    <definedName name="토목공사강릉" localSheetId="8" hidden="1">#REF!</definedName>
    <definedName name="토목공사강릉" hidden="1">#REF!</definedName>
    <definedName name="토목실견적" localSheetId="11" hidden="1">{#N/A,#N/A,FALSE,"이태원철근"}</definedName>
    <definedName name="토목실견적" localSheetId="12" hidden="1">{#N/A,#N/A,FALSE,"이태원철근"}</definedName>
    <definedName name="토목실견적" localSheetId="13" hidden="1">{#N/A,#N/A,FALSE,"이태원철근"}</definedName>
    <definedName name="토목실견적" localSheetId="8" hidden="1">{#N/A,#N/A,FALSE,"이태원철근"}</definedName>
    <definedName name="토목실견적" hidden="1">{#N/A,#N/A,FALSE,"이태원철근"}</definedName>
    <definedName name="ㅍ" localSheetId="11" hidden="1">{#N/A,#N/A,FALSE,"이태원철근"}</definedName>
    <definedName name="ㅍ" localSheetId="12" hidden="1">{#N/A,#N/A,FALSE,"이태원철근"}</definedName>
    <definedName name="ㅍ" localSheetId="13" hidden="1">{#N/A,#N/A,FALSE,"이태원철근"}</definedName>
    <definedName name="ㅍ" localSheetId="8" hidden="1">{#N/A,#N/A,FALSE,"이태원철근"}</definedName>
    <definedName name="ㅍ" hidden="1">{#N/A,#N/A,FALSE,"이태원철근"}</definedName>
    <definedName name="ㅍㅇㄴ" localSheetId="11" hidden="1">{#N/A,#N/A,FALSE,"이태원철근"}</definedName>
    <definedName name="ㅍㅇㄴ" localSheetId="12" hidden="1">{#N/A,#N/A,FALSE,"이태원철근"}</definedName>
    <definedName name="ㅍㅇㄴ" localSheetId="13" hidden="1">{#N/A,#N/A,FALSE,"이태원철근"}</definedName>
    <definedName name="ㅍㅇㄴ" localSheetId="8" hidden="1">{#N/A,#N/A,FALSE,"이태원철근"}</definedName>
    <definedName name="ㅍㅇㄴ" hidden="1">{#N/A,#N/A,FALSE,"이태원철근"}</definedName>
    <definedName name="ㅍㅇㅁㅂ" localSheetId="11" hidden="1">{#N/A,#N/A,FALSE,"이태원철근"}</definedName>
    <definedName name="ㅍㅇㅁㅂ" localSheetId="12" hidden="1">{#N/A,#N/A,FALSE,"이태원철근"}</definedName>
    <definedName name="ㅍㅇㅁㅂ" localSheetId="13" hidden="1">{#N/A,#N/A,FALSE,"이태원철근"}</definedName>
    <definedName name="ㅍㅇㅁㅂ" localSheetId="8" hidden="1">{#N/A,#N/A,FALSE,"이태원철근"}</definedName>
    <definedName name="ㅍㅇㅁㅂ" hidden="1">{#N/A,#N/A,FALSE,"이태원철근"}</definedName>
    <definedName name="ㅍㅈ" localSheetId="11" hidden="1">{#N/A,#N/A,FALSE,"이태원철근"}</definedName>
    <definedName name="ㅍㅈ" localSheetId="12" hidden="1">{#N/A,#N/A,FALSE,"이태원철근"}</definedName>
    <definedName name="ㅍㅈ" localSheetId="13" hidden="1">{#N/A,#N/A,FALSE,"이태원철근"}</definedName>
    <definedName name="ㅍㅈ" localSheetId="8" hidden="1">{#N/A,#N/A,FALSE,"이태원철근"}</definedName>
    <definedName name="ㅍㅈ" hidden="1">{#N/A,#N/A,FALSE,"이태원철근"}</definedName>
    <definedName name="ㅍㅍ" localSheetId="11" hidden="1">{#N/A,#N/A,TRUE,"토적및재료집계";#N/A,#N/A,TRUE,"토적및재료집계";#N/A,#N/A,TRUE,"단위량"}</definedName>
    <definedName name="ㅍㅍ" localSheetId="12" hidden="1">{#N/A,#N/A,TRUE,"토적및재료집계";#N/A,#N/A,TRUE,"토적및재료집계";#N/A,#N/A,TRUE,"단위량"}</definedName>
    <definedName name="ㅍㅍ" localSheetId="13" hidden="1">{#N/A,#N/A,TRUE,"토적및재료집계";#N/A,#N/A,TRUE,"토적및재료집계";#N/A,#N/A,TRUE,"단위량"}</definedName>
    <definedName name="ㅍㅍ" localSheetId="8" hidden="1">{#N/A,#N/A,TRUE,"토적및재료집계";#N/A,#N/A,TRUE,"토적및재료집계";#N/A,#N/A,TRUE,"단위량"}</definedName>
    <definedName name="ㅍㅍ" hidden="1">{#N/A,#N/A,TRUE,"토적및재료집계";#N/A,#N/A,TRUE,"토적및재료집계";#N/A,#N/A,TRUE,"단위량"}</definedName>
    <definedName name="ㅍㅍㅍㅍㅍㅍㅍ" localSheetId="11" hidden="1">{#N/A,#N/A,FALSE,"이태원철근"}</definedName>
    <definedName name="ㅍㅍㅍㅍㅍㅍㅍ" localSheetId="12" hidden="1">{#N/A,#N/A,FALSE,"이태원철근"}</definedName>
    <definedName name="ㅍㅍㅍㅍㅍㅍㅍ" localSheetId="13" hidden="1">{#N/A,#N/A,FALSE,"이태원철근"}</definedName>
    <definedName name="ㅍㅍㅍㅍㅍㅍㅍ" localSheetId="8" hidden="1">{#N/A,#N/A,FALSE,"이태원철근"}</definedName>
    <definedName name="ㅍㅍㅍㅍㅍㅍㅍ" hidden="1">{#N/A,#N/A,FALSE,"이태원철근"}</definedName>
    <definedName name="ㅍㅎㄷ" localSheetId="11" hidden="1">{#N/A,#N/A,FALSE,"이태원철근"}</definedName>
    <definedName name="ㅍㅎㄷ" localSheetId="12" hidden="1">{#N/A,#N/A,FALSE,"이태원철근"}</definedName>
    <definedName name="ㅍㅎㄷ" localSheetId="13" hidden="1">{#N/A,#N/A,FALSE,"이태원철근"}</definedName>
    <definedName name="ㅍㅎㄷ" localSheetId="8" hidden="1">{#N/A,#N/A,FALSE,"이태원철근"}</definedName>
    <definedName name="ㅍㅎㄷ" hidden="1">{#N/A,#N/A,FALSE,"이태원철근"}</definedName>
    <definedName name="표지" localSheetId="11" hidden="1">{#N/A,#N/A,TRUE,"Basic";#N/A,#N/A,TRUE,"EXT-TABLE";#N/A,#N/A,TRUE,"STEEL";#N/A,#N/A,TRUE,"INT-Table";#N/A,#N/A,TRUE,"STEEL";#N/A,#N/A,TRUE,"Door"}</definedName>
    <definedName name="표지" localSheetId="12" hidden="1">{#N/A,#N/A,TRUE,"Basic";#N/A,#N/A,TRUE,"EXT-TABLE";#N/A,#N/A,TRUE,"STEEL";#N/A,#N/A,TRUE,"INT-Table";#N/A,#N/A,TRUE,"STEEL";#N/A,#N/A,TRUE,"Door"}</definedName>
    <definedName name="표지" localSheetId="13" hidden="1">{#N/A,#N/A,TRUE,"Basic";#N/A,#N/A,TRUE,"EXT-TABLE";#N/A,#N/A,TRUE,"STEEL";#N/A,#N/A,TRUE,"INT-Table";#N/A,#N/A,TRUE,"STEEL";#N/A,#N/A,TRUE,"Door"}</definedName>
    <definedName name="표지" localSheetId="8" hidden="1">{#N/A,#N/A,TRUE,"Basic";#N/A,#N/A,TRUE,"EXT-TABLE";#N/A,#N/A,TRUE,"STEEL";#N/A,#N/A,TRUE,"INT-Table";#N/A,#N/A,TRUE,"STEEL";#N/A,#N/A,TRUE,"Door"}</definedName>
    <definedName name="표지" hidden="1">{#N/A,#N/A,TRUE,"Basic";#N/A,#N/A,TRUE,"EXT-TABLE";#N/A,#N/A,TRUE,"STEEL";#N/A,#N/A,TRUE,"INT-Table";#N/A,#N/A,TRUE,"STEEL";#N/A,#N/A,TRUE,"Door"}</definedName>
    <definedName name="피로티" localSheetId="11" hidden="1">{#N/A,#N/A,FALSE,"이태원철근"}</definedName>
    <definedName name="피로티" localSheetId="12" hidden="1">{#N/A,#N/A,FALSE,"이태원철근"}</definedName>
    <definedName name="피로티" localSheetId="13" hidden="1">{#N/A,#N/A,FALSE,"이태원철근"}</definedName>
    <definedName name="피로티" localSheetId="8" hidden="1">{#N/A,#N/A,FALSE,"이태원철근"}</definedName>
    <definedName name="피로티" hidden="1">{#N/A,#N/A,FALSE,"이태원철근"}</definedName>
    <definedName name="피로티1" localSheetId="11" hidden="1">{#N/A,#N/A,FALSE,"이태원철근"}</definedName>
    <definedName name="피로티1" localSheetId="12" hidden="1">{#N/A,#N/A,FALSE,"이태원철근"}</definedName>
    <definedName name="피로티1" localSheetId="13" hidden="1">{#N/A,#N/A,FALSE,"이태원철근"}</definedName>
    <definedName name="피로티1" localSheetId="8" hidden="1">{#N/A,#N/A,FALSE,"이태원철근"}</definedName>
    <definedName name="피로티1" hidden="1">{#N/A,#N/A,FALSE,"이태원철근"}</definedName>
    <definedName name="ㅎ" localSheetId="11" hidden="1">{#N/A,#N/A,FALSE,"이태원철근"}</definedName>
    <definedName name="ㅎ" localSheetId="12" hidden="1">{#N/A,#N/A,FALSE,"이태원철근"}</definedName>
    <definedName name="ㅎ" localSheetId="13" hidden="1">{#N/A,#N/A,FALSE,"이태원철근"}</definedName>
    <definedName name="ㅎ" localSheetId="8" hidden="1">{#N/A,#N/A,FALSE,"이태원철근"}</definedName>
    <definedName name="ㅎ" hidden="1">{#N/A,#N/A,FALSE,"이태원철근"}</definedName>
    <definedName name="ㅎ4ㄷㅈ" localSheetId="11" hidden="1">{#N/A,#N/A,FALSE,"이태원철근"}</definedName>
    <definedName name="ㅎ4ㄷㅈ" localSheetId="12" hidden="1">{#N/A,#N/A,FALSE,"이태원철근"}</definedName>
    <definedName name="ㅎ4ㄷㅈ" localSheetId="13" hidden="1">{#N/A,#N/A,FALSE,"이태원철근"}</definedName>
    <definedName name="ㅎ4ㄷㅈ" localSheetId="8" hidden="1">{#N/A,#N/A,FALSE,"이태원철근"}</definedName>
    <definedName name="ㅎ4ㄷㅈ" hidden="1">{#N/A,#N/A,FALSE,"이태원철근"}</definedName>
    <definedName name="ㅎㄱㄷㅂㅈ" localSheetId="11" hidden="1">{#N/A,#N/A,FALSE,"이태원철근"}</definedName>
    <definedName name="ㅎㄱㄷㅂㅈ" localSheetId="12" hidden="1">{#N/A,#N/A,FALSE,"이태원철근"}</definedName>
    <definedName name="ㅎㄱㄷㅂㅈ" localSheetId="13" hidden="1">{#N/A,#N/A,FALSE,"이태원철근"}</definedName>
    <definedName name="ㅎㄱㄷㅂㅈ" localSheetId="8" hidden="1">{#N/A,#N/A,FALSE,"이태원철근"}</definedName>
    <definedName name="ㅎㄱㄷㅂㅈ" hidden="1">{#N/A,#N/A,FALSE,"이태원철근"}</definedName>
    <definedName name="ㅎㄱㄷㅈ" localSheetId="11" hidden="1">{#N/A,#N/A,FALSE,"이태원철근"}</definedName>
    <definedName name="ㅎㄱㄷㅈ" localSheetId="12" hidden="1">{#N/A,#N/A,FALSE,"이태원철근"}</definedName>
    <definedName name="ㅎㄱㄷㅈ" localSheetId="13" hidden="1">{#N/A,#N/A,FALSE,"이태원철근"}</definedName>
    <definedName name="ㅎㄱㄷㅈ" localSheetId="8" hidden="1">{#N/A,#N/A,FALSE,"이태원철근"}</definedName>
    <definedName name="ㅎㄱㄷㅈ" hidden="1">{#N/A,#N/A,FALSE,"이태원철근"}</definedName>
    <definedName name="ㅎㄱㅈ" localSheetId="11" hidden="1">{#N/A,#N/A,FALSE,"이태원철근"}</definedName>
    <definedName name="ㅎㄱㅈ" localSheetId="12" hidden="1">{#N/A,#N/A,FALSE,"이태원철근"}</definedName>
    <definedName name="ㅎㄱㅈ" localSheetId="13" hidden="1">{#N/A,#N/A,FALSE,"이태원철근"}</definedName>
    <definedName name="ㅎㄱㅈ" localSheetId="8" hidden="1">{#N/A,#N/A,FALSE,"이태원철근"}</definedName>
    <definedName name="ㅎㄱㅈ" hidden="1">{#N/A,#N/A,FALSE,"이태원철근"}</definedName>
    <definedName name="ㅎㄷ" localSheetId="11" hidden="1">{#N/A,#N/A,FALSE,"이태원철근"}</definedName>
    <definedName name="ㅎㄷ" localSheetId="12" hidden="1">{#N/A,#N/A,FALSE,"이태원철근"}</definedName>
    <definedName name="ㅎㄷ" localSheetId="13" hidden="1">{#N/A,#N/A,FALSE,"이태원철근"}</definedName>
    <definedName name="ㅎㄷ" localSheetId="8" hidden="1">{#N/A,#N/A,FALSE,"이태원철근"}</definedName>
    <definedName name="ㅎㄷ" hidden="1">{#N/A,#N/A,FALSE,"이태원철근"}</definedName>
    <definedName name="ㅎㄷㅈㅈ" localSheetId="11" hidden="1">{#N/A,#N/A,FALSE,"이태원철근"}</definedName>
    <definedName name="ㅎㄷㅈㅈ" localSheetId="12" hidden="1">{#N/A,#N/A,FALSE,"이태원철근"}</definedName>
    <definedName name="ㅎㄷㅈㅈ" localSheetId="13" hidden="1">{#N/A,#N/A,FALSE,"이태원철근"}</definedName>
    <definedName name="ㅎㄷㅈㅈ" localSheetId="8" hidden="1">{#N/A,#N/A,FALSE,"이태원철근"}</definedName>
    <definedName name="ㅎㄷㅈㅈ" hidden="1">{#N/A,#N/A,FALSE,"이태원철근"}</definedName>
    <definedName name="ㅎ라ㅓㅓㅗㅎ라러" localSheetId="11" hidden="1">{#N/A,#N/A,FALSE,"이태원철근"}</definedName>
    <definedName name="ㅎ라ㅓㅓㅗㅎ라러" localSheetId="12" hidden="1">{#N/A,#N/A,FALSE,"이태원철근"}</definedName>
    <definedName name="ㅎ라ㅓㅓㅗㅎ라러" localSheetId="13" hidden="1">{#N/A,#N/A,FALSE,"이태원철근"}</definedName>
    <definedName name="ㅎ라ㅓㅓㅗㅎ라러" localSheetId="8" hidden="1">{#N/A,#N/A,FALSE,"이태원철근"}</definedName>
    <definedName name="ㅎ라ㅓㅓㅗㅎ라러" hidden="1">{#N/A,#N/A,FALSE,"이태원철근"}</definedName>
    <definedName name="ㅎ러ㅗ엉ㅎ러ㅗㅎㄹㅇ" localSheetId="11" hidden="1">{#N/A,#N/A,FALSE,"이태원철근"}</definedName>
    <definedName name="ㅎ러ㅗ엉ㅎ러ㅗㅎㄹㅇ" localSheetId="12" hidden="1">{#N/A,#N/A,FALSE,"이태원철근"}</definedName>
    <definedName name="ㅎ러ㅗ엉ㅎ러ㅗㅎㄹㅇ" localSheetId="13" hidden="1">{#N/A,#N/A,FALSE,"이태원철근"}</definedName>
    <definedName name="ㅎ러ㅗ엉ㅎ러ㅗㅎㄹㅇ" localSheetId="8" hidden="1">{#N/A,#N/A,FALSE,"이태원철근"}</definedName>
    <definedName name="ㅎ러ㅗ엉ㅎ러ㅗㅎㄹㅇ" hidden="1">{#N/A,#N/A,FALSE,"이태원철근"}</definedName>
    <definedName name="하이얀" localSheetId="11" hidden="1">{#N/A,#N/A,FALSE,"이태원철근"}</definedName>
    <definedName name="하이얀" localSheetId="12" hidden="1">{#N/A,#N/A,FALSE,"이태원철근"}</definedName>
    <definedName name="하이얀" localSheetId="13" hidden="1">{#N/A,#N/A,FALSE,"이태원철근"}</definedName>
    <definedName name="하이얀" localSheetId="8" hidden="1">{#N/A,#N/A,FALSE,"이태원철근"}</definedName>
    <definedName name="하이얀" hidden="1">{#N/A,#N/A,FALSE,"이태원철근"}</definedName>
    <definedName name="행" localSheetId="11" hidden="1">{#N/A,#N/A,FALSE,"이태원철근"}</definedName>
    <definedName name="행" localSheetId="12" hidden="1">{#N/A,#N/A,FALSE,"이태원철근"}</definedName>
    <definedName name="행" localSheetId="13" hidden="1">{#N/A,#N/A,FALSE,"이태원철근"}</definedName>
    <definedName name="행" localSheetId="8" hidden="1">{#N/A,#N/A,FALSE,"이태원철근"}</definedName>
    <definedName name="행" hidden="1">{#N/A,#N/A,FALSE,"이태원철근"}</definedName>
    <definedName name="현" localSheetId="11" hidden="1">{#N/A,#N/A,FALSE,"이태원철근"}</definedName>
    <definedName name="현" localSheetId="12" hidden="1">{#N/A,#N/A,FALSE,"이태원철근"}</definedName>
    <definedName name="현" localSheetId="13" hidden="1">{#N/A,#N/A,FALSE,"이태원철근"}</definedName>
    <definedName name="현" localSheetId="8" hidden="1">{#N/A,#N/A,FALSE,"이태원철근"}</definedName>
    <definedName name="현" hidden="1">{#N/A,#N/A,FALSE,"이태원철근"}</definedName>
    <definedName name="현대코아공통비" localSheetId="5" hidden="1">#REF!</definedName>
    <definedName name="현대코아공통비" localSheetId="11" hidden="1">#REF!</definedName>
    <definedName name="현대코아공통비" localSheetId="6" hidden="1">#REF!</definedName>
    <definedName name="현대코아공통비" localSheetId="12" hidden="1">#REF!</definedName>
    <definedName name="현대코아공통비" localSheetId="7" hidden="1">#REF!</definedName>
    <definedName name="현대코아공통비" localSheetId="13" hidden="1">#REF!</definedName>
    <definedName name="현대코아공통비" localSheetId="8" hidden="1">#REF!</definedName>
    <definedName name="현대코아공통비" hidden="1">#REF!</definedName>
    <definedName name="현장주변사진" localSheetId="11" hidden="1">{#N/A,#N/A,FALSE,"이태원철근"}</definedName>
    <definedName name="현장주변사진" localSheetId="12" hidden="1">{#N/A,#N/A,FALSE,"이태원철근"}</definedName>
    <definedName name="현장주변사진" localSheetId="13" hidden="1">{#N/A,#N/A,FALSE,"이태원철근"}</definedName>
    <definedName name="현장주변사진" localSheetId="8" hidden="1">{#N/A,#N/A,FALSE,"이태원철근"}</definedName>
    <definedName name="현장주변사진" hidden="1">{#N/A,#N/A,FALSE,"이태원철근"}</definedName>
    <definedName name="협조전" localSheetId="5" hidden="1">#REF!</definedName>
    <definedName name="협조전" localSheetId="11" hidden="1">#REF!</definedName>
    <definedName name="협조전" localSheetId="6" hidden="1">#REF!</definedName>
    <definedName name="협조전" localSheetId="12" hidden="1">#REF!</definedName>
    <definedName name="협조전" localSheetId="7" hidden="1">#REF!</definedName>
    <definedName name="협조전" localSheetId="13" hidden="1">#REF!</definedName>
    <definedName name="협조전" localSheetId="8" hidden="1">#REF!</definedName>
    <definedName name="협조전" hidden="1">#REF!</definedName>
    <definedName name="호ㅓ" localSheetId="5" hidden="1">#REF!</definedName>
    <definedName name="호ㅓ" localSheetId="11" hidden="1">#REF!</definedName>
    <definedName name="호ㅓ" localSheetId="6" hidden="1">#REF!</definedName>
    <definedName name="호ㅓ" localSheetId="12" hidden="1">#REF!</definedName>
    <definedName name="호ㅓ" localSheetId="7" hidden="1">#REF!</definedName>
    <definedName name="호ㅓ" localSheetId="13" hidden="1">#REF!</definedName>
    <definedName name="호ㅓ" hidden="1">#REF!</definedName>
    <definedName name="홍범표" localSheetId="11" hidden="1">{#N/A,#N/A,FALSE,"이태원철근"}</definedName>
    <definedName name="홍범표" localSheetId="12" hidden="1">{#N/A,#N/A,FALSE,"이태원철근"}</definedName>
    <definedName name="홍범표" localSheetId="13" hidden="1">{#N/A,#N/A,FALSE,"이태원철근"}</definedName>
    <definedName name="홍범표" localSheetId="8" hidden="1">{#N/A,#N/A,FALSE,"이태원철근"}</definedName>
    <definedName name="홍범표" hidden="1">{#N/A,#N/A,FALSE,"이태원철근"}</definedName>
    <definedName name="화ㅓㅗ허ㅏㅎ" localSheetId="11" hidden="1">{#N/A,#N/A,FALSE,"이태원철근"}</definedName>
    <definedName name="화ㅓㅗ허ㅏㅎ" localSheetId="12" hidden="1">{#N/A,#N/A,FALSE,"이태원철근"}</definedName>
    <definedName name="화ㅓㅗ허ㅏㅎ" localSheetId="13" hidden="1">{#N/A,#N/A,FALSE,"이태원철근"}</definedName>
    <definedName name="화ㅓㅗ허ㅏㅎ" localSheetId="8" hidden="1">{#N/A,#N/A,FALSE,"이태원철근"}</definedName>
    <definedName name="화ㅓㅗ허ㅏㅎ" hidden="1">{#N/A,#N/A,FALSE,"이태원철근"}</definedName>
    <definedName name="효" localSheetId="11" hidden="1">{#N/A,#N/A,FALSE,"이태원철근"}</definedName>
    <definedName name="효" localSheetId="12" hidden="1">{#N/A,#N/A,FALSE,"이태원철근"}</definedName>
    <definedName name="효" localSheetId="13" hidden="1">{#N/A,#N/A,FALSE,"이태원철근"}</definedName>
    <definedName name="효" localSheetId="8" hidden="1">{#N/A,#N/A,FALSE,"이태원철근"}</definedName>
    <definedName name="효" hidden="1">{#N/A,#N/A,FALSE,"이태원철근"}</definedName>
    <definedName name="휻" localSheetId="11" hidden="1">{#N/A,#N/A,FALSE,"이태원철근"}</definedName>
    <definedName name="휻" localSheetId="12" hidden="1">{#N/A,#N/A,FALSE,"이태원철근"}</definedName>
    <definedName name="휻" localSheetId="13" hidden="1">{#N/A,#N/A,FALSE,"이태원철근"}</definedName>
    <definedName name="휻" localSheetId="8" hidden="1">{#N/A,#N/A,FALSE,"이태원철근"}</definedName>
    <definedName name="휻" hidden="1">{#N/A,#N/A,FALSE,"이태원철근"}</definedName>
    <definedName name="ㅏ" localSheetId="11" hidden="1">{#N/A,#N/A,FALSE,"이태원철근"}</definedName>
    <definedName name="ㅏ" localSheetId="12" hidden="1">{#N/A,#N/A,FALSE,"이태원철근"}</definedName>
    <definedName name="ㅏ" localSheetId="13" hidden="1">{#N/A,#N/A,FALSE,"이태원철근"}</definedName>
    <definedName name="ㅏ" localSheetId="8" hidden="1">{#N/A,#N/A,FALSE,"이태원철근"}</definedName>
    <definedName name="ㅏ" hidden="1">{#N/A,#N/A,FALSE,"이태원철근"}</definedName>
    <definedName name="ㅏㅓㅏㅓㅣ" localSheetId="11" hidden="1">{#N/A,#N/A,FALSE,"이태원철근"}</definedName>
    <definedName name="ㅏㅓㅏㅓㅣ" localSheetId="12" hidden="1">{#N/A,#N/A,FALSE,"이태원철근"}</definedName>
    <definedName name="ㅏㅓㅏㅓㅣ" localSheetId="13" hidden="1">{#N/A,#N/A,FALSE,"이태원철근"}</definedName>
    <definedName name="ㅏㅓㅏㅓㅣ" localSheetId="8" hidden="1">{#N/A,#N/A,FALSE,"이태원철근"}</definedName>
    <definedName name="ㅏㅓㅏㅓㅣ" hidden="1">{#N/A,#N/A,FALSE,"이태원철근"}</definedName>
    <definedName name="ㅏㅓㅣㅏㅓㅣㅏㅓㅣ" localSheetId="11" hidden="1">{#N/A,#N/A,FALSE,"이태원철근"}</definedName>
    <definedName name="ㅏㅓㅣㅏㅓㅣㅏㅓㅣ" localSheetId="12" hidden="1">{#N/A,#N/A,FALSE,"이태원철근"}</definedName>
    <definedName name="ㅏㅓㅣㅏㅓㅣㅏㅓㅣ" localSheetId="13" hidden="1">{#N/A,#N/A,FALSE,"이태원철근"}</definedName>
    <definedName name="ㅏㅓㅣㅏㅓㅣㅏㅓㅣ" localSheetId="8" hidden="1">{#N/A,#N/A,FALSE,"이태원철근"}</definedName>
    <definedName name="ㅏㅓㅣㅏㅓㅣㅏㅓㅣ" hidden="1">{#N/A,#N/A,FALSE,"이태원철근"}</definedName>
    <definedName name="ㅏㅓㅣㅏㅓㅣㅏㅓㅣㅓ" localSheetId="11" hidden="1">{#N/A,#N/A,FALSE,"이태원철근"}</definedName>
    <definedName name="ㅏㅓㅣㅏㅓㅣㅏㅓㅣㅓ" localSheetId="12" hidden="1">{#N/A,#N/A,FALSE,"이태원철근"}</definedName>
    <definedName name="ㅏㅓㅣㅏㅓㅣㅏㅓㅣㅓ" localSheetId="13" hidden="1">{#N/A,#N/A,FALSE,"이태원철근"}</definedName>
    <definedName name="ㅏㅓㅣㅏㅓㅣㅏㅓㅣㅓ" localSheetId="8" hidden="1">{#N/A,#N/A,FALSE,"이태원철근"}</definedName>
    <definedName name="ㅏㅓㅣㅏㅓㅣㅏㅓㅣㅓ" hidden="1">{#N/A,#N/A,FALSE,"이태원철근"}</definedName>
    <definedName name="ㅐ" localSheetId="11" hidden="1">{#N/A,#N/A,FALSE,"이태원철근"}</definedName>
    <definedName name="ㅐ" localSheetId="12" hidden="1">{#N/A,#N/A,FALSE,"이태원철근"}</definedName>
    <definedName name="ㅐ" localSheetId="13" hidden="1">{#N/A,#N/A,FALSE,"이태원철근"}</definedName>
    <definedName name="ㅐ" localSheetId="8" hidden="1">{#N/A,#N/A,FALSE,"이태원철근"}</definedName>
    <definedName name="ㅐ" hidden="1">{#N/A,#N/A,FALSE,"이태원철근"}</definedName>
    <definedName name="ㅑ" localSheetId="11" hidden="1">{#N/A,#N/A,FALSE,"이태원철근"}</definedName>
    <definedName name="ㅑ" localSheetId="12" hidden="1">{#N/A,#N/A,FALSE,"이태원철근"}</definedName>
    <definedName name="ㅑ" localSheetId="13" hidden="1">{#N/A,#N/A,FALSE,"이태원철근"}</definedName>
    <definedName name="ㅑ" localSheetId="8" hidden="1">{#N/A,#N/A,FALSE,"이태원철근"}</definedName>
    <definedName name="ㅑ" hidden="1">{#N/A,#N/A,FALSE,"이태원철근"}</definedName>
    <definedName name="ㅓ" localSheetId="11" hidden="1">{#N/A,#N/A,FALSE,"이태원철근"}</definedName>
    <definedName name="ㅓ" localSheetId="12" hidden="1">{#N/A,#N/A,FALSE,"이태원철근"}</definedName>
    <definedName name="ㅓ" localSheetId="13" hidden="1">{#N/A,#N/A,FALSE,"이태원철근"}</definedName>
    <definedName name="ㅓ" localSheetId="8" hidden="1">{#N/A,#N/A,FALSE,"이태원철근"}</definedName>
    <definedName name="ㅓ" hidden="1">{#N/A,#N/A,FALSE,"이태원철근"}</definedName>
    <definedName name="ㅓㅏㅣㅓㅣㅓㅣㅓㅏ" localSheetId="11" hidden="1">{#N/A,#N/A,FALSE,"이태원철근"}</definedName>
    <definedName name="ㅓㅏㅣㅓㅣㅓㅣㅓㅏ" localSheetId="12" hidden="1">{#N/A,#N/A,FALSE,"이태원철근"}</definedName>
    <definedName name="ㅓㅏㅣㅓㅣㅓㅣㅓㅏ" localSheetId="13" hidden="1">{#N/A,#N/A,FALSE,"이태원철근"}</definedName>
    <definedName name="ㅓㅏㅣㅓㅣㅓㅣㅓㅏ" localSheetId="8" hidden="1">{#N/A,#N/A,FALSE,"이태원철근"}</definedName>
    <definedName name="ㅓㅏㅣㅓㅣㅓㅣㅓㅏ" hidden="1">{#N/A,#N/A,FALSE,"이태원철근"}</definedName>
    <definedName name="ㅓㅓㅓ" localSheetId="11" hidden="1">{#N/A,#N/A,FALSE,"이태원철근"}</definedName>
    <definedName name="ㅓㅓㅓ" localSheetId="12" hidden="1">{#N/A,#N/A,FALSE,"이태원철근"}</definedName>
    <definedName name="ㅓㅓㅓ" localSheetId="13" hidden="1">{#N/A,#N/A,FALSE,"이태원철근"}</definedName>
    <definedName name="ㅓㅓㅓ" localSheetId="8" hidden="1">{#N/A,#N/A,FALSE,"이태원철근"}</definedName>
    <definedName name="ㅓㅓㅓ" hidden="1">{#N/A,#N/A,FALSE,"이태원철근"}</definedName>
    <definedName name="ㅓㅛㅅㄱ" localSheetId="11" hidden="1">{#N/A,#N/A,FALSE,"이태원철근"}</definedName>
    <definedName name="ㅓㅛㅅㄱ" localSheetId="12" hidden="1">{#N/A,#N/A,FALSE,"이태원철근"}</definedName>
    <definedName name="ㅓㅛㅅㄱ" localSheetId="13" hidden="1">{#N/A,#N/A,FALSE,"이태원철근"}</definedName>
    <definedName name="ㅓㅛㅅㄱ" localSheetId="8" hidden="1">{#N/A,#N/A,FALSE,"이태원철근"}</definedName>
    <definedName name="ㅓㅛㅅㄱ" hidden="1">{#N/A,#N/A,FALSE,"이태원철근"}</definedName>
    <definedName name="ㅓㅛ서ㅛ서ㅑ쇼ㅕ" localSheetId="11" hidden="1">{#N/A,#N/A,FALSE,"이태원철근"}</definedName>
    <definedName name="ㅓㅛ서ㅛ서ㅑ쇼ㅕ" localSheetId="12" hidden="1">{#N/A,#N/A,FALSE,"이태원철근"}</definedName>
    <definedName name="ㅓㅛ서ㅛ서ㅑ쇼ㅕ" localSheetId="13" hidden="1">{#N/A,#N/A,FALSE,"이태원철근"}</definedName>
    <definedName name="ㅓㅛ서ㅛ서ㅑ쇼ㅕ" localSheetId="8" hidden="1">{#N/A,#N/A,FALSE,"이태원철근"}</definedName>
    <definedName name="ㅓㅛ서ㅛ서ㅑ쇼ㅕ" hidden="1">{#N/A,#N/A,FALSE,"이태원철근"}</definedName>
    <definedName name="ㅔ" localSheetId="11" hidden="1">{#N/A,#N/A,FALSE,"이태원철근"}</definedName>
    <definedName name="ㅔ" localSheetId="12" hidden="1">{#N/A,#N/A,FALSE,"이태원철근"}</definedName>
    <definedName name="ㅔ" localSheetId="13" hidden="1">{#N/A,#N/A,FALSE,"이태원철근"}</definedName>
    <definedName name="ㅔ" localSheetId="8" hidden="1">{#N/A,#N/A,FALSE,"이태원철근"}</definedName>
    <definedName name="ㅔ" hidden="1">{#N/A,#N/A,FALSE,"이태원철근"}</definedName>
    <definedName name="ㅔㅔㅔㅔㅔㅔㅔㅔㅔㅔㅔㅔㅔㅔ" localSheetId="11" hidden="1">{#N/A,#N/A,FALSE,"이태원철근"}</definedName>
    <definedName name="ㅔㅔㅔㅔㅔㅔㅔㅔㅔㅔㅔㅔㅔㅔ" localSheetId="12" hidden="1">{#N/A,#N/A,FALSE,"이태원철근"}</definedName>
    <definedName name="ㅔㅔㅔㅔㅔㅔㅔㅔㅔㅔㅔㅔㅔㅔ" localSheetId="13" hidden="1">{#N/A,#N/A,FALSE,"이태원철근"}</definedName>
    <definedName name="ㅔㅔㅔㅔㅔㅔㅔㅔㅔㅔㅔㅔㅔㅔ" localSheetId="8" hidden="1">{#N/A,#N/A,FALSE,"이태원철근"}</definedName>
    <definedName name="ㅔㅔㅔㅔㅔㅔㅔㅔㅔㅔㅔㅔㅔㅔ" hidden="1">{#N/A,#N/A,FALSE,"이태원철근"}</definedName>
    <definedName name="ㅕ" localSheetId="11" hidden="1">{#N/A,#N/A,FALSE,"이태원철근"}</definedName>
    <definedName name="ㅕ" localSheetId="12" hidden="1">{#N/A,#N/A,FALSE,"이태원철근"}</definedName>
    <definedName name="ㅕ" localSheetId="13" hidden="1">{#N/A,#N/A,FALSE,"이태원철근"}</definedName>
    <definedName name="ㅕ" localSheetId="8" hidden="1">{#N/A,#N/A,FALSE,"이태원철근"}</definedName>
    <definedName name="ㅕ" hidden="1">{#N/A,#N/A,FALSE,"이태원철근"}</definedName>
    <definedName name="ㅕㅑ" localSheetId="11" hidden="1">{#N/A,#N/A,FALSE,"이태원철근"}</definedName>
    <definedName name="ㅕㅑ" localSheetId="12" hidden="1">{#N/A,#N/A,FALSE,"이태원철근"}</definedName>
    <definedName name="ㅕㅑ" localSheetId="13" hidden="1">{#N/A,#N/A,FALSE,"이태원철근"}</definedName>
    <definedName name="ㅕㅑ" localSheetId="8" hidden="1">{#N/A,#N/A,FALSE,"이태원철근"}</definedName>
    <definedName name="ㅕㅑ" hidden="1">{#N/A,#N/A,FALSE,"이태원철근"}</definedName>
    <definedName name="ㅕㅑㅐㅕㅑ" localSheetId="11" hidden="1">{#N/A,#N/A,FALSE,"이태원철근"}</definedName>
    <definedName name="ㅕㅑㅐㅕㅑ" localSheetId="12" hidden="1">{#N/A,#N/A,FALSE,"이태원철근"}</definedName>
    <definedName name="ㅕㅑㅐㅕㅑ" localSheetId="13" hidden="1">{#N/A,#N/A,FALSE,"이태원철근"}</definedName>
    <definedName name="ㅕㅑㅐㅕㅑ" localSheetId="8" hidden="1">{#N/A,#N/A,FALSE,"이태원철근"}</definedName>
    <definedName name="ㅕㅑㅐㅕㅑ" hidden="1">{#N/A,#N/A,FALSE,"이태원철근"}</definedName>
    <definedName name="ㅕㅑㅐㅕㅑㅐ" localSheetId="11" hidden="1">{#N/A,#N/A,FALSE,"이태원철근"}</definedName>
    <definedName name="ㅕㅑㅐㅕㅑㅐ" localSheetId="12" hidden="1">{#N/A,#N/A,FALSE,"이태원철근"}</definedName>
    <definedName name="ㅕㅑㅐㅕㅑㅐ" localSheetId="13" hidden="1">{#N/A,#N/A,FALSE,"이태원철근"}</definedName>
    <definedName name="ㅕㅑㅐㅕㅑㅐ" localSheetId="8" hidden="1">{#N/A,#N/A,FALSE,"이태원철근"}</definedName>
    <definedName name="ㅕㅑㅐㅕㅑㅐ" hidden="1">{#N/A,#N/A,FALSE,"이태원철근"}</definedName>
    <definedName name="ㅕㅑㅜㅐㅑ" localSheetId="11" hidden="1">{#N/A,#N/A,FALSE,"이태원철근"}</definedName>
    <definedName name="ㅕㅑㅜㅐㅑ" localSheetId="12" hidden="1">{#N/A,#N/A,FALSE,"이태원철근"}</definedName>
    <definedName name="ㅕㅑㅜㅐㅑ" localSheetId="13" hidden="1">{#N/A,#N/A,FALSE,"이태원철근"}</definedName>
    <definedName name="ㅕㅑㅜㅐㅑ" localSheetId="8" hidden="1">{#N/A,#N/A,FALSE,"이태원철근"}</definedName>
    <definedName name="ㅕㅑㅜㅐㅑ" hidden="1">{#N/A,#N/A,FALSE,"이태원철근"}</definedName>
    <definedName name="ㅗ" localSheetId="11" hidden="1">{#N/A,#N/A,FALSE,"이태원철근"}</definedName>
    <definedName name="ㅗ" localSheetId="12" hidden="1">{#N/A,#N/A,FALSE,"이태원철근"}</definedName>
    <definedName name="ㅗ" localSheetId="13" hidden="1">{#N/A,#N/A,FALSE,"이태원철근"}</definedName>
    <definedName name="ㅗ" localSheetId="8" hidden="1">{#N/A,#N/A,FALSE,"이태원철근"}</definedName>
    <definedName name="ㅗ" hidden="1">{#N/A,#N/A,FALSE,"이태원철근"}</definedName>
    <definedName name="ㅗㄱ" localSheetId="11" hidden="1">{#N/A,#N/A,FALSE,"이태원철근"}</definedName>
    <definedName name="ㅗㄱ" localSheetId="12" hidden="1">{#N/A,#N/A,FALSE,"이태원철근"}</definedName>
    <definedName name="ㅗㄱ" localSheetId="13" hidden="1">{#N/A,#N/A,FALSE,"이태원철근"}</definedName>
    <definedName name="ㅗㄱ" localSheetId="8" hidden="1">{#N/A,#N/A,FALSE,"이태원철근"}</definedName>
    <definedName name="ㅗㄱ" hidden="1">{#N/A,#N/A,FALSE,"이태원철근"}</definedName>
    <definedName name="ㅗㄳ" localSheetId="11" hidden="1">{#N/A,#N/A,FALSE,"이태원철근"}</definedName>
    <definedName name="ㅗㄳ" localSheetId="12" hidden="1">{#N/A,#N/A,FALSE,"이태원철근"}</definedName>
    <definedName name="ㅗㄳ" localSheetId="13" hidden="1">{#N/A,#N/A,FALSE,"이태원철근"}</definedName>
    <definedName name="ㅗㄳ" localSheetId="8" hidden="1">{#N/A,#N/A,FALSE,"이태원철근"}</definedName>
    <definedName name="ㅗㄳ" hidden="1">{#N/A,#N/A,FALSE,"이태원철근"}</definedName>
    <definedName name="ㅗㅎ러ㅗㅎ럴호" localSheetId="11" hidden="1">{#N/A,#N/A,FALSE,"이태원철근"}</definedName>
    <definedName name="ㅗㅎ러ㅗㅎ럴호" localSheetId="12" hidden="1">{#N/A,#N/A,FALSE,"이태원철근"}</definedName>
    <definedName name="ㅗㅎ러ㅗㅎ럴호" localSheetId="13" hidden="1">{#N/A,#N/A,FALSE,"이태원철근"}</definedName>
    <definedName name="ㅗㅎ러ㅗㅎ럴호" localSheetId="8" hidden="1">{#N/A,#N/A,FALSE,"이태원철근"}</definedName>
    <definedName name="ㅗㅎ러ㅗㅎ럴호" hidden="1">{#N/A,#N/A,FALSE,"이태원철근"}</definedName>
    <definedName name="ㅗㅎㅈㅈㅈㅈㅈㅈㅈㅈ" localSheetId="11" hidden="1">{#N/A,#N/A,FALSE,"이태원철근"}</definedName>
    <definedName name="ㅗㅎㅈㅈㅈㅈㅈㅈㅈㅈ" localSheetId="12" hidden="1">{#N/A,#N/A,FALSE,"이태원철근"}</definedName>
    <definedName name="ㅗㅎㅈㅈㅈㅈㅈㅈㅈㅈ" localSheetId="13" hidden="1">{#N/A,#N/A,FALSE,"이태원철근"}</definedName>
    <definedName name="ㅗㅎㅈㅈㅈㅈㅈㅈㅈㅈ" localSheetId="8" hidden="1">{#N/A,#N/A,FALSE,"이태원철근"}</definedName>
    <definedName name="ㅗㅎㅈㅈㅈㅈㅈㅈㅈㅈ" hidden="1">{#N/A,#N/A,FALSE,"이태원철근"}</definedName>
    <definedName name="ㅗㅓㅏㅣㅗㅓㅏㅣ" localSheetId="11" hidden="1">{#N/A,#N/A,FALSE,"이태원철근"}</definedName>
    <definedName name="ㅗㅓㅏㅣㅗㅓㅏㅣ" localSheetId="12" hidden="1">{#N/A,#N/A,FALSE,"이태원철근"}</definedName>
    <definedName name="ㅗㅓㅏㅣㅗㅓㅏㅣ" localSheetId="13" hidden="1">{#N/A,#N/A,FALSE,"이태원철근"}</definedName>
    <definedName name="ㅗㅓㅏㅣㅗㅓㅏㅣ" localSheetId="8" hidden="1">{#N/A,#N/A,FALSE,"이태원철근"}</definedName>
    <definedName name="ㅗㅓㅏㅣㅗㅓㅏㅣ" hidden="1">{#N/A,#N/A,FALSE,"이태원철근"}</definedName>
    <definedName name="ㅗㅗㅗㅗㅗㅗㅗㅗ" localSheetId="11" hidden="1">{#N/A,#N/A,FALSE,"이태원철근"}</definedName>
    <definedName name="ㅗㅗㅗㅗㅗㅗㅗㅗ" localSheetId="12" hidden="1">{#N/A,#N/A,FALSE,"이태원철근"}</definedName>
    <definedName name="ㅗㅗㅗㅗㅗㅗㅗㅗ" localSheetId="13" hidden="1">{#N/A,#N/A,FALSE,"이태원철근"}</definedName>
    <definedName name="ㅗㅗㅗㅗㅗㅗㅗㅗ" localSheetId="8" hidden="1">{#N/A,#N/A,FALSE,"이태원철근"}</definedName>
    <definedName name="ㅗㅗㅗㅗㅗㅗㅗㅗ" hidden="1">{#N/A,#N/A,FALSE,"이태원철근"}</definedName>
    <definedName name="ㅗㅠㄱㅈ" localSheetId="11" hidden="1">{#N/A,#N/A,FALSE,"이태원철근"}</definedName>
    <definedName name="ㅗㅠㄱㅈ" localSheetId="12" hidden="1">{#N/A,#N/A,FALSE,"이태원철근"}</definedName>
    <definedName name="ㅗㅠㄱㅈ" localSheetId="13" hidden="1">{#N/A,#N/A,FALSE,"이태원철근"}</definedName>
    <definedName name="ㅗㅠㄱㅈ" localSheetId="8" hidden="1">{#N/A,#N/A,FALSE,"이태원철근"}</definedName>
    <definedName name="ㅗㅠㄱㅈ" hidden="1">{#N/A,#N/A,FALSE,"이태원철근"}</definedName>
    <definedName name="ㅛ" localSheetId="11" hidden="1">{#N/A,#N/A,FALSE,"이태원철근"}</definedName>
    <definedName name="ㅛ" localSheetId="12" hidden="1">{#N/A,#N/A,FALSE,"이태원철근"}</definedName>
    <definedName name="ㅛ" localSheetId="13" hidden="1">{#N/A,#N/A,FALSE,"이태원철근"}</definedName>
    <definedName name="ㅛ" localSheetId="8" hidden="1">{#N/A,#N/A,FALSE,"이태원철근"}</definedName>
    <definedName name="ㅛ" hidden="1">{#N/A,#N/A,FALSE,"이태원철근"}</definedName>
    <definedName name="ㅛ셔쇼려ㅛ셔" localSheetId="11" hidden="1">{#N/A,#N/A,FALSE,"이태원철근"}</definedName>
    <definedName name="ㅛ셔쇼려ㅛ셔" localSheetId="12" hidden="1">{#N/A,#N/A,FALSE,"이태원철근"}</definedName>
    <definedName name="ㅛ셔쇼려ㅛ셔" localSheetId="13" hidden="1">{#N/A,#N/A,FALSE,"이태원철근"}</definedName>
    <definedName name="ㅛ셔쇼려ㅛ셔" localSheetId="8" hidden="1">{#N/A,#N/A,FALSE,"이태원철근"}</definedName>
    <definedName name="ㅛ셔쇼려ㅛ셔" hidden="1">{#N/A,#N/A,FALSE,"이태원철근"}</definedName>
    <definedName name="ㅛ셔ㅛ셔ㅛ쇼ㅕ" localSheetId="11" hidden="1">{#N/A,#N/A,FALSE,"이태원철근"}</definedName>
    <definedName name="ㅛ셔ㅛ셔ㅛ쇼ㅕ" localSheetId="12" hidden="1">{#N/A,#N/A,FALSE,"이태원철근"}</definedName>
    <definedName name="ㅛ셔ㅛ셔ㅛ쇼ㅕ" localSheetId="13" hidden="1">{#N/A,#N/A,FALSE,"이태원철근"}</definedName>
    <definedName name="ㅛ셔ㅛ셔ㅛ쇼ㅕ" localSheetId="8" hidden="1">{#N/A,#N/A,FALSE,"이태원철근"}</definedName>
    <definedName name="ㅛ셔ㅛ셔ㅛ쇼ㅕ" hidden="1">{#N/A,#N/A,FALSE,"이태원철근"}</definedName>
    <definedName name="ㅛㅗㄹ호ㅓㅎㅅㄹ" localSheetId="11" hidden="1">{#N/A,#N/A,FALSE,"이태원철근"}</definedName>
    <definedName name="ㅛㅗㄹ호ㅓㅎㅅㄹ" localSheetId="12" hidden="1">{#N/A,#N/A,FALSE,"이태원철근"}</definedName>
    <definedName name="ㅛㅗㄹ호ㅓㅎㅅㄹ" localSheetId="13" hidden="1">{#N/A,#N/A,FALSE,"이태원철근"}</definedName>
    <definedName name="ㅛㅗㄹ호ㅓㅎㅅㄹ" localSheetId="8" hidden="1">{#N/A,#N/A,FALSE,"이태원철근"}</definedName>
    <definedName name="ㅛㅗㄹ호ㅓㅎㅅㄹ" hidden="1">{#N/A,#N/A,FALSE,"이태원철근"}</definedName>
    <definedName name="ㅜㅀㄴㅇ" localSheetId="11" hidden="1">{#N/A,#N/A,FALSE,"이태원철근"}</definedName>
    <definedName name="ㅜㅀㄴㅇ" localSheetId="12" hidden="1">{#N/A,#N/A,FALSE,"이태원철근"}</definedName>
    <definedName name="ㅜㅀㄴㅇ" localSheetId="13" hidden="1">{#N/A,#N/A,FALSE,"이태원철근"}</definedName>
    <definedName name="ㅜㅀㄴㅇ" localSheetId="8" hidden="1">{#N/A,#N/A,FALSE,"이태원철근"}</definedName>
    <definedName name="ㅜㅀㄴㅇ" hidden="1">{#N/A,#N/A,FALSE,"이태원철근"}</definedName>
    <definedName name="ㅜㅂㅂㅂㅂㅂㅂ" localSheetId="11" hidden="1">{#N/A,#N/A,FALSE,"이태원철근"}</definedName>
    <definedName name="ㅜㅂㅂㅂㅂㅂㅂ" localSheetId="12" hidden="1">{#N/A,#N/A,FALSE,"이태원철근"}</definedName>
    <definedName name="ㅜㅂㅂㅂㅂㅂㅂ" localSheetId="13" hidden="1">{#N/A,#N/A,FALSE,"이태원철근"}</definedName>
    <definedName name="ㅜㅂㅂㅂㅂㅂㅂ" localSheetId="8" hidden="1">{#N/A,#N/A,FALSE,"이태원철근"}</definedName>
    <definedName name="ㅜㅂㅂㅂㅂㅂㅂ" hidden="1">{#N/A,#N/A,FALSE,"이태원철근"}</definedName>
    <definedName name="ㅜㅂㅂㅂㅂㅂㅂㅂㅂㅂㅂㅂ" localSheetId="11" hidden="1">{#N/A,#N/A,FALSE,"이태원철근"}</definedName>
    <definedName name="ㅜㅂㅂㅂㅂㅂㅂㅂㅂㅂㅂㅂ" localSheetId="12" hidden="1">{#N/A,#N/A,FALSE,"이태원철근"}</definedName>
    <definedName name="ㅜㅂㅂㅂㅂㅂㅂㅂㅂㅂㅂㅂ" localSheetId="13" hidden="1">{#N/A,#N/A,FALSE,"이태원철근"}</definedName>
    <definedName name="ㅜㅂㅂㅂㅂㅂㅂㅂㅂㅂㅂㅂ" localSheetId="8" hidden="1">{#N/A,#N/A,FALSE,"이태원철근"}</definedName>
    <definedName name="ㅜㅂㅂㅂㅂㅂㅂㅂㅂㅂㅂㅂ" hidden="1">{#N/A,#N/A,FALSE,"이태원철근"}</definedName>
    <definedName name="ㅜㅅㅎㄹㅇ" localSheetId="11" hidden="1">{#N/A,#N/A,FALSE,"이태원철근"}</definedName>
    <definedName name="ㅜㅅㅎㄹㅇ" localSheetId="12" hidden="1">{#N/A,#N/A,FALSE,"이태원철근"}</definedName>
    <definedName name="ㅜㅅㅎㄹㅇ" localSheetId="13" hidden="1">{#N/A,#N/A,FALSE,"이태원철근"}</definedName>
    <definedName name="ㅜㅅㅎㄹㅇ" localSheetId="8" hidden="1">{#N/A,#N/A,FALSE,"이태원철근"}</definedName>
    <definedName name="ㅜㅅㅎㄹㅇ" hidden="1">{#N/A,#N/A,FALSE,"이태원철근"}</definedName>
    <definedName name="ㅜㅍ츄ㅜㅠㅍ춫ㅍ" localSheetId="11" hidden="1">{#N/A,#N/A,FALSE,"이태원철근"}</definedName>
    <definedName name="ㅜㅍ츄ㅜㅠㅍ춫ㅍ" localSheetId="12" hidden="1">{#N/A,#N/A,FALSE,"이태원철근"}</definedName>
    <definedName name="ㅜㅍ츄ㅜㅠㅍ춫ㅍ" localSheetId="13" hidden="1">{#N/A,#N/A,FALSE,"이태원철근"}</definedName>
    <definedName name="ㅜㅍ츄ㅜㅠㅍ춫ㅍ" localSheetId="8" hidden="1">{#N/A,#N/A,FALSE,"이태원철근"}</definedName>
    <definedName name="ㅜㅍ츄ㅜㅠㅍ춫ㅍ" hidden="1">{#N/A,#N/A,FALSE,"이태원철근"}</definedName>
    <definedName name="ㅠㄷ" localSheetId="11" hidden="1">{#N/A,#N/A,FALSE,"이태원철근"}</definedName>
    <definedName name="ㅠㄷ" localSheetId="12" hidden="1">{#N/A,#N/A,FALSE,"이태원철근"}</definedName>
    <definedName name="ㅠㄷ" localSheetId="13" hidden="1">{#N/A,#N/A,FALSE,"이태원철근"}</definedName>
    <definedName name="ㅠㄷ" localSheetId="8" hidden="1">{#N/A,#N/A,FALSE,"이태원철근"}</definedName>
    <definedName name="ㅠㄷ" hidden="1">{#N/A,#N/A,FALSE,"이태원철근"}</definedName>
    <definedName name="ㅠㄹㄴ" localSheetId="11" hidden="1">{#N/A,#N/A,FALSE,"이태원철근"}</definedName>
    <definedName name="ㅠㄹㄴ" localSheetId="12" hidden="1">{#N/A,#N/A,FALSE,"이태원철근"}</definedName>
    <definedName name="ㅠㄹㄴ" localSheetId="13" hidden="1">{#N/A,#N/A,FALSE,"이태원철근"}</definedName>
    <definedName name="ㅠㄹㄴ" localSheetId="8" hidden="1">{#N/A,#N/A,FALSE,"이태원철근"}</definedName>
    <definedName name="ㅠㄹㄴ" hidden="1">{#N/A,#N/A,FALSE,"이태원철근"}</definedName>
    <definedName name="ㅠㄹㅈㅈ" localSheetId="11" hidden="1">{#N/A,#N/A,FALSE,"이태원철근"}</definedName>
    <definedName name="ㅠㄹㅈㅈ" localSheetId="12" hidden="1">{#N/A,#N/A,FALSE,"이태원철근"}</definedName>
    <definedName name="ㅠㄹㅈㅈ" localSheetId="13" hidden="1">{#N/A,#N/A,FALSE,"이태원철근"}</definedName>
    <definedName name="ㅠㄹㅈㅈ" localSheetId="8" hidden="1">{#N/A,#N/A,FALSE,"이태원철근"}</definedName>
    <definedName name="ㅠㄹㅈㅈ" hidden="1">{#N/A,#N/A,FALSE,"이태원철근"}</definedName>
    <definedName name="ㅠㅂㄷ" localSheetId="11" hidden="1">{#N/A,#N/A,FALSE,"이태원철근"}</definedName>
    <definedName name="ㅠㅂㄷ" localSheetId="12" hidden="1">{#N/A,#N/A,FALSE,"이태원철근"}</definedName>
    <definedName name="ㅠㅂㄷ" localSheetId="13" hidden="1">{#N/A,#N/A,FALSE,"이태원철근"}</definedName>
    <definedName name="ㅠㅂㄷ" localSheetId="8" hidden="1">{#N/A,#N/A,FALSE,"이태원철근"}</definedName>
    <definedName name="ㅠㅂㄷ" hidden="1">{#N/A,#N/A,FALSE,"이태원철근"}</definedName>
    <definedName name="ㅠㅇㄹㅈ" localSheetId="11" hidden="1">{#N/A,#N/A,FALSE,"이태원철근"}</definedName>
    <definedName name="ㅠㅇㄹㅈ" localSheetId="12" hidden="1">{#N/A,#N/A,FALSE,"이태원철근"}</definedName>
    <definedName name="ㅠㅇㄹㅈ" localSheetId="13" hidden="1">{#N/A,#N/A,FALSE,"이태원철근"}</definedName>
    <definedName name="ㅠㅇㄹㅈ" localSheetId="8" hidden="1">{#N/A,#N/A,FALSE,"이태원철근"}</definedName>
    <definedName name="ㅠㅇㄹㅈ" hidden="1">{#N/A,#N/A,FALSE,"이태원철근"}</definedName>
    <definedName name="ㅠㅗㄱㅈ" localSheetId="11" hidden="1">{#N/A,#N/A,FALSE,"이태원철근"}</definedName>
    <definedName name="ㅠㅗㄱㅈ" localSheetId="12" hidden="1">{#N/A,#N/A,FALSE,"이태원철근"}</definedName>
    <definedName name="ㅠㅗㄱㅈ" localSheetId="13" hidden="1">{#N/A,#N/A,FALSE,"이태원철근"}</definedName>
    <definedName name="ㅠㅗㄱㅈ" localSheetId="8" hidden="1">{#N/A,#N/A,FALSE,"이태원철근"}</definedName>
    <definedName name="ㅠㅗㄱㅈ" hidden="1">{#N/A,#N/A,FALSE,"이태원철근"}</definedName>
    <definedName name="ㅠㅗㄱㅈㅈㅈ" localSheetId="11" hidden="1">{#N/A,#N/A,FALSE,"이태원철근"}</definedName>
    <definedName name="ㅠㅗㄱㅈㅈㅈ" localSheetId="12" hidden="1">{#N/A,#N/A,FALSE,"이태원철근"}</definedName>
    <definedName name="ㅠㅗㄱㅈㅈㅈ" localSheetId="13" hidden="1">{#N/A,#N/A,FALSE,"이태원철근"}</definedName>
    <definedName name="ㅠㅗㄱㅈㅈㅈ" localSheetId="8" hidden="1">{#N/A,#N/A,FALSE,"이태원철근"}</definedName>
    <definedName name="ㅠㅗㄱㅈㅈㅈ" hidden="1">{#N/A,#N/A,FALSE,"이태원철근"}</definedName>
    <definedName name="ㅠㅗㅅㄱ" localSheetId="11" hidden="1">{#N/A,#N/A,FALSE,"이태원철근"}</definedName>
    <definedName name="ㅠㅗㅅㄱ" localSheetId="12" hidden="1">{#N/A,#N/A,FALSE,"이태원철근"}</definedName>
    <definedName name="ㅠㅗㅅㄱ" localSheetId="13" hidden="1">{#N/A,#N/A,FALSE,"이태원철근"}</definedName>
    <definedName name="ㅠㅗㅅㄱ" localSheetId="8" hidden="1">{#N/A,#N/A,FALSE,"이태원철근"}</definedName>
    <definedName name="ㅠㅗㅅㄱ" hidden="1">{#N/A,#N/A,FALSE,"이태원철근"}</definedName>
    <definedName name="ㅡ" localSheetId="11" hidden="1">{#N/A,#N/A,FALSE,"이태원철근"}</definedName>
    <definedName name="ㅡ" localSheetId="12" hidden="1">{#N/A,#N/A,FALSE,"이태원철근"}</definedName>
    <definedName name="ㅡ" localSheetId="13" hidden="1">{#N/A,#N/A,FALSE,"이태원철근"}</definedName>
    <definedName name="ㅡ" localSheetId="8" hidden="1">{#N/A,#N/A,FALSE,"이태원철근"}</definedName>
    <definedName name="ㅡ" hidden="1">{#N/A,#N/A,FALSE,"이태원철근"}</definedName>
    <definedName name="ㅣ" localSheetId="11" hidden="1">{#N/A,#N/A,FALSE,"이태원철근"}</definedName>
    <definedName name="ㅣ" localSheetId="12" hidden="1">{#N/A,#N/A,FALSE,"이태원철근"}</definedName>
    <definedName name="ㅣ" localSheetId="13" hidden="1">{#N/A,#N/A,FALSE,"이태원철근"}</definedName>
    <definedName name="ㅣ" localSheetId="8" hidden="1">{#N/A,#N/A,FALSE,"이태원철근"}</definedName>
    <definedName name="ㅣ" hidden="1">{#N/A,#N/A,FALSE,"이태원철근"}</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21" i="14" l="1"/>
  <c r="H121" i="14"/>
  <c r="F121" i="14"/>
  <c r="E121" i="14"/>
  <c r="L120" i="14"/>
  <c r="L119" i="14"/>
  <c r="L118" i="14"/>
  <c r="L117" i="14"/>
  <c r="L116" i="14"/>
  <c r="H115" i="14"/>
  <c r="F114" i="14"/>
  <c r="I114" i="14" s="1"/>
  <c r="I113" i="14"/>
  <c r="F113" i="14"/>
  <c r="L113" i="14" s="1"/>
  <c r="L112" i="14"/>
  <c r="I112" i="14"/>
  <c r="F112" i="14"/>
  <c r="N111" i="14"/>
  <c r="L111" i="14"/>
  <c r="I111" i="14"/>
  <c r="N110" i="14"/>
  <c r="L110" i="14"/>
  <c r="I110" i="14"/>
  <c r="N109" i="14"/>
  <c r="L109" i="14"/>
  <c r="I109" i="14"/>
  <c r="F107" i="14"/>
  <c r="L106" i="14"/>
  <c r="I106" i="14"/>
  <c r="F106" i="14"/>
  <c r="F104" i="14"/>
  <c r="N103" i="14"/>
  <c r="L103" i="14"/>
  <c r="I103" i="14"/>
  <c r="N102" i="14"/>
  <c r="L102" i="14"/>
  <c r="I102" i="14"/>
  <c r="N101" i="14"/>
  <c r="L101" i="14"/>
  <c r="I101" i="14"/>
  <c r="L99" i="14"/>
  <c r="F99" i="14"/>
  <c r="I99" i="14" s="1"/>
  <c r="I98" i="14"/>
  <c r="F98" i="14"/>
  <c r="L98" i="14" s="1"/>
  <c r="F96" i="14"/>
  <c r="N95" i="14"/>
  <c r="L95" i="14"/>
  <c r="I95" i="14"/>
  <c r="N94" i="14"/>
  <c r="L94" i="14"/>
  <c r="I94" i="14"/>
  <c r="N93" i="14"/>
  <c r="L93" i="14"/>
  <c r="I93" i="14"/>
  <c r="L92" i="14"/>
  <c r="L87" i="14"/>
  <c r="L86" i="14"/>
  <c r="L85" i="14"/>
  <c r="L84" i="14"/>
  <c r="L83" i="14"/>
  <c r="L82" i="14"/>
  <c r="L77" i="14"/>
  <c r="I77" i="14"/>
  <c r="N75" i="14"/>
  <c r="L75" i="14"/>
  <c r="I75" i="14"/>
  <c r="N74" i="14"/>
  <c r="L74" i="14"/>
  <c r="I74" i="14"/>
  <c r="N73" i="14"/>
  <c r="L73" i="14"/>
  <c r="I73" i="14"/>
  <c r="F72" i="14"/>
  <c r="L72" i="14" s="1"/>
  <c r="N71" i="14"/>
  <c r="L71" i="14"/>
  <c r="N70" i="14"/>
  <c r="L70" i="14"/>
  <c r="N58" i="14"/>
  <c r="L58" i="14"/>
  <c r="I58" i="14"/>
  <c r="N57" i="14"/>
  <c r="L57" i="14"/>
  <c r="I57" i="14"/>
  <c r="N50" i="14"/>
  <c r="L50" i="14"/>
  <c r="I50" i="14"/>
  <c r="N49" i="14"/>
  <c r="L49" i="14"/>
  <c r="I49" i="14"/>
  <c r="N37" i="14"/>
  <c r="L37" i="14"/>
  <c r="I37" i="14"/>
  <c r="N36" i="14"/>
  <c r="L36" i="14"/>
  <c r="I36" i="14"/>
  <c r="K35" i="14"/>
  <c r="H35" i="14"/>
  <c r="E35" i="14"/>
  <c r="C35" i="14"/>
  <c r="K34" i="14"/>
  <c r="H34" i="14"/>
  <c r="E34" i="14"/>
  <c r="C34" i="14"/>
  <c r="N33" i="14"/>
  <c r="L33" i="14"/>
  <c r="K33" i="14"/>
  <c r="I33" i="14"/>
  <c r="H33" i="14"/>
  <c r="E33" i="14"/>
  <c r="C33" i="14"/>
  <c r="K32" i="14"/>
  <c r="H32" i="14"/>
  <c r="E32" i="14"/>
  <c r="C32" i="14"/>
  <c r="K31" i="14"/>
  <c r="H31" i="14"/>
  <c r="E31" i="14"/>
  <c r="C31" i="14"/>
  <c r="L30" i="14"/>
  <c r="C30" i="14"/>
  <c r="L29" i="14"/>
  <c r="C29" i="14"/>
  <c r="L28" i="14"/>
  <c r="L27" i="14"/>
  <c r="L26" i="14"/>
  <c r="L25" i="14"/>
  <c r="I24" i="14"/>
  <c r="C24" i="14"/>
  <c r="I23" i="14"/>
  <c r="C23" i="14"/>
  <c r="I22" i="14"/>
  <c r="C22" i="14"/>
  <c r="F21" i="14"/>
  <c r="I21" i="14" s="1"/>
  <c r="C21" i="14"/>
  <c r="N20" i="14"/>
  <c r="L20" i="14"/>
  <c r="I20" i="14"/>
  <c r="C20" i="14"/>
  <c r="N19" i="14"/>
  <c r="L19" i="14"/>
  <c r="I19" i="14"/>
  <c r="C18" i="14"/>
  <c r="C17" i="14"/>
  <c r="C16" i="14"/>
  <c r="C15" i="14"/>
  <c r="C14" i="14"/>
  <c r="C13" i="14"/>
  <c r="N12" i="14"/>
  <c r="L12" i="14"/>
  <c r="I12" i="14"/>
  <c r="C12" i="14"/>
  <c r="N11" i="14"/>
  <c r="L11" i="14"/>
  <c r="I11" i="14"/>
  <c r="L10" i="14"/>
  <c r="I10" i="14"/>
  <c r="F10" i="14"/>
  <c r="L9" i="14"/>
  <c r="I9" i="14"/>
  <c r="F9" i="14"/>
  <c r="O3" i="14"/>
  <c r="B3" i="14"/>
  <c r="K121" i="13"/>
  <c r="H121" i="13"/>
  <c r="F121" i="13"/>
  <c r="E121" i="13"/>
  <c r="L120" i="13"/>
  <c r="L119" i="13"/>
  <c r="L118" i="13"/>
  <c r="L117" i="13"/>
  <c r="L116" i="13"/>
  <c r="F115" i="13"/>
  <c r="F114" i="13"/>
  <c r="I114" i="13" s="1"/>
  <c r="L113" i="13"/>
  <c r="I113" i="13"/>
  <c r="F113" i="13"/>
  <c r="L112" i="13"/>
  <c r="I112" i="13"/>
  <c r="F112" i="13"/>
  <c r="N111" i="13"/>
  <c r="L111" i="13"/>
  <c r="I111" i="13"/>
  <c r="N110" i="13"/>
  <c r="L110" i="13"/>
  <c r="I110" i="13"/>
  <c r="N109" i="13"/>
  <c r="L109" i="13"/>
  <c r="I109" i="13"/>
  <c r="L107" i="13"/>
  <c r="I107" i="13"/>
  <c r="F107" i="13"/>
  <c r="L106" i="13"/>
  <c r="I106" i="13"/>
  <c r="F106" i="13"/>
  <c r="F104" i="13"/>
  <c r="N103" i="13"/>
  <c r="L103" i="13"/>
  <c r="I103" i="13"/>
  <c r="N102" i="13"/>
  <c r="L102" i="13"/>
  <c r="I102" i="13"/>
  <c r="N101" i="13"/>
  <c r="L101" i="13"/>
  <c r="I101" i="13"/>
  <c r="F99" i="13"/>
  <c r="I99" i="13" s="1"/>
  <c r="I98" i="13"/>
  <c r="F98" i="13"/>
  <c r="L98" i="13" s="1"/>
  <c r="L96" i="13"/>
  <c r="I96" i="13"/>
  <c r="F96" i="13"/>
  <c r="N95" i="13"/>
  <c r="L95" i="13"/>
  <c r="I95" i="13"/>
  <c r="N94" i="13"/>
  <c r="L94" i="13"/>
  <c r="I94" i="13"/>
  <c r="N93" i="13"/>
  <c r="L93" i="13"/>
  <c r="I93" i="13"/>
  <c r="L87" i="13"/>
  <c r="L86" i="13"/>
  <c r="L85" i="13"/>
  <c r="L84" i="13"/>
  <c r="L83" i="13"/>
  <c r="L82" i="13"/>
  <c r="E81" i="13"/>
  <c r="M78" i="13"/>
  <c r="L77" i="13"/>
  <c r="I77" i="13"/>
  <c r="N75" i="13"/>
  <c r="L75" i="13"/>
  <c r="I75" i="13"/>
  <c r="N74" i="13"/>
  <c r="L74" i="13"/>
  <c r="I74" i="13"/>
  <c r="N73" i="13"/>
  <c r="L73" i="13"/>
  <c r="I73" i="13"/>
  <c r="I72" i="13"/>
  <c r="F72" i="13"/>
  <c r="L72" i="13" s="1"/>
  <c r="N71" i="13"/>
  <c r="L71" i="13"/>
  <c r="N70" i="13"/>
  <c r="L70" i="13"/>
  <c r="N58" i="13"/>
  <c r="L58" i="13"/>
  <c r="I58" i="13"/>
  <c r="N57" i="13"/>
  <c r="L57" i="13"/>
  <c r="I57" i="13"/>
  <c r="M56" i="13"/>
  <c r="K56" i="13"/>
  <c r="M55" i="13"/>
  <c r="K55" i="13"/>
  <c r="M54" i="13"/>
  <c r="K54" i="13"/>
  <c r="M53" i="13"/>
  <c r="K53" i="13"/>
  <c r="M52" i="13"/>
  <c r="K52" i="13"/>
  <c r="M51" i="13"/>
  <c r="K51" i="13"/>
  <c r="N50" i="13"/>
  <c r="L50" i="13"/>
  <c r="I50" i="13"/>
  <c r="N49" i="13"/>
  <c r="L49" i="13"/>
  <c r="I49" i="13"/>
  <c r="M47" i="13"/>
  <c r="K47" i="13"/>
  <c r="M46" i="13"/>
  <c r="K46" i="13"/>
  <c r="M45" i="13"/>
  <c r="K45" i="13"/>
  <c r="M44" i="13"/>
  <c r="K44" i="13"/>
  <c r="E44" i="13"/>
  <c r="N37" i="13"/>
  <c r="L37" i="13"/>
  <c r="I37" i="13"/>
  <c r="N36" i="13"/>
  <c r="L36" i="13"/>
  <c r="I36" i="13"/>
  <c r="H35" i="13"/>
  <c r="E35" i="13"/>
  <c r="C35" i="13"/>
  <c r="H34" i="13"/>
  <c r="E34" i="13"/>
  <c r="C34" i="13"/>
  <c r="N33" i="13"/>
  <c r="L33" i="13"/>
  <c r="K33" i="13"/>
  <c r="I33" i="13"/>
  <c r="E33" i="13"/>
  <c r="C33" i="13"/>
  <c r="H32" i="13"/>
  <c r="E32" i="13"/>
  <c r="C32" i="13"/>
  <c r="H31" i="13"/>
  <c r="E31" i="13"/>
  <c r="C31" i="13"/>
  <c r="L30" i="13"/>
  <c r="C30" i="13"/>
  <c r="L29" i="13"/>
  <c r="C29" i="13"/>
  <c r="L28" i="13"/>
  <c r="L27" i="13"/>
  <c r="L26" i="13"/>
  <c r="L25" i="13"/>
  <c r="M24" i="13"/>
  <c r="L24" i="13"/>
  <c r="I24" i="13"/>
  <c r="C24" i="13"/>
  <c r="M23" i="13"/>
  <c r="L23" i="13"/>
  <c r="I23" i="13"/>
  <c r="C23" i="13"/>
  <c r="M22" i="13"/>
  <c r="L22" i="13"/>
  <c r="I22" i="13"/>
  <c r="C22" i="13"/>
  <c r="M21" i="13"/>
  <c r="F21" i="13"/>
  <c r="C21" i="13"/>
  <c r="N20" i="13"/>
  <c r="L20" i="13"/>
  <c r="I20" i="13"/>
  <c r="C20" i="13"/>
  <c r="N19" i="13"/>
  <c r="I19" i="13"/>
  <c r="L19" i="13" s="1"/>
  <c r="C18" i="13"/>
  <c r="C17" i="13"/>
  <c r="M16" i="13"/>
  <c r="K16" i="13"/>
  <c r="C16" i="13"/>
  <c r="M15" i="13"/>
  <c r="K15" i="13"/>
  <c r="C15" i="13"/>
  <c r="M14" i="13"/>
  <c r="K14" i="13"/>
  <c r="C14" i="13"/>
  <c r="M13" i="13"/>
  <c r="K13" i="13"/>
  <c r="C13" i="13"/>
  <c r="N12" i="13"/>
  <c r="L12" i="13"/>
  <c r="J12" i="13"/>
  <c r="I12" i="13"/>
  <c r="C12" i="13"/>
  <c r="J11" i="13"/>
  <c r="N11" i="13" s="1"/>
  <c r="I11" i="13"/>
  <c r="L11" i="13" s="1"/>
  <c r="M10" i="13"/>
  <c r="L10" i="13"/>
  <c r="K10" i="13"/>
  <c r="F10" i="13"/>
  <c r="I10" i="13" s="1"/>
  <c r="M9" i="13"/>
  <c r="L9" i="13"/>
  <c r="K9" i="13"/>
  <c r="I9" i="13"/>
  <c r="F9" i="13"/>
  <c r="O3" i="13"/>
  <c r="B3" i="13"/>
  <c r="K129" i="12"/>
  <c r="F129" i="12"/>
  <c r="G120" i="12"/>
  <c r="J118" i="12"/>
  <c r="H118" i="12"/>
  <c r="G118" i="12"/>
  <c r="F118" i="12"/>
  <c r="I118" i="12" s="1"/>
  <c r="E118" i="12"/>
  <c r="I117" i="12"/>
  <c r="I116" i="12"/>
  <c r="I115" i="12"/>
  <c r="I114" i="12"/>
  <c r="I113" i="12"/>
  <c r="H112" i="12"/>
  <c r="F111" i="12"/>
  <c r="I111" i="12" s="1"/>
  <c r="I110" i="12"/>
  <c r="H110" i="12"/>
  <c r="F110" i="12"/>
  <c r="J109" i="12"/>
  <c r="I109" i="12"/>
  <c r="F109" i="12"/>
  <c r="I108" i="12"/>
  <c r="I107" i="12"/>
  <c r="I106" i="12"/>
  <c r="F105" i="12"/>
  <c r="I105" i="12" s="1"/>
  <c r="J104" i="12"/>
  <c r="F104" i="12"/>
  <c r="I104" i="12" s="1"/>
  <c r="F103" i="12"/>
  <c r="I103" i="12" s="1"/>
  <c r="F101" i="12"/>
  <c r="I101" i="12" s="1"/>
  <c r="I100" i="12"/>
  <c r="I99" i="12"/>
  <c r="I98" i="12"/>
  <c r="H97" i="12"/>
  <c r="F96" i="12"/>
  <c r="I96" i="12" s="1"/>
  <c r="F95" i="12"/>
  <c r="I95" i="12" s="1"/>
  <c r="I93" i="12"/>
  <c r="F93" i="12"/>
  <c r="I92" i="12"/>
  <c r="I91" i="12"/>
  <c r="I90" i="12"/>
  <c r="I84" i="12"/>
  <c r="I83" i="12"/>
  <c r="I82" i="12"/>
  <c r="I81" i="12"/>
  <c r="I80" i="12"/>
  <c r="I79" i="12"/>
  <c r="J78" i="12"/>
  <c r="I77" i="12"/>
  <c r="I75" i="12"/>
  <c r="I74" i="12"/>
  <c r="I73" i="12"/>
  <c r="I72" i="12"/>
  <c r="F72" i="12"/>
  <c r="I71" i="12"/>
  <c r="I70" i="12"/>
  <c r="E69" i="12"/>
  <c r="I58" i="12"/>
  <c r="I57" i="12"/>
  <c r="J56" i="12"/>
  <c r="J55" i="12"/>
  <c r="J54" i="12"/>
  <c r="J53" i="12"/>
  <c r="J52" i="12"/>
  <c r="J51" i="12"/>
  <c r="I50" i="12"/>
  <c r="I49" i="12"/>
  <c r="J47" i="12"/>
  <c r="E47" i="12"/>
  <c r="J46" i="12"/>
  <c r="J45" i="12"/>
  <c r="J44" i="12"/>
  <c r="I37" i="12"/>
  <c r="I36" i="12"/>
  <c r="E35" i="12"/>
  <c r="C35" i="12"/>
  <c r="E34" i="12"/>
  <c r="C34" i="12"/>
  <c r="I33" i="12"/>
  <c r="H33" i="12"/>
  <c r="E33" i="12"/>
  <c r="C33" i="12"/>
  <c r="E32" i="12"/>
  <c r="C32" i="12"/>
  <c r="E31" i="12"/>
  <c r="C31" i="12"/>
  <c r="I30" i="12"/>
  <c r="C30" i="12"/>
  <c r="I29" i="12"/>
  <c r="C29" i="12"/>
  <c r="I28" i="12"/>
  <c r="I27" i="12"/>
  <c r="I26" i="12"/>
  <c r="I25" i="12"/>
  <c r="J24" i="12"/>
  <c r="C24" i="12"/>
  <c r="J23" i="12"/>
  <c r="C23" i="12"/>
  <c r="J22" i="12"/>
  <c r="C22" i="12"/>
  <c r="J21" i="12"/>
  <c r="F21" i="12"/>
  <c r="C21" i="12"/>
  <c r="I20" i="12"/>
  <c r="C20" i="12"/>
  <c r="I19" i="12"/>
  <c r="C18" i="12"/>
  <c r="C17" i="12"/>
  <c r="J16" i="12"/>
  <c r="C16" i="12"/>
  <c r="J15" i="12"/>
  <c r="C15" i="12"/>
  <c r="J14" i="12"/>
  <c r="C14" i="12"/>
  <c r="J13" i="12"/>
  <c r="C13" i="12"/>
  <c r="I12" i="12"/>
  <c r="C12" i="12"/>
  <c r="I11" i="12"/>
  <c r="J10" i="12"/>
  <c r="F10" i="12"/>
  <c r="J9" i="12"/>
  <c r="F9" i="12"/>
  <c r="L3" i="12"/>
  <c r="B3" i="12"/>
  <c r="F117" i="11"/>
  <c r="F116" i="11"/>
  <c r="N132" i="14" s="1"/>
  <c r="F115" i="11"/>
  <c r="N132" i="13" s="1"/>
  <c r="F114" i="11"/>
  <c r="F113" i="11"/>
  <c r="AA110" i="11"/>
  <c r="V110" i="11"/>
  <c r="L110" i="11"/>
  <c r="J110" i="11"/>
  <c r="AC109" i="11"/>
  <c r="AB109" i="11"/>
  <c r="AA109" i="11"/>
  <c r="Z109" i="11"/>
  <c r="M121" i="14" s="1"/>
  <c r="M123" i="14" s="1"/>
  <c r="X109" i="11"/>
  <c r="M121" i="13" s="1"/>
  <c r="M123" i="13" s="1"/>
  <c r="T109" i="11"/>
  <c r="T110" i="11" s="1"/>
  <c r="R109" i="11"/>
  <c r="R110" i="11" s="1"/>
  <c r="P109" i="11"/>
  <c r="P110" i="11" s="1"/>
  <c r="N109" i="11"/>
  <c r="G121" i="14" s="1"/>
  <c r="L109" i="11"/>
  <c r="G121" i="13" s="1"/>
  <c r="AA107" i="11"/>
  <c r="Y107" i="11"/>
  <c r="K115" i="14" s="1"/>
  <c r="X107" i="11"/>
  <c r="M115" i="13" s="1"/>
  <c r="W107" i="11"/>
  <c r="K115" i="13" s="1"/>
  <c r="U107" i="11"/>
  <c r="V107" i="11" s="1"/>
  <c r="J112" i="12" s="1"/>
  <c r="T107" i="11"/>
  <c r="S107" i="11"/>
  <c r="Q107" i="11"/>
  <c r="R107" i="11" s="1"/>
  <c r="P107" i="11" s="1"/>
  <c r="O107" i="11"/>
  <c r="H115" i="13" s="1"/>
  <c r="M107" i="11"/>
  <c r="E115" i="14" s="1"/>
  <c r="K107" i="11"/>
  <c r="E115" i="13" s="1"/>
  <c r="J107" i="11"/>
  <c r="G112" i="12" s="1"/>
  <c r="K112" i="12" s="1"/>
  <c r="I107" i="11"/>
  <c r="E112" i="12" s="1"/>
  <c r="G107" i="11"/>
  <c r="F115" i="14" s="1"/>
  <c r="U106" i="11"/>
  <c r="S106" i="11"/>
  <c r="T106" i="11" s="1"/>
  <c r="I106" i="11"/>
  <c r="U105" i="11"/>
  <c r="W105" i="11" s="1"/>
  <c r="K113" i="13" s="1"/>
  <c r="S105" i="11"/>
  <c r="T105" i="11" s="1"/>
  <c r="R105" i="11"/>
  <c r="Q105" i="11"/>
  <c r="P105" i="11"/>
  <c r="O105" i="11"/>
  <c r="J105" i="11"/>
  <c r="G110" i="12" s="1"/>
  <c r="I105" i="11"/>
  <c r="Z104" i="11"/>
  <c r="M112" i="14" s="1"/>
  <c r="Y104" i="11"/>
  <c r="K112" i="14" s="1"/>
  <c r="W104" i="11"/>
  <c r="K112" i="13" s="1"/>
  <c r="V104" i="11"/>
  <c r="U104" i="11"/>
  <c r="H109" i="12" s="1"/>
  <c r="S104" i="11"/>
  <c r="T104" i="11" s="1"/>
  <c r="L104" i="11"/>
  <c r="K104" i="11"/>
  <c r="E112" i="13" s="1"/>
  <c r="I104" i="11"/>
  <c r="U102" i="11"/>
  <c r="T102" i="11"/>
  <c r="S102" i="11"/>
  <c r="G102" i="11"/>
  <c r="V101" i="11"/>
  <c r="U101" i="11"/>
  <c r="H104" i="12" s="1"/>
  <c r="W100" i="11"/>
  <c r="V100" i="11"/>
  <c r="J103" i="12" s="1"/>
  <c r="U100" i="11"/>
  <c r="H103" i="12" s="1"/>
  <c r="S100" i="11"/>
  <c r="T100" i="11" s="1"/>
  <c r="V99" i="11"/>
  <c r="J102" i="12" s="1"/>
  <c r="U99" i="11"/>
  <c r="I99" i="11"/>
  <c r="G99" i="11"/>
  <c r="W98" i="11"/>
  <c r="V98" i="11"/>
  <c r="J101" i="12" s="1"/>
  <c r="U98" i="11"/>
  <c r="S98" i="11"/>
  <c r="T98" i="11" s="1"/>
  <c r="G96" i="11"/>
  <c r="G93" i="11"/>
  <c r="G90" i="11"/>
  <c r="F92" i="14" s="1"/>
  <c r="I92" i="14" s="1"/>
  <c r="G89" i="11"/>
  <c r="G88" i="11"/>
  <c r="G87" i="11"/>
  <c r="G86" i="11"/>
  <c r="AA83" i="11"/>
  <c r="M83" i="11"/>
  <c r="E81" i="14" s="1"/>
  <c r="K83" i="11"/>
  <c r="G83" i="11"/>
  <c r="AA82" i="11"/>
  <c r="Z82" i="11"/>
  <c r="Y82" i="11"/>
  <c r="W82" i="11"/>
  <c r="X82" i="11" s="1"/>
  <c r="U82" i="11"/>
  <c r="V82" i="11" s="1"/>
  <c r="G82" i="11"/>
  <c r="Y81" i="11"/>
  <c r="Z81" i="11" s="1"/>
  <c r="W81" i="11"/>
  <c r="U81" i="11"/>
  <c r="S81" i="11" s="1"/>
  <c r="T81" i="11"/>
  <c r="P81" i="11" s="1"/>
  <c r="AC81" i="11" s="1"/>
  <c r="O81" i="11"/>
  <c r="G81" i="11"/>
  <c r="Y80" i="11"/>
  <c r="Z80" i="11" s="1"/>
  <c r="X80" i="11"/>
  <c r="W80" i="11"/>
  <c r="V80" i="11"/>
  <c r="AA80" i="11" s="1"/>
  <c r="U80" i="11"/>
  <c r="S80" i="11"/>
  <c r="O80" i="11" s="1"/>
  <c r="G80" i="11"/>
  <c r="AA79" i="11"/>
  <c r="U79" i="11"/>
  <c r="P79" i="11"/>
  <c r="G79" i="11"/>
  <c r="G77" i="11"/>
  <c r="G75" i="11"/>
  <c r="X71" i="11"/>
  <c r="V71" i="11"/>
  <c r="U71" i="11"/>
  <c r="W71" i="11" s="1"/>
  <c r="J71" i="11"/>
  <c r="AA71" i="11" s="1"/>
  <c r="I71" i="11"/>
  <c r="W70" i="11"/>
  <c r="X70" i="11" s="1"/>
  <c r="M72" i="13" s="1"/>
  <c r="V70" i="11"/>
  <c r="U70" i="11"/>
  <c r="T70" i="11"/>
  <c r="S70" i="11"/>
  <c r="Q70" i="11"/>
  <c r="O70" i="11" s="1"/>
  <c r="K70" i="11"/>
  <c r="L70" i="11" s="1"/>
  <c r="J70" i="11"/>
  <c r="I70" i="11"/>
  <c r="M70" i="11" s="1"/>
  <c r="N70" i="11" s="1"/>
  <c r="Q68" i="11"/>
  <c r="N68" i="11"/>
  <c r="I68" i="11"/>
  <c r="M68" i="11" s="1"/>
  <c r="E69" i="14" s="1"/>
  <c r="G68" i="11"/>
  <c r="G67" i="11"/>
  <c r="G65" i="11"/>
  <c r="G64" i="11"/>
  <c r="G62" i="11"/>
  <c r="G61" i="11"/>
  <c r="G58" i="11"/>
  <c r="Y57" i="11"/>
  <c r="Q57" i="11"/>
  <c r="O57" i="11" s="1"/>
  <c r="R57" i="11" s="1"/>
  <c r="P57" i="11" s="1"/>
  <c r="N57" i="11"/>
  <c r="M57" i="11"/>
  <c r="E56" i="14" s="1"/>
  <c r="L57" i="11"/>
  <c r="K57" i="11"/>
  <c r="E56" i="13" s="1"/>
  <c r="I57" i="11"/>
  <c r="E56" i="12" s="1"/>
  <c r="G57" i="11"/>
  <c r="Q56" i="11"/>
  <c r="O56" i="11" s="1"/>
  <c r="K56" i="11"/>
  <c r="E55" i="13" s="1"/>
  <c r="I56" i="11"/>
  <c r="G56" i="11"/>
  <c r="I55" i="11"/>
  <c r="G55" i="11"/>
  <c r="Y54" i="11"/>
  <c r="K53" i="14" s="1"/>
  <c r="Q54" i="11"/>
  <c r="O54" i="11"/>
  <c r="M54" i="11"/>
  <c r="E53" i="14" s="1"/>
  <c r="K54" i="11"/>
  <c r="E53" i="13" s="1"/>
  <c r="I54" i="11"/>
  <c r="E53" i="12" s="1"/>
  <c r="G54" i="11"/>
  <c r="Z54" i="11" s="1"/>
  <c r="M53" i="14" s="1"/>
  <c r="I53" i="11"/>
  <c r="G53" i="11"/>
  <c r="J52" i="11"/>
  <c r="I52" i="11"/>
  <c r="G52" i="11"/>
  <c r="G51" i="11"/>
  <c r="Y50" i="11"/>
  <c r="Q50" i="11"/>
  <c r="R50" i="11" s="1"/>
  <c r="P50" i="11" s="1"/>
  <c r="O50" i="11"/>
  <c r="N50" i="11"/>
  <c r="M50" i="11"/>
  <c r="E47" i="14" s="1"/>
  <c r="K50" i="11"/>
  <c r="E47" i="13" s="1"/>
  <c r="I50" i="11"/>
  <c r="J50" i="11" s="1"/>
  <c r="G50" i="11"/>
  <c r="F47" i="12" s="1"/>
  <c r="Y49" i="11"/>
  <c r="Q49" i="11"/>
  <c r="O49" i="11" s="1"/>
  <c r="I49" i="11"/>
  <c r="G49" i="11"/>
  <c r="Y48" i="11"/>
  <c r="K45" i="14" s="1"/>
  <c r="I48" i="11"/>
  <c r="G48" i="11"/>
  <c r="Y47" i="11"/>
  <c r="Q47" i="11"/>
  <c r="O47" i="11" s="1"/>
  <c r="M47" i="11"/>
  <c r="E44" i="14" s="1"/>
  <c r="K47" i="11"/>
  <c r="L47" i="11" s="1"/>
  <c r="I47" i="11"/>
  <c r="J47" i="11" s="1"/>
  <c r="G47" i="11"/>
  <c r="G46" i="11"/>
  <c r="G45" i="11"/>
  <c r="J44" i="11"/>
  <c r="G44" i="11"/>
  <c r="G43" i="11"/>
  <c r="G42" i="11"/>
  <c r="G41" i="11"/>
  <c r="G40" i="11"/>
  <c r="G39" i="11"/>
  <c r="U37" i="11"/>
  <c r="H32" i="12" s="1"/>
  <c r="S37" i="11"/>
  <c r="T37" i="11" s="1"/>
  <c r="G37" i="11"/>
  <c r="W36" i="11"/>
  <c r="K31" i="13" s="1"/>
  <c r="V36" i="11"/>
  <c r="U36" i="11"/>
  <c r="H31" i="12" s="1"/>
  <c r="S36" i="11"/>
  <c r="T36" i="11" s="1"/>
  <c r="G36" i="11"/>
  <c r="G33" i="11"/>
  <c r="G32" i="11"/>
  <c r="F23" i="12" s="1"/>
  <c r="H31" i="11"/>
  <c r="I31" i="11" s="1" a="1"/>
  <c r="I31" i="11" s="1"/>
  <c r="G31" i="11"/>
  <c r="K29" i="11"/>
  <c r="E18" i="13" s="1"/>
  <c r="G28" i="11"/>
  <c r="Y27" i="11"/>
  <c r="K16" i="14" s="1"/>
  <c r="Q27" i="11"/>
  <c r="M27" i="11"/>
  <c r="E16" i="14" s="1"/>
  <c r="K27" i="11"/>
  <c r="E16" i="13" s="1"/>
  <c r="I27" i="11"/>
  <c r="E16" i="12" s="1"/>
  <c r="I25" i="11"/>
  <c r="Y23" i="11"/>
  <c r="N23" i="11"/>
  <c r="M23" i="11"/>
  <c r="E13" i="14" s="1"/>
  <c r="I23" i="11"/>
  <c r="E13" i="12" s="1"/>
  <c r="H22" i="11"/>
  <c r="U51" i="11" s="1" a="1"/>
  <c r="U51" i="11" s="1"/>
  <c r="AD15" i="11"/>
  <c r="A15" i="11"/>
  <c r="H13" i="11"/>
  <c r="H12" i="11"/>
  <c r="H11" i="11"/>
  <c r="H10" i="11"/>
  <c r="H9" i="11"/>
  <c r="H8" i="11"/>
  <c r="H7" i="11"/>
  <c r="H6" i="11"/>
  <c r="H5" i="11"/>
  <c r="H4" i="11"/>
  <c r="AI170" i="10"/>
  <c r="AI168" i="10"/>
  <c r="AI165" i="10"/>
  <c r="AI160" i="10"/>
  <c r="AI159" i="10"/>
  <c r="AI158" i="10"/>
  <c r="AI157" i="10"/>
  <c r="AI156" i="10"/>
  <c r="AI155" i="10"/>
  <c r="AI154" i="10"/>
  <c r="AI153" i="10"/>
  <c r="AI151" i="10"/>
  <c r="AI150" i="10"/>
  <c r="AI149" i="10"/>
  <c r="AI147" i="10"/>
  <c r="AI146" i="10"/>
  <c r="AI143" i="10"/>
  <c r="AI140" i="10"/>
  <c r="AI139" i="10"/>
  <c r="AI138" i="10"/>
  <c r="AI137" i="10"/>
  <c r="AI133" i="10"/>
  <c r="AI130" i="10"/>
  <c r="AI126" i="10"/>
  <c r="AI123" i="10"/>
  <c r="AI120" i="10"/>
  <c r="AI117" i="10"/>
  <c r="W75" i="10"/>
  <c r="T75" i="10"/>
  <c r="U74" i="11" s="1"/>
  <c r="V74" i="11" s="1"/>
  <c r="W74" i="10"/>
  <c r="G73" i="11" s="1"/>
  <c r="T74" i="10"/>
  <c r="U73" i="11" s="1"/>
  <c r="T71" i="10"/>
  <c r="G66" i="11" s="1"/>
  <c r="F67" i="12" s="1"/>
  <c r="I67" i="12" s="1"/>
  <c r="T70" i="10"/>
  <c r="T69" i="10"/>
  <c r="T68" i="10"/>
  <c r="G63" i="11" s="1"/>
  <c r="T65" i="10"/>
  <c r="G60" i="11" s="1"/>
  <c r="T64" i="10"/>
  <c r="G59" i="11" s="1"/>
  <c r="AH44" i="10"/>
  <c r="AF44" i="10"/>
  <c r="AE44" i="10"/>
  <c r="AD44" i="10"/>
  <c r="V43" i="10"/>
  <c r="W40" i="10" a="1"/>
  <c r="W40" i="10" s="1"/>
  <c r="W37" i="10" a="1"/>
  <c r="W37" i="10" s="1"/>
  <c r="W35" i="10" a="1"/>
  <c r="W35" i="10" s="1"/>
  <c r="AH32" i="10"/>
  <c r="G29" i="11" s="1"/>
  <c r="J29" i="11" s="1"/>
  <c r="AF32" i="10"/>
  <c r="AE32" i="10"/>
  <c r="AD32" i="10"/>
  <c r="V32" i="10"/>
  <c r="AH31" i="10"/>
  <c r="AF31" i="10"/>
  <c r="AE31" i="10"/>
  <c r="AD31" i="10"/>
  <c r="AH30" i="10"/>
  <c r="G27" i="11" s="1"/>
  <c r="AF30" i="10"/>
  <c r="AE30" i="10"/>
  <c r="AD30" i="10"/>
  <c r="AF29" i="10"/>
  <c r="AE29" i="10"/>
  <c r="AD29" i="10"/>
  <c r="AF28" i="10"/>
  <c r="AE28" i="10"/>
  <c r="AD28" i="10"/>
  <c r="AF27" i="10"/>
  <c r="AE27" i="10"/>
  <c r="AD27" i="10"/>
  <c r="AF26" i="10"/>
  <c r="AE26" i="10"/>
  <c r="AD26" i="10"/>
  <c r="W26" i="10" a="1"/>
  <c r="W26" i="10" s="1"/>
  <c r="AH25" i="10"/>
  <c r="G25" i="11" s="1"/>
  <c r="AF25" i="10"/>
  <c r="AE25" i="10"/>
  <c r="AD25" i="10"/>
  <c r="AH24" i="10"/>
  <c r="G24" i="11" s="1"/>
  <c r="AF24" i="10"/>
  <c r="AE24" i="10"/>
  <c r="AD24" i="10"/>
  <c r="W24" i="10" a="1"/>
  <c r="W24" i="10" s="1"/>
  <c r="V24" i="10"/>
  <c r="AH23" i="10"/>
  <c r="G23" i="11" s="1"/>
  <c r="AF23" i="10"/>
  <c r="AE23" i="10"/>
  <c r="AD23" i="10"/>
  <c r="W21" i="10" a="1"/>
  <c r="W21" i="10" s="1"/>
  <c r="AH19" i="10"/>
  <c r="AH16" i="10"/>
  <c r="W16" i="10" a="1"/>
  <c r="W16" i="10" s="1"/>
  <c r="V16" i="10"/>
  <c r="W14" i="10" a="1"/>
  <c r="W14" i="10" s="1"/>
  <c r="W11" i="10"/>
  <c r="W11" i="10" a="1"/>
  <c r="AH8" i="10"/>
  <c r="AI8" i="10" s="1"/>
  <c r="W20" i="10" s="1" a="1"/>
  <c r="W20" i="10" s="1"/>
  <c r="V8" i="10"/>
  <c r="L8" i="10"/>
  <c r="L146" i="9"/>
  <c r="U96" i="11" s="1"/>
  <c r="I146" i="9"/>
  <c r="M145" i="9"/>
  <c r="I145" i="9"/>
  <c r="M144" i="9"/>
  <c r="L144" i="9"/>
  <c r="U94" i="11" s="1"/>
  <c r="K144" i="9"/>
  <c r="H144" i="9"/>
  <c r="M143" i="9"/>
  <c r="M142" i="9"/>
  <c r="K142" i="9"/>
  <c r="I142" i="9"/>
  <c r="H142" i="9"/>
  <c r="G142" i="9"/>
  <c r="K138" i="9"/>
  <c r="M137" i="9"/>
  <c r="I137" i="9"/>
  <c r="G137" i="9"/>
  <c r="M136" i="9"/>
  <c r="K136" i="9"/>
  <c r="I136" i="9"/>
  <c r="L135" i="9"/>
  <c r="U87" i="11" s="1"/>
  <c r="I135" i="9"/>
  <c r="M134" i="9"/>
  <c r="I134" i="9"/>
  <c r="M109" i="9"/>
  <c r="L109" i="9"/>
  <c r="U67" i="11" s="1"/>
  <c r="K109" i="9"/>
  <c r="H109" i="9"/>
  <c r="M108" i="9"/>
  <c r="G108" i="9"/>
  <c r="L107" i="9"/>
  <c r="K107" i="9"/>
  <c r="I107" i="9"/>
  <c r="H107" i="9"/>
  <c r="I65" i="11" s="1"/>
  <c r="M106" i="9"/>
  <c r="I106" i="9"/>
  <c r="L105" i="9"/>
  <c r="I105" i="9"/>
  <c r="H105" i="9"/>
  <c r="I63" i="11" s="1"/>
  <c r="G105" i="9"/>
  <c r="M104" i="9"/>
  <c r="I104" i="9"/>
  <c r="M103" i="9"/>
  <c r="I103" i="9"/>
  <c r="G103" i="9"/>
  <c r="M102" i="9"/>
  <c r="K102" i="9"/>
  <c r="I102" i="9"/>
  <c r="M101" i="9"/>
  <c r="K101" i="9"/>
  <c r="G101" i="9"/>
  <c r="K100" i="9"/>
  <c r="I100" i="9"/>
  <c r="G100" i="9"/>
  <c r="M89" i="9"/>
  <c r="K89" i="9"/>
  <c r="H89" i="9"/>
  <c r="I51" i="11" s="1"/>
  <c r="K84" i="9"/>
  <c r="G84" i="9"/>
  <c r="M83" i="9"/>
  <c r="L83" i="9"/>
  <c r="U45" i="11" s="1"/>
  <c r="K83" i="9"/>
  <c r="H83" i="9"/>
  <c r="I45" i="11" s="1"/>
  <c r="M82" i="9"/>
  <c r="H82" i="9"/>
  <c r="I44" i="11" s="1"/>
  <c r="M81" i="9"/>
  <c r="L81" i="9"/>
  <c r="U43" i="11" s="1"/>
  <c r="K81" i="9"/>
  <c r="I81" i="9"/>
  <c r="G81" i="9"/>
  <c r="K80" i="9"/>
  <c r="G80" i="9"/>
  <c r="L79" i="9"/>
  <c r="U41" i="11" s="1"/>
  <c r="K79" i="9"/>
  <c r="I79" i="9"/>
  <c r="H79" i="9"/>
  <c r="I41" i="11" s="1"/>
  <c r="M76" i="9"/>
  <c r="I76" i="9"/>
  <c r="M75" i="9"/>
  <c r="K75" i="9"/>
  <c r="I75" i="9"/>
  <c r="H75" i="9"/>
  <c r="G75" i="9"/>
  <c r="K74" i="9"/>
  <c r="H74" i="9"/>
  <c r="L73" i="9"/>
  <c r="I73" i="9"/>
  <c r="H73" i="9"/>
  <c r="G73" i="9"/>
  <c r="M72" i="9"/>
  <c r="I72" i="9"/>
  <c r="G72" i="9"/>
  <c r="K71" i="9"/>
  <c r="H71" i="9"/>
  <c r="G71" i="9"/>
  <c r="M69" i="9"/>
  <c r="K69" i="9"/>
  <c r="H69" i="9"/>
  <c r="M68" i="9"/>
  <c r="I68" i="9"/>
  <c r="G68" i="9"/>
  <c r="M67" i="9"/>
  <c r="K67" i="9"/>
  <c r="I67" i="9"/>
  <c r="G67" i="9"/>
  <c r="L66" i="9"/>
  <c r="H66" i="9"/>
  <c r="M65" i="9"/>
  <c r="K65" i="9"/>
  <c r="I65" i="9"/>
  <c r="H65" i="9"/>
  <c r="M64" i="9"/>
  <c r="K64" i="9"/>
  <c r="G64" i="9"/>
  <c r="K63" i="9"/>
  <c r="I63" i="9"/>
  <c r="H63" i="9"/>
  <c r="G63" i="9"/>
  <c r="M62" i="9"/>
  <c r="L62" i="9"/>
  <c r="I62" i="9"/>
  <c r="M61" i="9"/>
  <c r="I61" i="9"/>
  <c r="H61" i="9"/>
  <c r="G61" i="9"/>
  <c r="M60" i="9"/>
  <c r="L60" i="9"/>
  <c r="K60" i="9"/>
  <c r="H60" i="9"/>
  <c r="K59" i="9"/>
  <c r="H59" i="9"/>
  <c r="G59" i="9"/>
  <c r="M58" i="9"/>
  <c r="L58" i="9"/>
  <c r="U40" i="11" s="1"/>
  <c r="K58" i="9"/>
  <c r="I58" i="9"/>
  <c r="G58" i="9"/>
  <c r="I57" i="9"/>
  <c r="G57" i="9"/>
  <c r="M54" i="9"/>
  <c r="L54" i="9"/>
  <c r="K54" i="9"/>
  <c r="I54" i="9"/>
  <c r="H54" i="9"/>
  <c r="M53" i="9"/>
  <c r="H53" i="9"/>
  <c r="M52" i="9"/>
  <c r="L52" i="9"/>
  <c r="K52" i="9"/>
  <c r="I52" i="9"/>
  <c r="H52" i="9"/>
  <c r="G52" i="9"/>
  <c r="K51" i="9"/>
  <c r="G51" i="9"/>
  <c r="L50" i="9"/>
  <c r="K50" i="9"/>
  <c r="I50" i="9"/>
  <c r="H50" i="9"/>
  <c r="G50" i="9"/>
  <c r="M49" i="9"/>
  <c r="I49" i="9"/>
  <c r="M47" i="9"/>
  <c r="K47" i="9"/>
  <c r="I47" i="9"/>
  <c r="H47" i="9"/>
  <c r="G47" i="9"/>
  <c r="M46" i="9"/>
  <c r="K46" i="9"/>
  <c r="H46" i="9"/>
  <c r="L45" i="9"/>
  <c r="I45" i="9"/>
  <c r="H45" i="9"/>
  <c r="G45" i="9"/>
  <c r="M44" i="9"/>
  <c r="K44" i="9"/>
  <c r="I44" i="9"/>
  <c r="G44" i="9"/>
  <c r="K43" i="9"/>
  <c r="H43" i="9"/>
  <c r="G43" i="9"/>
  <c r="M42" i="9"/>
  <c r="K42" i="9"/>
  <c r="I42" i="9"/>
  <c r="H42" i="9"/>
  <c r="M41" i="9"/>
  <c r="I41" i="9"/>
  <c r="G41" i="9"/>
  <c r="M40" i="9"/>
  <c r="K40" i="9"/>
  <c r="I40" i="9"/>
  <c r="H40" i="9"/>
  <c r="G40" i="9"/>
  <c r="L39" i="9"/>
  <c r="H39" i="9"/>
  <c r="M38" i="9"/>
  <c r="K38" i="9"/>
  <c r="I38" i="9"/>
  <c r="H38" i="9"/>
  <c r="G38" i="9"/>
  <c r="M37" i="9"/>
  <c r="K37" i="9"/>
  <c r="G37" i="9"/>
  <c r="K36" i="9"/>
  <c r="I36" i="9"/>
  <c r="H36" i="9"/>
  <c r="G36" i="9"/>
  <c r="M35" i="9"/>
  <c r="L35" i="9"/>
  <c r="I35" i="9"/>
  <c r="M23" i="9"/>
  <c r="I23" i="9"/>
  <c r="H23" i="9"/>
  <c r="I29" i="11" s="1"/>
  <c r="G23" i="9"/>
  <c r="M22" i="9"/>
  <c r="L22" i="9"/>
  <c r="K22" i="9"/>
  <c r="U28" i="11" s="1"/>
  <c r="H22" i="9"/>
  <c r="I28" i="11" s="1"/>
  <c r="A5" i="9"/>
  <c r="K145" i="9" s="1"/>
  <c r="L140" i="8"/>
  <c r="I140" i="8"/>
  <c r="H140" i="8"/>
  <c r="F140" i="8"/>
  <c r="F134" i="8"/>
  <c r="K133" i="8"/>
  <c r="H133" i="8"/>
  <c r="E133" i="8"/>
  <c r="L130" i="8"/>
  <c r="I130" i="8"/>
  <c r="F130" i="8"/>
  <c r="L129" i="8"/>
  <c r="I129" i="8"/>
  <c r="F129" i="8"/>
  <c r="L127" i="8"/>
  <c r="I127" i="8"/>
  <c r="F127" i="8"/>
  <c r="K126" i="8"/>
  <c r="H126" i="8"/>
  <c r="G126" i="8"/>
  <c r="F126" i="8"/>
  <c r="E126" i="8"/>
  <c r="K125" i="8"/>
  <c r="H125" i="8"/>
  <c r="F125" i="8"/>
  <c r="E125" i="8"/>
  <c r="K124" i="8"/>
  <c r="I124" i="8"/>
  <c r="H124" i="8"/>
  <c r="F124" i="8"/>
  <c r="L124" i="8" s="1"/>
  <c r="E124" i="8"/>
  <c r="L123" i="8"/>
  <c r="K123" i="8"/>
  <c r="I123" i="8"/>
  <c r="H123" i="8"/>
  <c r="F123" i="8"/>
  <c r="E123" i="8"/>
  <c r="L119" i="8"/>
  <c r="I119" i="8"/>
  <c r="F119" i="8"/>
  <c r="L118" i="8"/>
  <c r="I118" i="8"/>
  <c r="F118" i="8"/>
  <c r="F116" i="8"/>
  <c r="K115" i="8"/>
  <c r="H115" i="8"/>
  <c r="F115" i="8"/>
  <c r="E115" i="8"/>
  <c r="K114" i="8"/>
  <c r="H114" i="8"/>
  <c r="F114" i="8"/>
  <c r="L114" i="8" s="1"/>
  <c r="E114" i="8"/>
  <c r="L113" i="8"/>
  <c r="K113" i="8"/>
  <c r="I113" i="8"/>
  <c r="H113" i="8"/>
  <c r="F113" i="8"/>
  <c r="E113" i="8"/>
  <c r="L112" i="8"/>
  <c r="K112" i="8"/>
  <c r="I112" i="8"/>
  <c r="H112" i="8"/>
  <c r="F112" i="8"/>
  <c r="E112" i="8"/>
  <c r="K104" i="8"/>
  <c r="H104" i="8"/>
  <c r="E104" i="8"/>
  <c r="J91" i="8"/>
  <c r="I91" i="8"/>
  <c r="H91" i="8"/>
  <c r="L87" i="8"/>
  <c r="K87" i="8"/>
  <c r="I87" i="8"/>
  <c r="L84" i="8"/>
  <c r="F84" i="8"/>
  <c r="I84" i="8" s="1"/>
  <c r="L83" i="8"/>
  <c r="I83" i="8"/>
  <c r="L82" i="8"/>
  <c r="F82" i="8"/>
  <c r="I82" i="8" s="1"/>
  <c r="L81" i="8"/>
  <c r="I81" i="8"/>
  <c r="F81" i="8"/>
  <c r="L77" i="8"/>
  <c r="H77" i="8"/>
  <c r="F77" i="8"/>
  <c r="I77" i="8" s="1"/>
  <c r="F73" i="8"/>
  <c r="L72" i="8"/>
  <c r="F72" i="8"/>
  <c r="I72" i="8" s="1"/>
  <c r="F63" i="8"/>
  <c r="F62" i="8"/>
  <c r="L62" i="8" s="1"/>
  <c r="I61" i="8"/>
  <c r="F61" i="8"/>
  <c r="L61" i="8" s="1"/>
  <c r="F60" i="8"/>
  <c r="I60" i="8" s="1"/>
  <c r="I58" i="8"/>
  <c r="F58" i="8"/>
  <c r="L58" i="8" s="1"/>
  <c r="L55" i="8"/>
  <c r="I40" i="8"/>
  <c r="F40" i="8"/>
  <c r="L40" i="8" s="1"/>
  <c r="L39" i="8"/>
  <c r="I39" i="8"/>
  <c r="F39" i="8"/>
  <c r="L37" i="8"/>
  <c r="I37" i="8"/>
  <c r="F37" i="8"/>
  <c r="L36" i="8"/>
  <c r="F36" i="8"/>
  <c r="I36" i="8" s="1"/>
  <c r="I35" i="8"/>
  <c r="F35" i="8"/>
  <c r="L35" i="8" s="1"/>
  <c r="F34" i="8"/>
  <c r="L29" i="8"/>
  <c r="I29" i="8"/>
  <c r="F29" i="8"/>
  <c r="L28" i="8"/>
  <c r="I28" i="8"/>
  <c r="F28" i="8"/>
  <c r="I27" i="8"/>
  <c r="F27" i="8"/>
  <c r="L27" i="8" s="1"/>
  <c r="F26" i="8"/>
  <c r="I25" i="8"/>
  <c r="F25" i="8"/>
  <c r="L25" i="8" s="1"/>
  <c r="L18" i="8"/>
  <c r="I18" i="8"/>
  <c r="L17" i="8"/>
  <c r="I17" i="8"/>
  <c r="L16" i="8"/>
  <c r="I16" i="8"/>
  <c r="L15" i="8"/>
  <c r="I15" i="8"/>
  <c r="F14" i="8"/>
  <c r="I11" i="8"/>
  <c r="F11" i="8"/>
  <c r="L11" i="8" s="1"/>
  <c r="L10" i="8"/>
  <c r="I10" i="8"/>
  <c r="F10" i="8"/>
  <c r="L9" i="8"/>
  <c r="I9" i="8"/>
  <c r="F9" i="8"/>
  <c r="O3" i="8"/>
  <c r="H140" i="7"/>
  <c r="F140" i="7"/>
  <c r="F134" i="7"/>
  <c r="I134" i="7" s="1"/>
  <c r="H133" i="7"/>
  <c r="E133" i="7"/>
  <c r="L130" i="7"/>
  <c r="F130" i="7"/>
  <c r="I130" i="7" s="1"/>
  <c r="I129" i="7"/>
  <c r="F129" i="7"/>
  <c r="L129" i="7" s="1"/>
  <c r="I127" i="7"/>
  <c r="F127" i="7"/>
  <c r="H126" i="7"/>
  <c r="F126" i="7"/>
  <c r="I126" i="7" s="1"/>
  <c r="E126" i="7"/>
  <c r="H125" i="7"/>
  <c r="F125" i="7"/>
  <c r="I125" i="7" s="1"/>
  <c r="E125" i="7"/>
  <c r="H124" i="7"/>
  <c r="F124" i="7"/>
  <c r="I124" i="7" s="1"/>
  <c r="E124" i="7"/>
  <c r="I123" i="7"/>
  <c r="H123" i="7"/>
  <c r="G123" i="7"/>
  <c r="F123" i="7"/>
  <c r="E123" i="7"/>
  <c r="F119" i="7"/>
  <c r="I119" i="7" s="1"/>
  <c r="I118" i="7"/>
  <c r="F118" i="7"/>
  <c r="F116" i="7"/>
  <c r="I116" i="7" s="1"/>
  <c r="I115" i="7"/>
  <c r="H115" i="7"/>
  <c r="F115" i="7"/>
  <c r="E115" i="7"/>
  <c r="H114" i="7"/>
  <c r="F114" i="7"/>
  <c r="I114" i="7" s="1"/>
  <c r="E114" i="7"/>
  <c r="I113" i="7"/>
  <c r="H113" i="7"/>
  <c r="F113" i="7"/>
  <c r="E113" i="7"/>
  <c r="I112" i="7"/>
  <c r="H112" i="7"/>
  <c r="F112" i="7"/>
  <c r="E112" i="7"/>
  <c r="H104" i="7"/>
  <c r="E104" i="7"/>
  <c r="J91" i="7"/>
  <c r="I91" i="7"/>
  <c r="H91" i="7"/>
  <c r="L87" i="7"/>
  <c r="K87" i="7"/>
  <c r="I87" i="7"/>
  <c r="M84" i="7"/>
  <c r="L84" i="7"/>
  <c r="K84" i="7"/>
  <c r="F84" i="7"/>
  <c r="I84" i="7" s="1"/>
  <c r="L83" i="7"/>
  <c r="I83" i="7"/>
  <c r="F82" i="7"/>
  <c r="I82" i="7" s="1"/>
  <c r="I81" i="7"/>
  <c r="F81" i="7"/>
  <c r="H77" i="7"/>
  <c r="F77" i="7"/>
  <c r="L73" i="7"/>
  <c r="F73" i="7"/>
  <c r="I73" i="7" s="1"/>
  <c r="F72" i="7"/>
  <c r="I72" i="7" s="1"/>
  <c r="L63" i="7"/>
  <c r="F63" i="7"/>
  <c r="I63" i="7" s="1"/>
  <c r="I62" i="7"/>
  <c r="F62" i="7"/>
  <c r="L62" i="7" s="1"/>
  <c r="L61" i="7"/>
  <c r="F61" i="7"/>
  <c r="I61" i="7" s="1"/>
  <c r="F60" i="7"/>
  <c r="I60" i="7" s="1"/>
  <c r="F58" i="7"/>
  <c r="F43" i="7"/>
  <c r="I43" i="7" s="1"/>
  <c r="F40" i="7"/>
  <c r="L39" i="7"/>
  <c r="I39" i="7"/>
  <c r="F39" i="7"/>
  <c r="F37" i="7"/>
  <c r="I36" i="7"/>
  <c r="F36" i="7"/>
  <c r="I35" i="7"/>
  <c r="F35" i="7"/>
  <c r="F34" i="7"/>
  <c r="I29" i="7"/>
  <c r="F29" i="7"/>
  <c r="F28" i="7"/>
  <c r="I28" i="7" s="1"/>
  <c r="I27" i="7"/>
  <c r="F27" i="7"/>
  <c r="F26" i="7"/>
  <c r="I26" i="7" s="1"/>
  <c r="I25" i="7"/>
  <c r="F25" i="7"/>
  <c r="M20" i="7"/>
  <c r="I18" i="7"/>
  <c r="I17" i="7"/>
  <c r="I16" i="7"/>
  <c r="I15" i="7"/>
  <c r="F14" i="7"/>
  <c r="I14" i="7" s="1"/>
  <c r="I11" i="7"/>
  <c r="F11" i="7"/>
  <c r="F10" i="7"/>
  <c r="I10" i="7" s="1"/>
  <c r="I9" i="7"/>
  <c r="F9" i="7"/>
  <c r="O3" i="7"/>
  <c r="K148" i="6"/>
  <c r="J139" i="6"/>
  <c r="J137" i="6"/>
  <c r="F137" i="6"/>
  <c r="F131" i="6"/>
  <c r="K130" i="6"/>
  <c r="G130" i="6"/>
  <c r="F127" i="6"/>
  <c r="I127" i="6" s="1"/>
  <c r="I126" i="6"/>
  <c r="F126" i="6"/>
  <c r="J124" i="6"/>
  <c r="F124" i="6"/>
  <c r="K123" i="6"/>
  <c r="J123" i="6"/>
  <c r="G123" i="6"/>
  <c r="F123" i="6"/>
  <c r="J122" i="6"/>
  <c r="G122" i="6"/>
  <c r="K122" i="6" s="1"/>
  <c r="F122" i="6"/>
  <c r="J121" i="6"/>
  <c r="G121" i="6"/>
  <c r="K121" i="6" s="1"/>
  <c r="F121" i="6"/>
  <c r="K120" i="6"/>
  <c r="J120" i="6"/>
  <c r="G120" i="6"/>
  <c r="F120" i="6"/>
  <c r="J116" i="6"/>
  <c r="F116" i="6"/>
  <c r="J115" i="6"/>
  <c r="F115" i="6"/>
  <c r="J113" i="6"/>
  <c r="F113" i="6"/>
  <c r="E113" i="6"/>
  <c r="J112" i="6"/>
  <c r="G112" i="6"/>
  <c r="F112" i="6"/>
  <c r="J111" i="6"/>
  <c r="G111" i="6"/>
  <c r="K111" i="6" s="1"/>
  <c r="F111" i="6"/>
  <c r="K110" i="6"/>
  <c r="J110" i="6"/>
  <c r="G110" i="6"/>
  <c r="F110" i="6"/>
  <c r="J109" i="6"/>
  <c r="G109" i="6"/>
  <c r="K109" i="6" s="1"/>
  <c r="F109" i="6"/>
  <c r="J105" i="6"/>
  <c r="E105" i="6"/>
  <c r="J104" i="6"/>
  <c r="J103" i="6"/>
  <c r="E103" i="6"/>
  <c r="J102" i="6"/>
  <c r="J101" i="6"/>
  <c r="I87" i="6"/>
  <c r="F84" i="6"/>
  <c r="I83" i="6"/>
  <c r="F82" i="6"/>
  <c r="F81" i="6"/>
  <c r="G77" i="6"/>
  <c r="K77" i="6" s="1"/>
  <c r="F77" i="6"/>
  <c r="I73" i="6"/>
  <c r="F73" i="6"/>
  <c r="F72" i="6"/>
  <c r="I72" i="6" s="1"/>
  <c r="F71" i="6"/>
  <c r="I71" i="6" s="1"/>
  <c r="I63" i="6"/>
  <c r="F63" i="6"/>
  <c r="I62" i="6"/>
  <c r="F62" i="6"/>
  <c r="I61" i="6"/>
  <c r="F61" i="6"/>
  <c r="F60" i="6"/>
  <c r="I60" i="6" s="1"/>
  <c r="F59" i="6"/>
  <c r="I59" i="6" s="1"/>
  <c r="F58" i="6"/>
  <c r="I58" i="6" s="1"/>
  <c r="F54" i="6"/>
  <c r="I54" i="6" s="1"/>
  <c r="J51" i="6"/>
  <c r="J50" i="6"/>
  <c r="J49" i="6"/>
  <c r="J46" i="6"/>
  <c r="F46" i="6"/>
  <c r="J45" i="6"/>
  <c r="J44" i="6"/>
  <c r="J43" i="6"/>
  <c r="F40" i="6"/>
  <c r="I40" i="6" s="1"/>
  <c r="F39" i="6"/>
  <c r="I39" i="6" s="1"/>
  <c r="F37" i="6"/>
  <c r="I37" i="6" s="1"/>
  <c r="J36" i="6"/>
  <c r="F36" i="6"/>
  <c r="J35" i="6"/>
  <c r="F35" i="6"/>
  <c r="I34" i="6"/>
  <c r="F34" i="6"/>
  <c r="J29" i="6"/>
  <c r="F29" i="6"/>
  <c r="F28" i="6"/>
  <c r="F27" i="6"/>
  <c r="F26" i="6"/>
  <c r="F25" i="6"/>
  <c r="J18" i="6"/>
  <c r="F18" i="6"/>
  <c r="J17" i="6"/>
  <c r="J16" i="6"/>
  <c r="J15" i="6"/>
  <c r="J14" i="6"/>
  <c r="F14" i="6"/>
  <c r="J11" i="6"/>
  <c r="F11" i="6"/>
  <c r="J10" i="6"/>
  <c r="F10" i="6"/>
  <c r="J9" i="6"/>
  <c r="F9" i="6"/>
  <c r="L3" i="6"/>
  <c r="F132" i="5"/>
  <c r="F131" i="5"/>
  <c r="N151" i="8" s="1"/>
  <c r="F130" i="5"/>
  <c r="N151" i="7" s="1"/>
  <c r="F129" i="5"/>
  <c r="F128" i="5"/>
  <c r="X125" i="5"/>
  <c r="V125" i="5"/>
  <c r="X124" i="5"/>
  <c r="M140" i="7" s="1"/>
  <c r="M142" i="7" s="1"/>
  <c r="T124" i="5"/>
  <c r="T125" i="5" s="1"/>
  <c r="I122" i="5"/>
  <c r="E131" i="6" s="1"/>
  <c r="AA121" i="5"/>
  <c r="Z121" i="5"/>
  <c r="M133" i="8" s="1"/>
  <c r="R121" i="5"/>
  <c r="P121" i="5" s="1"/>
  <c r="N121" i="5"/>
  <c r="G133" i="8" s="1"/>
  <c r="L121" i="5"/>
  <c r="R116" i="5"/>
  <c r="P116" i="5" s="1"/>
  <c r="Q116" i="5"/>
  <c r="O116" i="5"/>
  <c r="M116" i="5"/>
  <c r="E127" i="8" s="1"/>
  <c r="K116" i="5"/>
  <c r="E127" i="7" s="1"/>
  <c r="J116" i="5"/>
  <c r="I116" i="5"/>
  <c r="Y116" i="5" s="1"/>
  <c r="K127" i="8" s="1"/>
  <c r="AA115" i="5"/>
  <c r="Z115" i="5"/>
  <c r="M126" i="8" s="1"/>
  <c r="R115" i="5"/>
  <c r="P115" i="5" s="1"/>
  <c r="N115" i="5"/>
  <c r="L115" i="5"/>
  <c r="G126" i="7" s="1"/>
  <c r="AB114" i="5"/>
  <c r="AA114" i="5"/>
  <c r="Z114" i="5"/>
  <c r="M125" i="8" s="1"/>
  <c r="R114" i="5"/>
  <c r="P114" i="5" s="1"/>
  <c r="N114" i="5"/>
  <c r="G125" i="8" s="1"/>
  <c r="L114" i="5"/>
  <c r="G125" i="7" s="1"/>
  <c r="AA113" i="5"/>
  <c r="Z113" i="5"/>
  <c r="M124" i="8" s="1"/>
  <c r="R113" i="5"/>
  <c r="P113" i="5" s="1"/>
  <c r="N113" i="5"/>
  <c r="G124" i="8" s="1"/>
  <c r="L113" i="5"/>
  <c r="G124" i="7" s="1"/>
  <c r="AC112" i="5"/>
  <c r="AA112" i="5"/>
  <c r="Z112" i="5"/>
  <c r="M123" i="8" s="1"/>
  <c r="R112" i="5"/>
  <c r="P112" i="5" s="1"/>
  <c r="N112" i="5"/>
  <c r="G123" i="8" s="1"/>
  <c r="L112" i="5"/>
  <c r="AB112" i="5" s="1"/>
  <c r="K110" i="5"/>
  <c r="I110" i="5"/>
  <c r="M110" i="5" s="1"/>
  <c r="Z109" i="5"/>
  <c r="M118" i="8" s="1"/>
  <c r="Y109" i="5"/>
  <c r="K118" i="8" s="1"/>
  <c r="R109" i="5"/>
  <c r="P109" i="5" s="1"/>
  <c r="Q109" i="5"/>
  <c r="O109" i="5"/>
  <c r="M109" i="5"/>
  <c r="L109" i="5"/>
  <c r="K109" i="5"/>
  <c r="E118" i="7" s="1"/>
  <c r="J109" i="5"/>
  <c r="AA109" i="5" s="1"/>
  <c r="I109" i="5"/>
  <c r="K107" i="5"/>
  <c r="I107" i="5"/>
  <c r="AA106" i="5"/>
  <c r="Z106" i="5"/>
  <c r="M115" i="8" s="1"/>
  <c r="R106" i="5"/>
  <c r="P106" i="5" s="1"/>
  <c r="N106" i="5"/>
  <c r="G115" i="8" s="1"/>
  <c r="L106" i="5"/>
  <c r="AA105" i="5"/>
  <c r="Z105" i="5"/>
  <c r="M114" i="8" s="1"/>
  <c r="R105" i="5"/>
  <c r="P105" i="5" s="1"/>
  <c r="N105" i="5"/>
  <c r="L105" i="5"/>
  <c r="AC104" i="5"/>
  <c r="AB104" i="5"/>
  <c r="AA104" i="5"/>
  <c r="Z104" i="5"/>
  <c r="M113" i="8" s="1"/>
  <c r="R104" i="5"/>
  <c r="P104" i="5"/>
  <c r="N104" i="5"/>
  <c r="G113" i="8" s="1"/>
  <c r="L104" i="5"/>
  <c r="G113" i="7" s="1"/>
  <c r="AA103" i="5"/>
  <c r="Z103" i="5"/>
  <c r="M112" i="8" s="1"/>
  <c r="R103" i="5"/>
  <c r="P103" i="5"/>
  <c r="N103" i="5"/>
  <c r="G112" i="8" s="1"/>
  <c r="L103" i="5"/>
  <c r="Q101" i="5"/>
  <c r="I101" i="5"/>
  <c r="K101" i="5" s="1"/>
  <c r="Y100" i="5"/>
  <c r="K107" i="8" s="1"/>
  <c r="I100" i="5"/>
  <c r="Z99" i="5"/>
  <c r="M106" i="8" s="1"/>
  <c r="R99" i="5"/>
  <c r="Q99" i="5"/>
  <c r="O99" i="5" s="1"/>
  <c r="M99" i="5"/>
  <c r="K99" i="5"/>
  <c r="E106" i="7" s="1"/>
  <c r="I99" i="5"/>
  <c r="Y99" i="5" s="1"/>
  <c r="K106" i="8" s="1"/>
  <c r="Q98" i="5"/>
  <c r="I98" i="5"/>
  <c r="AA90" i="5"/>
  <c r="M90" i="5"/>
  <c r="E91" i="8" s="1"/>
  <c r="K90" i="5"/>
  <c r="E91" i="7" s="1"/>
  <c r="G90" i="5"/>
  <c r="Y89" i="5"/>
  <c r="Z89" i="5" s="1"/>
  <c r="W89" i="5"/>
  <c r="X89" i="5" s="1"/>
  <c r="V89" i="5"/>
  <c r="AA89" i="5" s="1"/>
  <c r="U89" i="5"/>
  <c r="S89" i="5" s="1"/>
  <c r="T89" i="5" s="1"/>
  <c r="G89" i="5"/>
  <c r="AA88" i="5"/>
  <c r="Y88" i="5"/>
  <c r="Z88" i="5" s="1"/>
  <c r="AC88" i="5" s="1"/>
  <c r="W88" i="5"/>
  <c r="X88" i="5" s="1"/>
  <c r="V88" i="5"/>
  <c r="U88" i="5"/>
  <c r="T88" i="5"/>
  <c r="S88" i="5"/>
  <c r="O88" i="5" s="1"/>
  <c r="P88" i="5" s="1"/>
  <c r="G88" i="5"/>
  <c r="U87" i="5"/>
  <c r="G87" i="5"/>
  <c r="U86" i="5"/>
  <c r="G86" i="5"/>
  <c r="V80" i="5"/>
  <c r="Z73" i="5"/>
  <c r="M77" i="8" s="1"/>
  <c r="V73" i="5"/>
  <c r="J77" i="6" s="1"/>
  <c r="T73" i="5"/>
  <c r="M73" i="5"/>
  <c r="K73" i="5"/>
  <c r="E77" i="7" s="1"/>
  <c r="J73" i="5"/>
  <c r="AA73" i="5" s="1"/>
  <c r="I73" i="5"/>
  <c r="E77" i="6" s="1"/>
  <c r="G72" i="5"/>
  <c r="W69" i="5"/>
  <c r="K71" i="7" s="1"/>
  <c r="U69" i="5"/>
  <c r="Q69" i="5"/>
  <c r="J69" i="5"/>
  <c r="I69" i="5"/>
  <c r="G69" i="5"/>
  <c r="G68" i="5"/>
  <c r="F70" i="8" s="1"/>
  <c r="G67" i="5"/>
  <c r="G64" i="5"/>
  <c r="G57" i="5"/>
  <c r="G55" i="5"/>
  <c r="G53" i="5"/>
  <c r="F55" i="8" s="1"/>
  <c r="I55" i="8" s="1"/>
  <c r="V52" i="5"/>
  <c r="J54" i="6" s="1"/>
  <c r="G52" i="5"/>
  <c r="F54" i="8" s="1"/>
  <c r="G51" i="5"/>
  <c r="G50" i="5"/>
  <c r="H49" i="5"/>
  <c r="I49" i="5" s="1" a="1"/>
  <c r="I49" i="5" s="1"/>
  <c r="G49" i="5"/>
  <c r="G48" i="5"/>
  <c r="F46" i="8" s="1"/>
  <c r="G47" i="5"/>
  <c r="G46" i="5"/>
  <c r="F44" i="8" s="1"/>
  <c r="Y45" i="5"/>
  <c r="Q45" i="5"/>
  <c r="R45" i="5" s="1"/>
  <c r="P45" i="5" s="1"/>
  <c r="O45" i="5"/>
  <c r="I45" i="5"/>
  <c r="G45" i="5"/>
  <c r="F43" i="8" s="1"/>
  <c r="Y42" i="5"/>
  <c r="Q42" i="5"/>
  <c r="O42" i="5"/>
  <c r="M42" i="5"/>
  <c r="E38" i="8" s="1"/>
  <c r="K42" i="5"/>
  <c r="E38" i="7" s="1"/>
  <c r="I42" i="5"/>
  <c r="E38" i="6" s="1"/>
  <c r="Q40" i="5"/>
  <c r="N40" i="5"/>
  <c r="G36" i="8" s="1"/>
  <c r="M40" i="5"/>
  <c r="E36" i="8" s="1"/>
  <c r="L40" i="5"/>
  <c r="K40" i="5"/>
  <c r="E36" i="7" s="1"/>
  <c r="J40" i="5"/>
  <c r="G36" i="6" s="1"/>
  <c r="K36" i="6" s="1"/>
  <c r="I40" i="5"/>
  <c r="E36" i="6" s="1"/>
  <c r="Y39" i="5"/>
  <c r="K35" i="8" s="1"/>
  <c r="R39" i="5"/>
  <c r="P39" i="5" s="1"/>
  <c r="K39" i="5"/>
  <c r="I39" i="5"/>
  <c r="Q39" i="5" s="1"/>
  <c r="O39" i="5" s="1"/>
  <c r="U36" i="5"/>
  <c r="H36" i="5"/>
  <c r="I33" i="5"/>
  <c r="H33" i="5"/>
  <c r="J32" i="5"/>
  <c r="H32" i="5"/>
  <c r="I32" i="5" s="1"/>
  <c r="K31" i="5"/>
  <c r="H31" i="5"/>
  <c r="I31" i="5" s="1"/>
  <c r="X29" i="5"/>
  <c r="V29" i="5"/>
  <c r="T29" i="5"/>
  <c r="G28" i="5"/>
  <c r="G27" i="5"/>
  <c r="G26" i="5"/>
  <c r="F16" i="6" s="1"/>
  <c r="G25" i="5"/>
  <c r="AD15" i="5"/>
  <c r="A15" i="5"/>
  <c r="B3" i="6" s="1"/>
  <c r="G14" i="5"/>
  <c r="G13" i="5"/>
  <c r="G12" i="5"/>
  <c r="G11" i="5"/>
  <c r="G10" i="5"/>
  <c r="G9" i="5"/>
  <c r="G8" i="5"/>
  <c r="G7" i="5"/>
  <c r="G6" i="5"/>
  <c r="G95" i="5" s="1"/>
  <c r="G5" i="5"/>
  <c r="G4" i="5"/>
  <c r="G75" i="5" s="1"/>
  <c r="J75" i="5" s="1"/>
  <c r="AJ84" i="4"/>
  <c r="H51" i="5" s="1"/>
  <c r="I51" i="5" s="1" a="1"/>
  <c r="I51" i="5" s="1"/>
  <c r="AJ83" i="4"/>
  <c r="H50" i="5" s="1"/>
  <c r="I50" i="5" s="1" a="1"/>
  <c r="I50" i="5" s="1"/>
  <c r="M50" i="5" s="1"/>
  <c r="AJ82" i="4"/>
  <c r="AJ74" i="4"/>
  <c r="H124" i="5" s="1"/>
  <c r="I124" i="5" s="1"/>
  <c r="AJ72" i="4"/>
  <c r="AA70" i="4"/>
  <c r="AA71" i="4" s="1"/>
  <c r="AJ69" i="4"/>
  <c r="AJ64" i="4"/>
  <c r="H84" i="5" s="1"/>
  <c r="G84" i="5" s="1"/>
  <c r="AJ63" i="4"/>
  <c r="H83" i="5" s="1"/>
  <c r="AJ62" i="4"/>
  <c r="H81" i="5" s="1"/>
  <c r="U81" i="5" s="1"/>
  <c r="AH61" i="4"/>
  <c r="G80" i="5" s="1"/>
  <c r="AJ60" i="4"/>
  <c r="H78" i="5" s="1"/>
  <c r="I78" i="5" s="1"/>
  <c r="AA60" i="4"/>
  <c r="AA61" i="4" s="1"/>
  <c r="AJ59" i="4"/>
  <c r="H77" i="5" s="1"/>
  <c r="U77" i="5" s="1"/>
  <c r="AA59" i="4"/>
  <c r="G101" i="5" s="1"/>
  <c r="AJ58" i="4"/>
  <c r="H76" i="5" s="1"/>
  <c r="I76" i="5" s="1"/>
  <c r="AA58" i="4"/>
  <c r="G100" i="5" s="1"/>
  <c r="AJ57" i="4"/>
  <c r="H75" i="5" s="1"/>
  <c r="I75" i="5" s="1"/>
  <c r="M75" i="5" s="1"/>
  <c r="AA57" i="4"/>
  <c r="G99" i="5" s="1"/>
  <c r="AA56" i="4"/>
  <c r="G98" i="5" s="1"/>
  <c r="AJ55" i="4"/>
  <c r="H72" i="5" s="1"/>
  <c r="AA55" i="4"/>
  <c r="G97" i="5" s="1"/>
  <c r="AJ54" i="4"/>
  <c r="H71" i="5" s="1"/>
  <c r="AA54" i="4"/>
  <c r="AJ53" i="4"/>
  <c r="H70" i="5" s="1"/>
  <c r="AA53" i="4"/>
  <c r="AJ52" i="4"/>
  <c r="H67" i="5" s="1"/>
  <c r="AA52" i="4"/>
  <c r="G93" i="5" s="1"/>
  <c r="AJ51" i="4"/>
  <c r="H66" i="5" s="1"/>
  <c r="AJ50" i="4"/>
  <c r="H65" i="5" s="1"/>
  <c r="U65" i="5" s="1"/>
  <c r="AA49" i="4"/>
  <c r="AA48" i="4"/>
  <c r="AJ47" i="4"/>
  <c r="H53" i="5" s="1"/>
  <c r="AA45" i="4"/>
  <c r="AJ44" i="4"/>
  <c r="H52" i="5" s="1"/>
  <c r="U52" i="5" s="1"/>
  <c r="AA44" i="4"/>
  <c r="AJ43" i="4"/>
  <c r="H48" i="5" s="1"/>
  <c r="I48" i="5" s="1"/>
  <c r="AA43" i="4"/>
  <c r="Q43" i="4"/>
  <c r="R43" i="4" s="1"/>
  <c r="O43" i="4"/>
  <c r="P43" i="4" s="1"/>
  <c r="N43" i="4"/>
  <c r="M43" i="4"/>
  <c r="AJ42" i="4"/>
  <c r="H47" i="5" s="1"/>
  <c r="I47" i="5" s="1"/>
  <c r="AA42" i="4"/>
  <c r="R42" i="4"/>
  <c r="Q42" i="4"/>
  <c r="P42" i="4"/>
  <c r="O42" i="4"/>
  <c r="N42" i="4"/>
  <c r="M42" i="4"/>
  <c r="AJ41" i="4"/>
  <c r="H46" i="5" s="1"/>
  <c r="I46" i="5" s="1"/>
  <c r="AA41" i="4"/>
  <c r="G63" i="5" s="1"/>
  <c r="R41" i="4"/>
  <c r="Q41" i="4"/>
  <c r="P41" i="4"/>
  <c r="O41" i="4"/>
  <c r="N41" i="4"/>
  <c r="M41" i="4"/>
  <c r="AA40" i="4"/>
  <c r="G62" i="5" s="1"/>
  <c r="Q40" i="4"/>
  <c r="R40" i="4" s="1"/>
  <c r="O40" i="4"/>
  <c r="P40" i="4" s="1"/>
  <c r="N40" i="4"/>
  <c r="M40" i="4"/>
  <c r="R39" i="4"/>
  <c r="Q39" i="4"/>
  <c r="P39" i="4"/>
  <c r="O39" i="4"/>
  <c r="N39" i="4"/>
  <c r="M39" i="4"/>
  <c r="AA38" i="4"/>
  <c r="R38" i="4"/>
  <c r="Q38" i="4"/>
  <c r="P38" i="4"/>
  <c r="O38" i="4"/>
  <c r="N38" i="4"/>
  <c r="M38" i="4"/>
  <c r="AJ37" i="4"/>
  <c r="H37" i="5" s="1"/>
  <c r="U37" i="5" s="1"/>
  <c r="AA37" i="4"/>
  <c r="Q37" i="4"/>
  <c r="R37" i="4" s="1"/>
  <c r="P37" i="4"/>
  <c r="O37" i="4"/>
  <c r="N37" i="4"/>
  <c r="M37" i="4"/>
  <c r="AA36" i="4"/>
  <c r="AA34" i="4" s="1"/>
  <c r="AA31" i="4" s="1"/>
  <c r="G54" i="5" s="1"/>
  <c r="R36" i="4"/>
  <c r="Q36" i="4"/>
  <c r="P36" i="4"/>
  <c r="O36" i="4"/>
  <c r="N36" i="4"/>
  <c r="M36" i="4"/>
  <c r="AA35" i="4"/>
  <c r="R35" i="4"/>
  <c r="Q35" i="4"/>
  <c r="P35" i="4"/>
  <c r="O35" i="4"/>
  <c r="N35" i="4"/>
  <c r="M35" i="4"/>
  <c r="AJ34" i="4"/>
  <c r="R34" i="4"/>
  <c r="Q34" i="4"/>
  <c r="P34" i="4"/>
  <c r="O34" i="4"/>
  <c r="N34" i="4"/>
  <c r="M34" i="4"/>
  <c r="AA33" i="4"/>
  <c r="R33" i="4"/>
  <c r="Q33" i="4"/>
  <c r="P33" i="4"/>
  <c r="O33" i="4"/>
  <c r="N33" i="4"/>
  <c r="M33" i="4"/>
  <c r="Q32" i="4"/>
  <c r="R32" i="4" s="1"/>
  <c r="P32" i="4"/>
  <c r="O32" i="4"/>
  <c r="N32" i="4"/>
  <c r="M32" i="4"/>
  <c r="R31" i="4"/>
  <c r="Q31" i="4"/>
  <c r="O31" i="4"/>
  <c r="P31" i="4" s="1"/>
  <c r="M31" i="4"/>
  <c r="N31" i="4" s="1"/>
  <c r="AJ30" i="4"/>
  <c r="H34" i="5" s="1"/>
  <c r="I34" i="5" s="1"/>
  <c r="R30" i="4"/>
  <c r="Q30" i="4"/>
  <c r="P30" i="4"/>
  <c r="O30" i="4"/>
  <c r="N30" i="4"/>
  <c r="M30" i="4"/>
  <c r="R29" i="4"/>
  <c r="Q29" i="4"/>
  <c r="P29" i="4"/>
  <c r="O29" i="4"/>
  <c r="N29" i="4"/>
  <c r="M29" i="4"/>
  <c r="R28" i="4"/>
  <c r="Q28" i="4"/>
  <c r="P28" i="4"/>
  <c r="O28" i="4"/>
  <c r="N28" i="4"/>
  <c r="M28" i="4"/>
  <c r="AJ27" i="4"/>
  <c r="R27" i="4"/>
  <c r="Q27" i="4"/>
  <c r="P27" i="4"/>
  <c r="O27" i="4"/>
  <c r="N27" i="4"/>
  <c r="M27" i="4"/>
  <c r="Q26" i="4"/>
  <c r="R26" i="4" s="1"/>
  <c r="O26" i="4"/>
  <c r="P26" i="4" s="1"/>
  <c r="N26" i="4"/>
  <c r="M26" i="4"/>
  <c r="R25" i="4"/>
  <c r="Q25" i="4"/>
  <c r="P25" i="4"/>
  <c r="O25" i="4"/>
  <c r="N25" i="4"/>
  <c r="M25" i="4"/>
  <c r="AJ24" i="4"/>
  <c r="R24" i="4"/>
  <c r="Q24" i="4"/>
  <c r="P24" i="4"/>
  <c r="O24" i="4"/>
  <c r="N24" i="4"/>
  <c r="M24" i="4"/>
  <c r="Q23" i="4"/>
  <c r="R23" i="4" s="1"/>
  <c r="O23" i="4"/>
  <c r="P23" i="4" s="1"/>
  <c r="N23" i="4"/>
  <c r="M23" i="4"/>
  <c r="R22" i="4"/>
  <c r="Q22" i="4"/>
  <c r="P22" i="4"/>
  <c r="O22" i="4"/>
  <c r="N22" i="4"/>
  <c r="M22" i="4"/>
  <c r="AJ21" i="4"/>
  <c r="Q21" i="4"/>
  <c r="R21" i="4" s="1"/>
  <c r="O21" i="4"/>
  <c r="P21" i="4" s="1"/>
  <c r="M21" i="4"/>
  <c r="N21" i="4" s="1"/>
  <c r="R20" i="4"/>
  <c r="Q20" i="4"/>
  <c r="P20" i="4"/>
  <c r="O20" i="4"/>
  <c r="N20" i="4"/>
  <c r="M20" i="4"/>
  <c r="AI19" i="4"/>
  <c r="AA19" i="4"/>
  <c r="R19" i="4"/>
  <c r="Q19" i="4"/>
  <c r="P19" i="4"/>
  <c r="O19" i="4"/>
  <c r="N19" i="4"/>
  <c r="M19" i="4"/>
  <c r="R18" i="4"/>
  <c r="Q18" i="4"/>
  <c r="P18" i="4"/>
  <c r="O18" i="4"/>
  <c r="N18" i="4"/>
  <c r="M18" i="4"/>
  <c r="Q17" i="4"/>
  <c r="R17" i="4" s="1"/>
  <c r="O17" i="4"/>
  <c r="P17" i="4" s="1"/>
  <c r="M17" i="4"/>
  <c r="N17" i="4" s="1"/>
  <c r="AI16" i="4"/>
  <c r="R16" i="4"/>
  <c r="Q16" i="4"/>
  <c r="P16" i="4"/>
  <c r="O16" i="4"/>
  <c r="N16" i="4"/>
  <c r="M16" i="4"/>
  <c r="AA15" i="4"/>
  <c r="R15" i="4"/>
  <c r="Q15" i="4"/>
  <c r="P15" i="4"/>
  <c r="O15" i="4"/>
  <c r="N15" i="4"/>
  <c r="M15" i="4"/>
  <c r="AA14" i="4"/>
  <c r="R14" i="4"/>
  <c r="Q14" i="4" a="1"/>
  <c r="Q14" i="4" s="1"/>
  <c r="P14" i="4"/>
  <c r="O14" i="4"/>
  <c r="N14" i="4"/>
  <c r="M14" i="4"/>
  <c r="AA13" i="4"/>
  <c r="R13" i="4"/>
  <c r="Q13" i="4"/>
  <c r="Q13" i="4" a="1"/>
  <c r="O13" i="4"/>
  <c r="P13" i="4" s="1"/>
  <c r="M13" i="4"/>
  <c r="N13" i="4" s="1"/>
  <c r="R12" i="4"/>
  <c r="Q12" i="4"/>
  <c r="Q12" i="4" a="1"/>
  <c r="P12" i="4"/>
  <c r="O12" i="4"/>
  <c r="N12" i="4"/>
  <c r="M12" i="4"/>
  <c r="R11" i="4"/>
  <c r="Q11" i="4"/>
  <c r="O11" i="4"/>
  <c r="P11" i="4" s="1"/>
  <c r="M11" i="4"/>
  <c r="N11" i="4" s="1"/>
  <c r="R10" i="4"/>
  <c r="Q10" i="4"/>
  <c r="P10" i="4"/>
  <c r="O10" i="4"/>
  <c r="N10" i="4"/>
  <c r="M10" i="4"/>
  <c r="R9" i="4"/>
  <c r="Q9" i="4"/>
  <c r="P9" i="4"/>
  <c r="O9" i="4"/>
  <c r="N9" i="4"/>
  <c r="M9" i="4"/>
  <c r="AJ8" i="4"/>
  <c r="AJ40" i="4" s="1"/>
  <c r="H38" i="5" s="1"/>
  <c r="AI8" i="4"/>
  <c r="R8" i="4"/>
  <c r="Q8" i="4"/>
  <c r="P8" i="4"/>
  <c r="O8" i="4"/>
  <c r="N8" i="4"/>
  <c r="M8" i="4"/>
  <c r="G137" i="3"/>
  <c r="I118" i="5" s="1"/>
  <c r="K77" i="3"/>
  <c r="F72" i="3"/>
  <c r="E72" i="3"/>
  <c r="L71" i="3"/>
  <c r="J70" i="3"/>
  <c r="I70" i="3"/>
  <c r="H70" i="3"/>
  <c r="L68" i="3"/>
  <c r="K68" i="3"/>
  <c r="J68" i="3"/>
  <c r="L66" i="3"/>
  <c r="K66" i="3"/>
  <c r="J66" i="3"/>
  <c r="K64" i="3"/>
  <c r="J64" i="3"/>
  <c r="L62" i="3"/>
  <c r="K62" i="3"/>
  <c r="J62" i="3"/>
  <c r="K60" i="3"/>
  <c r="J60" i="3"/>
  <c r="L58" i="3"/>
  <c r="K58" i="3"/>
  <c r="J58" i="3"/>
  <c r="K37" i="3"/>
  <c r="J37" i="3"/>
  <c r="A5" i="3"/>
  <c r="H72" i="3" s="1"/>
  <c r="G23" i="2"/>
  <c r="D23" i="2"/>
  <c r="G22" i="2"/>
  <c r="D22" i="2"/>
  <c r="D13" i="2" s="1"/>
  <c r="G21" i="2"/>
  <c r="D21" i="2"/>
  <c r="H20" i="2"/>
  <c r="E20" i="2"/>
  <c r="F19" i="2"/>
  <c r="F18" i="2"/>
  <c r="C18" i="2"/>
  <c r="D14" i="2"/>
  <c r="H7" i="2"/>
  <c r="B7" i="2"/>
  <c r="K51" i="5" l="1"/>
  <c r="M51" i="5"/>
  <c r="E51" i="6"/>
  <c r="Y51" i="5"/>
  <c r="Q51" i="5"/>
  <c r="J51" i="5"/>
  <c r="U38" i="5"/>
  <c r="F108" i="8"/>
  <c r="F108" i="7"/>
  <c r="I108" i="7" s="1"/>
  <c r="F105" i="6"/>
  <c r="J101" i="5"/>
  <c r="E137" i="6"/>
  <c r="J124" i="5"/>
  <c r="M124" i="5"/>
  <c r="K124" i="5"/>
  <c r="H35" i="7"/>
  <c r="H35" i="8"/>
  <c r="E44" i="6"/>
  <c r="J46" i="5"/>
  <c r="M46" i="5"/>
  <c r="K46" i="5"/>
  <c r="Q46" i="5"/>
  <c r="E49" i="6"/>
  <c r="K49" i="5"/>
  <c r="M49" i="5"/>
  <c r="Q49" i="5"/>
  <c r="Y49" i="5"/>
  <c r="J35" i="8"/>
  <c r="J35" i="7"/>
  <c r="J43" i="8"/>
  <c r="J43" i="7"/>
  <c r="E77" i="8"/>
  <c r="N73" i="5"/>
  <c r="AA75" i="5"/>
  <c r="G81" i="6"/>
  <c r="K81" i="6" s="1"/>
  <c r="K43" i="8"/>
  <c r="Z45" i="5"/>
  <c r="M43" i="8" s="1"/>
  <c r="E28" i="6"/>
  <c r="M34" i="5"/>
  <c r="Y34" i="5"/>
  <c r="Q34" i="5"/>
  <c r="K34" i="5"/>
  <c r="J34" i="5"/>
  <c r="F64" i="8"/>
  <c r="F64" i="7"/>
  <c r="F64" i="6"/>
  <c r="I64" i="6" s="1"/>
  <c r="J99" i="5"/>
  <c r="I71" i="5"/>
  <c r="U71" i="5"/>
  <c r="F86" i="8"/>
  <c r="F86" i="7"/>
  <c r="F86" i="6"/>
  <c r="I86" i="6" s="1"/>
  <c r="J80" i="5"/>
  <c r="G78" i="5"/>
  <c r="J78" i="5" s="1"/>
  <c r="I67" i="5"/>
  <c r="H83" i="6"/>
  <c r="V77" i="5"/>
  <c r="Y77" i="5"/>
  <c r="S77" i="5"/>
  <c r="W77" i="5"/>
  <c r="K118" i="5"/>
  <c r="J118" i="5"/>
  <c r="E126" i="6"/>
  <c r="M118" i="5"/>
  <c r="Q118" i="5"/>
  <c r="Q48" i="5"/>
  <c r="E46" i="6"/>
  <c r="Y48" i="5"/>
  <c r="M48" i="5"/>
  <c r="K48" i="5"/>
  <c r="J48" i="5"/>
  <c r="G83" i="5"/>
  <c r="V83" i="5"/>
  <c r="E25" i="6"/>
  <c r="M31" i="5"/>
  <c r="Y31" i="5"/>
  <c r="Q31" i="5"/>
  <c r="Y46" i="5"/>
  <c r="E27" i="6"/>
  <c r="Y33" i="5"/>
  <c r="Q33" i="5"/>
  <c r="M33" i="5"/>
  <c r="K33" i="5"/>
  <c r="J33" i="5"/>
  <c r="F15" i="6"/>
  <c r="F56" i="8"/>
  <c r="F56" i="6"/>
  <c r="I56" i="6" s="1"/>
  <c r="F56" i="7"/>
  <c r="D12" i="2"/>
  <c r="J31" i="5"/>
  <c r="H32" i="6"/>
  <c r="S36" i="5"/>
  <c r="W36" i="5"/>
  <c r="Z80" i="5"/>
  <c r="M86" i="8" s="1"/>
  <c r="J86" i="6"/>
  <c r="X80" i="5"/>
  <c r="M86" i="7" s="1"/>
  <c r="T80" i="5"/>
  <c r="E50" i="8"/>
  <c r="N50" i="5"/>
  <c r="Y47" i="5"/>
  <c r="M47" i="5"/>
  <c r="E45" i="6"/>
  <c r="K47" i="5"/>
  <c r="Q47" i="5"/>
  <c r="E25" i="7"/>
  <c r="L31" i="5"/>
  <c r="H33" i="6"/>
  <c r="S37" i="5"/>
  <c r="W37" i="5"/>
  <c r="S65" i="5"/>
  <c r="H67" i="6"/>
  <c r="W65" i="5"/>
  <c r="E81" i="8"/>
  <c r="N75" i="5"/>
  <c r="E26" i="6"/>
  <c r="K32" i="5"/>
  <c r="Y32" i="5"/>
  <c r="Q32" i="5"/>
  <c r="M32" i="5"/>
  <c r="L107" i="5"/>
  <c r="E116" i="7"/>
  <c r="E119" i="7"/>
  <c r="L110" i="5"/>
  <c r="H121" i="5"/>
  <c r="H25" i="5"/>
  <c r="I25" i="5" s="1"/>
  <c r="J25" i="5" s="1"/>
  <c r="AJ33" i="4"/>
  <c r="H35" i="5" s="1"/>
  <c r="I35" i="5" s="1"/>
  <c r="H23" i="5"/>
  <c r="I23" i="5" s="1"/>
  <c r="H22" i="5"/>
  <c r="I22" i="5" s="1"/>
  <c r="H28" i="5"/>
  <c r="I28" i="5" s="1"/>
  <c r="AJ49" i="4"/>
  <c r="H21" i="5"/>
  <c r="I21" i="5" s="1"/>
  <c r="H27" i="5"/>
  <c r="I27" i="5" s="1"/>
  <c r="H26" i="5"/>
  <c r="I26" i="5" s="1"/>
  <c r="H24" i="5"/>
  <c r="I24" i="5" s="1"/>
  <c r="G26" i="6"/>
  <c r="K26" i="6" s="1"/>
  <c r="AA32" i="5"/>
  <c r="O40" i="5"/>
  <c r="R40" i="5"/>
  <c r="P40" i="5" s="1"/>
  <c r="J112" i="8"/>
  <c r="N112" i="8" s="1"/>
  <c r="J112" i="7"/>
  <c r="AC103" i="5"/>
  <c r="Z39" i="5"/>
  <c r="M35" i="8" s="1"/>
  <c r="G114" i="8"/>
  <c r="AC105" i="5"/>
  <c r="K78" i="5"/>
  <c r="Y78" i="5"/>
  <c r="E84" i="6"/>
  <c r="Q78" i="5"/>
  <c r="K36" i="3"/>
  <c r="L67" i="3"/>
  <c r="J98" i="5"/>
  <c r="G58" i="3"/>
  <c r="G62" i="3"/>
  <c r="G64" i="3"/>
  <c r="G68" i="3"/>
  <c r="J71" i="3"/>
  <c r="H37" i="3"/>
  <c r="H58" i="3"/>
  <c r="H60" i="3"/>
  <c r="H62" i="3"/>
  <c r="H64" i="3"/>
  <c r="H66" i="3"/>
  <c r="H68" i="3"/>
  <c r="G70" i="3"/>
  <c r="K71" i="3"/>
  <c r="G77" i="3"/>
  <c r="F98" i="8"/>
  <c r="F98" i="7"/>
  <c r="I98" i="7" s="1"/>
  <c r="F95" i="6"/>
  <c r="K76" i="5"/>
  <c r="Y76" i="5"/>
  <c r="Q76" i="5"/>
  <c r="X69" i="5"/>
  <c r="M71" i="7" s="1"/>
  <c r="M76" i="5"/>
  <c r="F91" i="8"/>
  <c r="F91" i="7"/>
  <c r="L90" i="5"/>
  <c r="J107" i="5"/>
  <c r="Y107" i="5"/>
  <c r="Q107" i="5"/>
  <c r="M107" i="5"/>
  <c r="J124" i="8"/>
  <c r="J124" i="7"/>
  <c r="AB113" i="5"/>
  <c r="AC113" i="5"/>
  <c r="K70" i="3"/>
  <c r="H54" i="6"/>
  <c r="W52" i="5"/>
  <c r="S52" i="5"/>
  <c r="T52" i="5" s="1"/>
  <c r="L46" i="8"/>
  <c r="I46" i="8"/>
  <c r="F69" i="8"/>
  <c r="F69" i="7"/>
  <c r="F69" i="6"/>
  <c r="I69" i="6" s="1"/>
  <c r="J67" i="5"/>
  <c r="F74" i="6"/>
  <c r="I74" i="6" s="1"/>
  <c r="F74" i="7"/>
  <c r="F74" i="8"/>
  <c r="W87" i="5"/>
  <c r="X87" i="5" s="1"/>
  <c r="V87" i="5"/>
  <c r="AA87" i="5" s="1"/>
  <c r="S87" i="5"/>
  <c r="Y87" i="5"/>
  <c r="Z87" i="5" s="1"/>
  <c r="G61" i="3"/>
  <c r="H38" i="8"/>
  <c r="H38" i="7"/>
  <c r="K50" i="5"/>
  <c r="G118" i="7"/>
  <c r="AB109" i="5"/>
  <c r="L116" i="5"/>
  <c r="F57" i="7"/>
  <c r="F57" i="8"/>
  <c r="F57" i="6"/>
  <c r="I57" i="6" s="1"/>
  <c r="G114" i="7"/>
  <c r="AB105" i="5"/>
  <c r="B2" i="8"/>
  <c r="B2" i="7"/>
  <c r="B2" i="6"/>
  <c r="L37" i="3"/>
  <c r="L60" i="3"/>
  <c r="L64" i="3"/>
  <c r="K137" i="3"/>
  <c r="U118" i="5" s="1"/>
  <c r="I70" i="5"/>
  <c r="U70" i="5"/>
  <c r="F50" i="7"/>
  <c r="I50" i="7" s="1"/>
  <c r="F50" i="6"/>
  <c r="F50" i="8"/>
  <c r="E35" i="3"/>
  <c r="G40" i="3"/>
  <c r="I41" i="5" s="1"/>
  <c r="F59" i="3"/>
  <c r="F63" i="3"/>
  <c r="F65" i="3"/>
  <c r="G72" i="3"/>
  <c r="F45" i="8"/>
  <c r="J47" i="5"/>
  <c r="F45" i="7"/>
  <c r="I45" i="7" s="1"/>
  <c r="F49" i="7"/>
  <c r="I49" i="7" s="1"/>
  <c r="F49" i="8"/>
  <c r="F49" i="6"/>
  <c r="J49" i="5"/>
  <c r="J50" i="5"/>
  <c r="F66" i="8"/>
  <c r="F66" i="6"/>
  <c r="I66" i="6" s="1"/>
  <c r="G41" i="12"/>
  <c r="C19" i="2"/>
  <c r="G35" i="3"/>
  <c r="I36" i="5" s="1"/>
  <c r="K40" i="3"/>
  <c r="U41" i="5" s="1"/>
  <c r="G59" i="3"/>
  <c r="G63" i="3"/>
  <c r="G65" i="3"/>
  <c r="G67" i="3"/>
  <c r="G69" i="3"/>
  <c r="L70" i="3"/>
  <c r="K138" i="3"/>
  <c r="U119" i="5" s="1"/>
  <c r="K35" i="3"/>
  <c r="G42" i="3"/>
  <c r="I43" i="5" s="1"/>
  <c r="H59" i="3"/>
  <c r="H61" i="3"/>
  <c r="H63" i="3"/>
  <c r="H65" i="3"/>
  <c r="H67" i="3"/>
  <c r="H69" i="3"/>
  <c r="E71" i="3"/>
  <c r="I72" i="3"/>
  <c r="U67" i="5" s="1"/>
  <c r="U53" i="5"/>
  <c r="I53" i="5"/>
  <c r="F104" i="8"/>
  <c r="F104" i="7"/>
  <c r="I104" i="7" s="1"/>
  <c r="F101" i="6"/>
  <c r="A2" i="5"/>
  <c r="B3" i="8"/>
  <c r="B3" i="7"/>
  <c r="J26" i="5"/>
  <c r="F17" i="6"/>
  <c r="J27" i="5"/>
  <c r="E43" i="6"/>
  <c r="M45" i="5"/>
  <c r="K45" i="5"/>
  <c r="R98" i="5"/>
  <c r="O98" i="5"/>
  <c r="E118" i="8"/>
  <c r="N109" i="5"/>
  <c r="J133" i="8"/>
  <c r="AC121" i="5"/>
  <c r="F61" i="3"/>
  <c r="E36" i="3"/>
  <c r="K42" i="3"/>
  <c r="U43" i="5" s="1"/>
  <c r="J59" i="3"/>
  <c r="J61" i="3"/>
  <c r="J63" i="3"/>
  <c r="J65" i="3"/>
  <c r="J67" i="3"/>
  <c r="J69" i="3"/>
  <c r="F71" i="3"/>
  <c r="J72" i="3"/>
  <c r="J97" i="5"/>
  <c r="I72" i="5"/>
  <c r="J72" i="5" s="1"/>
  <c r="H87" i="6"/>
  <c r="V81" i="5"/>
  <c r="G121" i="5"/>
  <c r="G37" i="5"/>
  <c r="E35" i="6"/>
  <c r="M39" i="5"/>
  <c r="J39" i="5"/>
  <c r="J45" i="5"/>
  <c r="M69" i="5"/>
  <c r="E71" i="6"/>
  <c r="K69" i="5"/>
  <c r="M78" i="5"/>
  <c r="V84" i="5"/>
  <c r="F67" i="3"/>
  <c r="G36" i="3"/>
  <c r="I37" i="5" s="1"/>
  <c r="Y37" i="5" s="1"/>
  <c r="G43" i="3"/>
  <c r="I44" i="5" s="1"/>
  <c r="K59" i="3"/>
  <c r="K61" i="3"/>
  <c r="K63" i="3"/>
  <c r="K65" i="3"/>
  <c r="K67" i="3"/>
  <c r="K69" i="3"/>
  <c r="G71" i="3"/>
  <c r="K72" i="3"/>
  <c r="F105" i="8"/>
  <c r="F102" i="6"/>
  <c r="F105" i="7"/>
  <c r="I105" i="7" s="1"/>
  <c r="G36" i="5"/>
  <c r="E35" i="7"/>
  <c r="L39" i="5"/>
  <c r="K38" i="8"/>
  <c r="I66" i="5"/>
  <c r="G71" i="6"/>
  <c r="K71" i="6" s="1"/>
  <c r="U72" i="5"/>
  <c r="J133" i="7"/>
  <c r="Q50" i="5"/>
  <c r="E50" i="6"/>
  <c r="Y50" i="5"/>
  <c r="L72" i="3"/>
  <c r="J100" i="5"/>
  <c r="F65" i="8"/>
  <c r="F65" i="7"/>
  <c r="F65" i="6"/>
  <c r="I65" i="6" s="1"/>
  <c r="F100" i="8"/>
  <c r="F100" i="7"/>
  <c r="I100" i="7" s="1"/>
  <c r="F97" i="6"/>
  <c r="AB40" i="5"/>
  <c r="G36" i="7"/>
  <c r="H43" i="8"/>
  <c r="H43" i="7"/>
  <c r="I52" i="5"/>
  <c r="R69" i="5"/>
  <c r="O69" i="5"/>
  <c r="V72" i="5"/>
  <c r="J74" i="6" s="1"/>
  <c r="AB88" i="5"/>
  <c r="J115" i="8"/>
  <c r="N115" i="8" s="1"/>
  <c r="J115" i="7"/>
  <c r="AC106" i="5"/>
  <c r="J127" i="8"/>
  <c r="J127" i="7"/>
  <c r="J122" i="5"/>
  <c r="Y122" i="5"/>
  <c r="Q122" i="5"/>
  <c r="M122" i="5"/>
  <c r="F45" i="6"/>
  <c r="G138" i="3"/>
  <c r="I119" i="5" s="1"/>
  <c r="L69" i="3"/>
  <c r="F106" i="8"/>
  <c r="F103" i="6"/>
  <c r="F106" i="7"/>
  <c r="I106" i="7" s="1"/>
  <c r="P99" i="5"/>
  <c r="F37" i="3"/>
  <c r="I38" i="5" s="1"/>
  <c r="F58" i="3"/>
  <c r="F60" i="3"/>
  <c r="F62" i="3"/>
  <c r="F64" i="3"/>
  <c r="F66" i="3"/>
  <c r="F68" i="3"/>
  <c r="E70" i="3"/>
  <c r="I65" i="5" s="1"/>
  <c r="I71" i="3"/>
  <c r="U66" i="5" s="1"/>
  <c r="G73" i="3"/>
  <c r="I68" i="5" s="1"/>
  <c r="E81" i="6"/>
  <c r="K75" i="5"/>
  <c r="Y75" i="5"/>
  <c r="Q75" i="5"/>
  <c r="H94" i="5"/>
  <c r="H93" i="5"/>
  <c r="H95" i="5"/>
  <c r="G65" i="5"/>
  <c r="Y69" i="5"/>
  <c r="H71" i="6"/>
  <c r="S69" i="5"/>
  <c r="T69" i="5" s="1"/>
  <c r="V69" i="5"/>
  <c r="J71" i="6" s="1"/>
  <c r="G76" i="5"/>
  <c r="J76" i="5" s="1"/>
  <c r="V86" i="5"/>
  <c r="AA86" i="5" s="1"/>
  <c r="E108" i="7"/>
  <c r="L101" i="5"/>
  <c r="K122" i="5"/>
  <c r="E82" i="6"/>
  <c r="F66" i="7"/>
  <c r="F69" i="3"/>
  <c r="K43" i="3"/>
  <c r="U44" i="5" s="1"/>
  <c r="L59" i="3"/>
  <c r="L61" i="3"/>
  <c r="L63" i="3"/>
  <c r="L65" i="3"/>
  <c r="H71" i="3"/>
  <c r="G37" i="3"/>
  <c r="G60" i="3"/>
  <c r="G66" i="3"/>
  <c r="F70" i="3"/>
  <c r="K73" i="3"/>
  <c r="U68" i="5" s="1"/>
  <c r="F107" i="8"/>
  <c r="F107" i="7"/>
  <c r="I107" i="7" s="1"/>
  <c r="F104" i="6"/>
  <c r="G66" i="5"/>
  <c r="G42" i="5"/>
  <c r="Z42" i="5" s="1"/>
  <c r="M38" i="8" s="1"/>
  <c r="G94" i="5"/>
  <c r="Y86" i="5"/>
  <c r="Z86" i="5" s="1"/>
  <c r="W86" i="5"/>
  <c r="X86" i="5" s="1"/>
  <c r="S86" i="5"/>
  <c r="L99" i="5"/>
  <c r="R101" i="5"/>
  <c r="O101" i="5"/>
  <c r="L73" i="5"/>
  <c r="H106" i="8"/>
  <c r="H106" i="7"/>
  <c r="Z100" i="5"/>
  <c r="M107" i="8" s="1"/>
  <c r="G112" i="7"/>
  <c r="N112" i="7" s="1"/>
  <c r="AB103" i="5"/>
  <c r="J110" i="5"/>
  <c r="J125" i="8"/>
  <c r="N125" i="8" s="1"/>
  <c r="J125" i="7"/>
  <c r="N125" i="7" s="1"/>
  <c r="G124" i="6"/>
  <c r="K124" i="6" s="1"/>
  <c r="AA116" i="5"/>
  <c r="F151" i="7"/>
  <c r="F148" i="6"/>
  <c r="F151" i="8"/>
  <c r="K112" i="6"/>
  <c r="L34" i="8"/>
  <c r="I34" i="8"/>
  <c r="J114" i="8"/>
  <c r="J114" i="7"/>
  <c r="Q110" i="5"/>
  <c r="N124" i="8"/>
  <c r="AC114" i="5"/>
  <c r="F70" i="6"/>
  <c r="I70" i="6" s="1"/>
  <c r="I77" i="7"/>
  <c r="L77" i="7"/>
  <c r="Y40" i="5"/>
  <c r="I44" i="8"/>
  <c r="L44" i="8"/>
  <c r="X73" i="5"/>
  <c r="M77" i="7" s="1"/>
  <c r="O89" i="5"/>
  <c r="P89" i="5" s="1"/>
  <c r="H118" i="7"/>
  <c r="H118" i="8"/>
  <c r="Y110" i="5"/>
  <c r="N126" i="7"/>
  <c r="L40" i="7"/>
  <c r="I40" i="7"/>
  <c r="I58" i="7"/>
  <c r="L58" i="7"/>
  <c r="M100" i="5"/>
  <c r="K100" i="5"/>
  <c r="Q100" i="5"/>
  <c r="E104" i="6"/>
  <c r="AA40" i="5"/>
  <c r="K98" i="5"/>
  <c r="Y98" i="5"/>
  <c r="E102" i="6"/>
  <c r="M98" i="5"/>
  <c r="J118" i="8"/>
  <c r="J118" i="7"/>
  <c r="J126" i="8"/>
  <c r="J126" i="7"/>
  <c r="J20" i="6"/>
  <c r="G115" i="6"/>
  <c r="K115" i="6" s="1"/>
  <c r="L37" i="7"/>
  <c r="I37" i="7"/>
  <c r="F70" i="7"/>
  <c r="F60" i="14"/>
  <c r="F60" i="12"/>
  <c r="I60" i="12" s="1"/>
  <c r="F60" i="13"/>
  <c r="L70" i="8"/>
  <c r="I70" i="8"/>
  <c r="J113" i="8"/>
  <c r="N113" i="8" s="1"/>
  <c r="J113" i="7"/>
  <c r="N113" i="7" s="1"/>
  <c r="G115" i="7"/>
  <c r="N115" i="7" s="1"/>
  <c r="AB106" i="5"/>
  <c r="Z116" i="5"/>
  <c r="M127" i="8" s="1"/>
  <c r="G133" i="7"/>
  <c r="N133" i="7" s="1"/>
  <c r="AB121" i="5"/>
  <c r="F44" i="7"/>
  <c r="I44" i="7" s="1"/>
  <c r="F54" i="7"/>
  <c r="M65" i="11"/>
  <c r="E66" i="12"/>
  <c r="Q65" i="11"/>
  <c r="K65" i="11"/>
  <c r="E66" i="13" s="1"/>
  <c r="L34" i="7"/>
  <c r="I34" i="7"/>
  <c r="I54" i="8"/>
  <c r="L54" i="8"/>
  <c r="E106" i="8"/>
  <c r="N99" i="5"/>
  <c r="AC115" i="5"/>
  <c r="E119" i="8"/>
  <c r="N110" i="5"/>
  <c r="J123" i="8"/>
  <c r="J123" i="7"/>
  <c r="N123" i="7" s="1"/>
  <c r="F44" i="6"/>
  <c r="L60" i="7"/>
  <c r="L72" i="7"/>
  <c r="F71" i="8"/>
  <c r="F71" i="7"/>
  <c r="R73" i="5"/>
  <c r="P73" i="5" s="1"/>
  <c r="M101" i="5"/>
  <c r="N124" i="7"/>
  <c r="N133" i="8"/>
  <c r="L63" i="8"/>
  <c r="I63" i="8"/>
  <c r="I73" i="8"/>
  <c r="L73" i="8"/>
  <c r="L134" i="8"/>
  <c r="I134" i="8"/>
  <c r="J47" i="14"/>
  <c r="J47" i="13"/>
  <c r="F43" i="6"/>
  <c r="L14" i="8"/>
  <c r="I14" i="8"/>
  <c r="G18" i="12"/>
  <c r="F51" i="7"/>
  <c r="I51" i="7" s="1"/>
  <c r="F51" i="8"/>
  <c r="F59" i="8"/>
  <c r="F59" i="7"/>
  <c r="N123" i="8"/>
  <c r="N116" i="5"/>
  <c r="Y101" i="5"/>
  <c r="H127" i="8"/>
  <c r="H127" i="7"/>
  <c r="F146" i="6"/>
  <c r="F149" i="7"/>
  <c r="F149" i="8"/>
  <c r="J151" i="7"/>
  <c r="J151" i="8"/>
  <c r="AB70" i="11"/>
  <c r="L26" i="8"/>
  <c r="I26" i="8"/>
  <c r="N126" i="8"/>
  <c r="E124" i="6"/>
  <c r="F55" i="7"/>
  <c r="L140" i="7"/>
  <c r="I140" i="7"/>
  <c r="E41" i="12"/>
  <c r="Q44" i="11"/>
  <c r="M44" i="11"/>
  <c r="K44" i="11"/>
  <c r="E41" i="13" s="1"/>
  <c r="W94" i="11"/>
  <c r="K98" i="13" s="1"/>
  <c r="V94" i="11"/>
  <c r="J95" i="12" s="1"/>
  <c r="S94" i="11"/>
  <c r="T94" i="11" s="1"/>
  <c r="H95" i="12"/>
  <c r="E38" i="12"/>
  <c r="J41" i="11"/>
  <c r="Q41" i="11"/>
  <c r="M41" i="11"/>
  <c r="K41" i="11"/>
  <c r="F24" i="12"/>
  <c r="I43" i="8"/>
  <c r="L43" i="8"/>
  <c r="AB115" i="5"/>
  <c r="F51" i="6"/>
  <c r="F55" i="6"/>
  <c r="I55" i="6" s="1"/>
  <c r="F46" i="7"/>
  <c r="I46" i="7" s="1"/>
  <c r="L115" i="8"/>
  <c r="I115" i="8"/>
  <c r="H35" i="12"/>
  <c r="S40" i="11"/>
  <c r="T40" i="11" s="1"/>
  <c r="W40" i="11"/>
  <c r="K35" i="13" s="1"/>
  <c r="V40" i="11"/>
  <c r="J35" i="12" s="1"/>
  <c r="L126" i="8"/>
  <c r="I126" i="8"/>
  <c r="F15" i="14"/>
  <c r="F15" i="13"/>
  <c r="L25" i="11"/>
  <c r="J25" i="11"/>
  <c r="F15" i="12"/>
  <c r="E22" i="12"/>
  <c r="M31" i="11"/>
  <c r="N31" i="11" s="1"/>
  <c r="K31" i="11"/>
  <c r="L31" i="11" s="1"/>
  <c r="Y31" i="11"/>
  <c r="Z31" i="11" s="1"/>
  <c r="M22" i="14" s="1"/>
  <c r="Q31" i="11"/>
  <c r="R47" i="11"/>
  <c r="P47" i="11" s="1"/>
  <c r="Q63" i="11"/>
  <c r="M63" i="11"/>
  <c r="E64" i="12"/>
  <c r="K63" i="11"/>
  <c r="E64" i="13" s="1"/>
  <c r="H48" i="12"/>
  <c r="Y51" i="11"/>
  <c r="W51" i="11"/>
  <c r="K48" i="13" s="1"/>
  <c r="V51" i="11"/>
  <c r="J48" i="12" s="1"/>
  <c r="S51" i="11"/>
  <c r="T51" i="11" s="1"/>
  <c r="H68" i="12"/>
  <c r="V67" i="11"/>
  <c r="J68" i="12" s="1"/>
  <c r="S67" i="11"/>
  <c r="W67" i="11"/>
  <c r="K68" i="13" s="1"/>
  <c r="I22" i="11" a="1"/>
  <c r="I22" i="11" s="1"/>
  <c r="F100" i="13"/>
  <c r="F100" i="14"/>
  <c r="F97" i="12"/>
  <c r="I97" i="12" s="1"/>
  <c r="T96" i="11"/>
  <c r="K106" i="13"/>
  <c r="X100" i="11"/>
  <c r="M106" i="13" s="1"/>
  <c r="L116" i="8"/>
  <c r="I116" i="8"/>
  <c r="E17" i="12"/>
  <c r="Q28" i="11"/>
  <c r="K28" i="11"/>
  <c r="E17" i="13" s="1"/>
  <c r="M28" i="11"/>
  <c r="H42" i="12"/>
  <c r="Y45" i="11"/>
  <c r="W45" i="11"/>
  <c r="V45" i="11"/>
  <c r="J42" i="12" s="1"/>
  <c r="S45" i="11"/>
  <c r="T45" i="11" s="1"/>
  <c r="W19" i="10" a="1"/>
  <c r="W19" i="10" s="1"/>
  <c r="L125" i="8"/>
  <c r="I125" i="8"/>
  <c r="H17" i="12"/>
  <c r="W28" i="11"/>
  <c r="K17" i="13" s="1"/>
  <c r="Y28" i="11"/>
  <c r="V28" i="11"/>
  <c r="S28" i="11"/>
  <c r="T28" i="11" s="1"/>
  <c r="L60" i="8"/>
  <c r="I114" i="8"/>
  <c r="F17" i="14"/>
  <c r="F17" i="13"/>
  <c r="F17" i="12"/>
  <c r="I17" i="12" s="1"/>
  <c r="J28" i="11"/>
  <c r="K46" i="14"/>
  <c r="Z49" i="11"/>
  <c r="M46" i="14" s="1"/>
  <c r="J56" i="14"/>
  <c r="J56" i="13"/>
  <c r="K56" i="14"/>
  <c r="Z57" i="11"/>
  <c r="M56" i="14" s="1"/>
  <c r="I62" i="8"/>
  <c r="E48" i="12"/>
  <c r="Q51" i="11"/>
  <c r="K51" i="11"/>
  <c r="E48" i="13" s="1"/>
  <c r="M51" i="11"/>
  <c r="H100" i="11"/>
  <c r="I100" i="11" s="1" a="1"/>
  <c r="I100" i="11" s="1"/>
  <c r="H92" i="11"/>
  <c r="I92" i="11" s="1" a="1"/>
  <c r="I92" i="11" s="1"/>
  <c r="H94" i="11"/>
  <c r="H88" i="11"/>
  <c r="I88" i="11" s="1" a="1"/>
  <c r="I88" i="11" s="1"/>
  <c r="H66" i="11"/>
  <c r="H67" i="11"/>
  <c r="I67" i="11" s="1" a="1"/>
  <c r="I67" i="11" s="1"/>
  <c r="H86" i="11"/>
  <c r="H70" i="11"/>
  <c r="H73" i="11"/>
  <c r="I73" i="11" s="1" a="1"/>
  <c r="I73" i="11" s="1"/>
  <c r="H71" i="11"/>
  <c r="V42" i="10"/>
  <c r="V38" i="10"/>
  <c r="V34" i="10"/>
  <c r="V30" i="10"/>
  <c r="V28" i="10"/>
  <c r="V26" i="10"/>
  <c r="V22" i="10"/>
  <c r="W18" i="10" a="1"/>
  <c r="W18" i="10" s="1"/>
  <c r="J39" i="11" s="1"/>
  <c r="V11" i="10"/>
  <c r="H36" i="11"/>
  <c r="H32" i="11"/>
  <c r="I32" i="11" s="1" a="1"/>
  <c r="I32" i="11" s="1"/>
  <c r="H30" i="11"/>
  <c r="I30" i="11" s="1" a="1"/>
  <c r="I30" i="11" s="1"/>
  <c r="H21" i="11"/>
  <c r="I21" i="11" s="1" a="1"/>
  <c r="I21" i="11" s="1"/>
  <c r="H77" i="11"/>
  <c r="I77" i="11" s="1" a="1"/>
  <c r="I77" i="11" s="1"/>
  <c r="H40" i="11"/>
  <c r="AI136" i="10"/>
  <c r="V41" i="10"/>
  <c r="V37" i="10"/>
  <c r="V33" i="10"/>
  <c r="V21" i="10"/>
  <c r="W17" i="10" a="1"/>
  <c r="W17" i="10" s="1"/>
  <c r="W10" i="10" a="1"/>
  <c r="W10" i="10" s="1"/>
  <c r="H74" i="11"/>
  <c r="W31" i="10" a="1"/>
  <c r="W31" i="10" s="1"/>
  <c r="V17" i="10"/>
  <c r="W13" i="10" a="1"/>
  <c r="W13" i="10" s="1"/>
  <c r="V10" i="10"/>
  <c r="K8" i="10"/>
  <c r="H98" i="11"/>
  <c r="I98" i="11" s="1" a="1"/>
  <c r="I98" i="11" s="1"/>
  <c r="H62" i="11"/>
  <c r="U62" i="11" s="1" a="1"/>
  <c r="U62" i="11" s="1"/>
  <c r="H60" i="11"/>
  <c r="U60" i="11" s="1" a="1"/>
  <c r="U60" i="11" s="1"/>
  <c r="H58" i="11"/>
  <c r="H39" i="11"/>
  <c r="H68" i="11"/>
  <c r="U68" i="11" s="1" a="1"/>
  <c r="U68" i="11" s="1"/>
  <c r="H63" i="11"/>
  <c r="H61" i="11"/>
  <c r="H59" i="11"/>
  <c r="U59" i="11" s="1" a="1"/>
  <c r="U59" i="11" s="1"/>
  <c r="V45" i="10"/>
  <c r="V36" i="10"/>
  <c r="W15" i="10" a="1"/>
  <c r="W15" i="10" s="1"/>
  <c r="H64" i="11"/>
  <c r="W41" i="10" a="1"/>
  <c r="W41" i="10" s="1"/>
  <c r="W32" i="10" a="1"/>
  <c r="W32" i="10" s="1"/>
  <c r="W30" i="10" a="1"/>
  <c r="W30" i="10" s="1"/>
  <c r="V15" i="10"/>
  <c r="K10" i="10"/>
  <c r="H37" i="11"/>
  <c r="V40" i="10"/>
  <c r="V35" i="10"/>
  <c r="W27" i="10" a="1"/>
  <c r="W27" i="10" s="1"/>
  <c r="W25" i="10" a="1"/>
  <c r="W25" i="10" s="1"/>
  <c r="V19" i="10"/>
  <c r="V14" i="10"/>
  <c r="W9" i="10" a="1"/>
  <c r="W9" i="10" s="1"/>
  <c r="V27" i="10"/>
  <c r="V25" i="10"/>
  <c r="W23" i="10" a="1"/>
  <c r="W23" i="10" s="1"/>
  <c r="V13" i="10"/>
  <c r="V9" i="10"/>
  <c r="W44" i="10" a="1"/>
  <c r="W44" i="10" s="1"/>
  <c r="W39" i="10" a="1"/>
  <c r="W39" i="10" s="1"/>
  <c r="W34" i="10" a="1"/>
  <c r="W34" i="10" s="1"/>
  <c r="W29" i="10" a="1"/>
  <c r="W29" i="10" s="1"/>
  <c r="V23" i="10"/>
  <c r="V18" i="10"/>
  <c r="K9" i="10"/>
  <c r="H76" i="11"/>
  <c r="I76" i="11" s="1" a="1"/>
  <c r="I76" i="11" s="1"/>
  <c r="V44" i="10"/>
  <c r="V39" i="10"/>
  <c r="V29" i="10"/>
  <c r="W12" i="10" a="1"/>
  <c r="W12" i="10" s="1"/>
  <c r="AI129" i="10"/>
  <c r="W33" i="10" a="1"/>
  <c r="W33" i="10" s="1"/>
  <c r="V31" i="10"/>
  <c r="W22" i="10" a="1"/>
  <c r="W22" i="10" s="1"/>
  <c r="V12" i="10"/>
  <c r="H33" i="11"/>
  <c r="I33" i="11" s="1" a="1"/>
  <c r="I33" i="11" s="1"/>
  <c r="J33" i="11" s="1"/>
  <c r="H24" i="11"/>
  <c r="I24" i="11" s="1" a="1"/>
  <c r="I24" i="11" s="1"/>
  <c r="J24" i="11" s="1"/>
  <c r="AI148" i="10"/>
  <c r="W43" i="10" a="1"/>
  <c r="W43" i="10" s="1"/>
  <c r="W38" i="10" a="1"/>
  <c r="W38" i="10" s="1"/>
  <c r="K12" i="10"/>
  <c r="W8" i="10" a="1"/>
  <c r="W8" i="10" s="1"/>
  <c r="H65" i="11"/>
  <c r="U65" i="11" s="1" a="1"/>
  <c r="U65" i="11" s="1"/>
  <c r="AI145" i="10"/>
  <c r="W45" i="10" a="1"/>
  <c r="W45" i="10" s="1"/>
  <c r="W42" i="10" a="1"/>
  <c r="W42" i="10" s="1"/>
  <c r="W36" i="10" a="1"/>
  <c r="W36" i="10" s="1"/>
  <c r="W28" i="10" a="1"/>
  <c r="W28" i="10" s="1"/>
  <c r="V20" i="10"/>
  <c r="K11" i="10"/>
  <c r="K13" i="14"/>
  <c r="Z23" i="11"/>
  <c r="M13" i="14" s="1"/>
  <c r="L29" i="11"/>
  <c r="E18" i="12"/>
  <c r="Q29" i="11"/>
  <c r="M29" i="11"/>
  <c r="F22" i="12"/>
  <c r="J31" i="11"/>
  <c r="H44" i="14"/>
  <c r="H44" i="13"/>
  <c r="G65" i="9"/>
  <c r="H67" i="9"/>
  <c r="I69" i="9"/>
  <c r="K72" i="9"/>
  <c r="M74" i="9"/>
  <c r="G79" i="9"/>
  <c r="H81" i="9"/>
  <c r="I43" i="11" s="1"/>
  <c r="I83" i="9"/>
  <c r="L89" i="9"/>
  <c r="G102" i="9"/>
  <c r="K104" i="9"/>
  <c r="G107" i="9"/>
  <c r="I109" i="9"/>
  <c r="M135" i="9"/>
  <c r="M138" i="9"/>
  <c r="I144" i="9"/>
  <c r="M146" i="9"/>
  <c r="F13" i="13"/>
  <c r="F13" i="14"/>
  <c r="F13" i="12"/>
  <c r="L23" i="11"/>
  <c r="J23" i="11"/>
  <c r="E15" i="12"/>
  <c r="M25" i="11"/>
  <c r="K25" i="11"/>
  <c r="E15" i="13" s="1"/>
  <c r="Y25" i="11"/>
  <c r="R49" i="11"/>
  <c r="P49" i="11" s="1"/>
  <c r="G72" i="12"/>
  <c r="AA70" i="11"/>
  <c r="J115" i="14"/>
  <c r="J115" i="13"/>
  <c r="H40" i="12"/>
  <c r="Y43" i="11"/>
  <c r="W43" i="11"/>
  <c r="K40" i="13" s="1"/>
  <c r="V43" i="11"/>
  <c r="J40" i="12" s="1"/>
  <c r="S43" i="11"/>
  <c r="T43" i="11" s="1"/>
  <c r="F16" i="12"/>
  <c r="F16" i="14"/>
  <c r="J27" i="11"/>
  <c r="F16" i="13"/>
  <c r="F18" i="13"/>
  <c r="F18" i="12"/>
  <c r="I18" i="12" s="1"/>
  <c r="F18" i="14"/>
  <c r="F61" i="14"/>
  <c r="F61" i="13"/>
  <c r="F61" i="12"/>
  <c r="I61" i="12" s="1"/>
  <c r="J60" i="11"/>
  <c r="Q25" i="11"/>
  <c r="K44" i="14"/>
  <c r="Z47" i="11"/>
  <c r="M44" i="14" s="1"/>
  <c r="F51" i="14"/>
  <c r="F51" i="12"/>
  <c r="F51" i="13"/>
  <c r="V41" i="11"/>
  <c r="J38" i="12" s="1"/>
  <c r="W41" i="11"/>
  <c r="S41" i="11"/>
  <c r="T41" i="11" s="1"/>
  <c r="H38" i="12"/>
  <c r="F64" i="14"/>
  <c r="F64" i="13"/>
  <c r="F64" i="12"/>
  <c r="I64" i="12" s="1"/>
  <c r="J63" i="11"/>
  <c r="R63" i="11"/>
  <c r="L63" i="11"/>
  <c r="E51" i="12"/>
  <c r="Y52" i="11"/>
  <c r="Q52" i="11"/>
  <c r="O52" i="11" s="1"/>
  <c r="M52" i="11"/>
  <c r="K52" i="11"/>
  <c r="E51" i="13" s="1"/>
  <c r="K23" i="9"/>
  <c r="U29" i="11" s="1"/>
  <c r="M36" i="9"/>
  <c r="G39" i="9"/>
  <c r="H41" i="9"/>
  <c r="I43" i="9"/>
  <c r="K45" i="9"/>
  <c r="L47" i="9"/>
  <c r="M50" i="9"/>
  <c r="G53" i="9"/>
  <c r="H57" i="9"/>
  <c r="I59" i="9"/>
  <c r="K61" i="9"/>
  <c r="M63" i="9"/>
  <c r="G66" i="9"/>
  <c r="H68" i="9"/>
  <c r="I71" i="9"/>
  <c r="K73" i="9"/>
  <c r="L75" i="9"/>
  <c r="M79" i="9"/>
  <c r="G82" i="9"/>
  <c r="I84" i="9"/>
  <c r="M100" i="9"/>
  <c r="H103" i="9"/>
  <c r="I61" i="11" s="1"/>
  <c r="K105" i="9"/>
  <c r="M107" i="9"/>
  <c r="K134" i="9"/>
  <c r="H137" i="9"/>
  <c r="I89" i="11" s="1"/>
  <c r="L142" i="9"/>
  <c r="U92" i="11" s="1"/>
  <c r="F34" i="14"/>
  <c r="F34" i="13"/>
  <c r="F34" i="12"/>
  <c r="I34" i="12" s="1"/>
  <c r="G51" i="12"/>
  <c r="K51" i="12" s="1"/>
  <c r="AA52" i="11"/>
  <c r="F14" i="14"/>
  <c r="F14" i="12"/>
  <c r="F14" i="13"/>
  <c r="G47" i="14"/>
  <c r="B2" i="14"/>
  <c r="B2" i="13"/>
  <c r="B2" i="12"/>
  <c r="L145" i="9"/>
  <c r="U95" i="11" s="1"/>
  <c r="L143" i="9"/>
  <c r="U93" i="11" s="1"/>
  <c r="L138" i="9"/>
  <c r="U90" i="11" s="1"/>
  <c r="L136" i="9"/>
  <c r="U88" i="11" s="1"/>
  <c r="L134" i="9"/>
  <c r="U86" i="11" s="1"/>
  <c r="L108" i="9"/>
  <c r="L106" i="9"/>
  <c r="L104" i="9"/>
  <c r="L102" i="9"/>
  <c r="L100" i="9"/>
  <c r="L84" i="9"/>
  <c r="U46" i="11" s="1"/>
  <c r="L82" i="9"/>
  <c r="U44" i="11" s="1"/>
  <c r="L80" i="9"/>
  <c r="U42" i="11" s="1"/>
  <c r="L76" i="9"/>
  <c r="L74" i="9"/>
  <c r="L72" i="9"/>
  <c r="L69" i="9"/>
  <c r="L67" i="9"/>
  <c r="L65" i="9"/>
  <c r="L63" i="9"/>
  <c r="L61" i="9"/>
  <c r="L59" i="9"/>
  <c r="L57" i="9"/>
  <c r="U39" i="11" s="1"/>
  <c r="L53" i="9"/>
  <c r="L51" i="9"/>
  <c r="L49" i="9"/>
  <c r="L46" i="9"/>
  <c r="L44" i="9"/>
  <c r="L42" i="9"/>
  <c r="L40" i="9"/>
  <c r="L38" i="9"/>
  <c r="L36" i="9"/>
  <c r="L23" i="9"/>
  <c r="A2" i="11"/>
  <c r="H145" i="9"/>
  <c r="H143" i="9"/>
  <c r="H138" i="9"/>
  <c r="I90" i="11" s="1"/>
  <c r="H136" i="9"/>
  <c r="H134" i="9"/>
  <c r="H108" i="9"/>
  <c r="I66" i="11" s="1"/>
  <c r="H106" i="9"/>
  <c r="H104" i="9"/>
  <c r="I62" i="11" s="1"/>
  <c r="H102" i="9"/>
  <c r="I60" i="11" s="1"/>
  <c r="H100" i="9"/>
  <c r="H84" i="9"/>
  <c r="I46" i="11" s="1"/>
  <c r="G145" i="9"/>
  <c r="G143" i="9"/>
  <c r="G138" i="9"/>
  <c r="G136" i="9"/>
  <c r="G134" i="9"/>
  <c r="G35" i="9"/>
  <c r="H37" i="9"/>
  <c r="I39" i="9"/>
  <c r="K41" i="9"/>
  <c r="L43" i="9"/>
  <c r="M45" i="9"/>
  <c r="G49" i="9"/>
  <c r="H51" i="9"/>
  <c r="I53" i="9"/>
  <c r="K57" i="9"/>
  <c r="M59" i="9"/>
  <c r="G62" i="9"/>
  <c r="H64" i="9"/>
  <c r="I66" i="9"/>
  <c r="K68" i="9"/>
  <c r="L71" i="9"/>
  <c r="M73" i="9"/>
  <c r="G76" i="9"/>
  <c r="H80" i="9"/>
  <c r="I42" i="11" s="1"/>
  <c r="I82" i="9"/>
  <c r="M84" i="9"/>
  <c r="H101" i="9"/>
  <c r="I59" i="11" s="1"/>
  <c r="K103" i="9"/>
  <c r="M105" i="9"/>
  <c r="I108" i="9"/>
  <c r="G135" i="9"/>
  <c r="K137" i="9"/>
  <c r="I143" i="9"/>
  <c r="G146" i="9"/>
  <c r="H47" i="14"/>
  <c r="H47" i="13"/>
  <c r="F52" i="14"/>
  <c r="F52" i="13"/>
  <c r="F52" i="12"/>
  <c r="R53" i="11"/>
  <c r="P53" i="11" s="1"/>
  <c r="L53" i="11"/>
  <c r="J53" i="11"/>
  <c r="F54" i="14"/>
  <c r="F54" i="13"/>
  <c r="J55" i="11"/>
  <c r="F54" i="12"/>
  <c r="G22" i="9"/>
  <c r="H35" i="9"/>
  <c r="I37" i="9"/>
  <c r="K39" i="9"/>
  <c r="L41" i="9"/>
  <c r="M43" i="9"/>
  <c r="G46" i="9"/>
  <c r="H49" i="9"/>
  <c r="I51" i="9"/>
  <c r="K53" i="9"/>
  <c r="M57" i="9"/>
  <c r="G60" i="9"/>
  <c r="H62" i="9"/>
  <c r="I64" i="9"/>
  <c r="K66" i="9"/>
  <c r="L68" i="9"/>
  <c r="M71" i="9"/>
  <c r="G74" i="9"/>
  <c r="H76" i="9"/>
  <c r="I80" i="9"/>
  <c r="K82" i="9"/>
  <c r="G89" i="9"/>
  <c r="I101" i="9"/>
  <c r="L103" i="9"/>
  <c r="G106" i="9"/>
  <c r="K108" i="9"/>
  <c r="H135" i="9"/>
  <c r="L137" i="9"/>
  <c r="U89" i="11" s="1"/>
  <c r="K143" i="9"/>
  <c r="H146" i="9"/>
  <c r="Y73" i="11"/>
  <c r="W73" i="11"/>
  <c r="K76" i="13" s="1"/>
  <c r="V73" i="11"/>
  <c r="J76" i="12" s="1"/>
  <c r="S73" i="11"/>
  <c r="H76" i="12"/>
  <c r="L27" i="11"/>
  <c r="F32" i="13"/>
  <c r="X37" i="11"/>
  <c r="M32" i="13" s="1"/>
  <c r="V37" i="11"/>
  <c r="J32" i="12" s="1"/>
  <c r="F32" i="14"/>
  <c r="F32" i="12"/>
  <c r="I32" i="12" s="1"/>
  <c r="Y41" i="11"/>
  <c r="Z48" i="11"/>
  <c r="M45" i="14" s="1"/>
  <c r="E52" i="12"/>
  <c r="M53" i="11"/>
  <c r="Y53" i="11"/>
  <c r="Q53" i="11"/>
  <c r="O53" i="11" s="1"/>
  <c r="H52" i="14" s="1"/>
  <c r="K53" i="11"/>
  <c r="E52" i="13" s="1"/>
  <c r="Q99" i="11"/>
  <c r="E102" i="12"/>
  <c r="M99" i="11"/>
  <c r="K99" i="11"/>
  <c r="J99" i="11"/>
  <c r="F76" i="12"/>
  <c r="I76" i="12" s="1"/>
  <c r="F76" i="14"/>
  <c r="F76" i="13"/>
  <c r="J73" i="11"/>
  <c r="X73" i="11"/>
  <c r="M76" i="13" s="1"/>
  <c r="T73" i="11"/>
  <c r="F65" i="13"/>
  <c r="F65" i="14"/>
  <c r="F65" i="12"/>
  <c r="I65" i="12" s="1"/>
  <c r="G69" i="14"/>
  <c r="I22" i="9"/>
  <c r="K35" i="9"/>
  <c r="L37" i="9"/>
  <c r="M39" i="9"/>
  <c r="G42" i="9"/>
  <c r="H44" i="9"/>
  <c r="I46" i="9"/>
  <c r="K49" i="9"/>
  <c r="M51" i="9"/>
  <c r="G54" i="9"/>
  <c r="H58" i="9"/>
  <c r="I60" i="9"/>
  <c r="K62" i="9"/>
  <c r="L64" i="9"/>
  <c r="M66" i="9"/>
  <c r="G69" i="9"/>
  <c r="H72" i="9"/>
  <c r="I74" i="9"/>
  <c r="K76" i="9"/>
  <c r="M80" i="9"/>
  <c r="G83" i="9"/>
  <c r="I89" i="9"/>
  <c r="L101" i="9"/>
  <c r="G104" i="9"/>
  <c r="K106" i="9"/>
  <c r="G109" i="9"/>
  <c r="K135" i="9"/>
  <c r="I138" i="9"/>
  <c r="G144" i="9"/>
  <c r="K146" i="9"/>
  <c r="J77" i="12"/>
  <c r="K77" i="12" s="1"/>
  <c r="AA74" i="11"/>
  <c r="N27" i="11"/>
  <c r="X40" i="11"/>
  <c r="M35" i="13" s="1"/>
  <c r="G44" i="13"/>
  <c r="AB47" i="11"/>
  <c r="E42" i="12"/>
  <c r="Q45" i="11"/>
  <c r="M45" i="11"/>
  <c r="K45" i="11"/>
  <c r="J45" i="11"/>
  <c r="W87" i="11"/>
  <c r="K89" i="13" s="1"/>
  <c r="H86" i="12"/>
  <c r="V87" i="11"/>
  <c r="J86" i="12" s="1"/>
  <c r="S87" i="11"/>
  <c r="T87" i="11" s="1"/>
  <c r="W96" i="11"/>
  <c r="K100" i="13" s="1"/>
  <c r="S96" i="11"/>
  <c r="V96" i="11"/>
  <c r="J97" i="12" s="1"/>
  <c r="G13" i="14"/>
  <c r="R27" i="11"/>
  <c r="P27" i="11" s="1"/>
  <c r="O27" i="11"/>
  <c r="F41" i="14"/>
  <c r="F41" i="13"/>
  <c r="F41" i="12"/>
  <c r="I41" i="12" s="1"/>
  <c r="H46" i="14"/>
  <c r="H46" i="13"/>
  <c r="F53" i="14"/>
  <c r="F53" i="13"/>
  <c r="F53" i="12"/>
  <c r="J54" i="11"/>
  <c r="R54" i="11"/>
  <c r="P54" i="11" s="1"/>
  <c r="L54" i="11"/>
  <c r="H56" i="14"/>
  <c r="H56" i="13"/>
  <c r="F66" i="13"/>
  <c r="F66" i="14"/>
  <c r="F66" i="12"/>
  <c r="I66" i="12" s="1"/>
  <c r="R65" i="11"/>
  <c r="L65" i="11"/>
  <c r="G72" i="14"/>
  <c r="AC70" i="11"/>
  <c r="K71" i="11"/>
  <c r="L71" i="11" s="1"/>
  <c r="M71" i="11"/>
  <c r="N71" i="11" s="1"/>
  <c r="E54" i="12"/>
  <c r="Y55" i="11"/>
  <c r="Q55" i="11"/>
  <c r="O55" i="11" s="1"/>
  <c r="F55" i="14"/>
  <c r="F55" i="13"/>
  <c r="F55" i="12"/>
  <c r="J65" i="11"/>
  <c r="W102" i="11"/>
  <c r="K108" i="13" s="1"/>
  <c r="V102" i="11"/>
  <c r="J105" i="12" s="1"/>
  <c r="H105" i="12"/>
  <c r="I96" i="14"/>
  <c r="L96" i="14"/>
  <c r="Q23" i="11"/>
  <c r="E55" i="12"/>
  <c r="M56" i="11"/>
  <c r="F56" i="14"/>
  <c r="F56" i="13"/>
  <c r="F56" i="12"/>
  <c r="J57" i="11"/>
  <c r="F59" i="14"/>
  <c r="F59" i="13"/>
  <c r="F59" i="12"/>
  <c r="I59" i="12" s="1"/>
  <c r="R70" i="11"/>
  <c r="P70" i="11" s="1"/>
  <c r="Q71" i="11"/>
  <c r="J31" i="12"/>
  <c r="F39" i="14"/>
  <c r="F39" i="13"/>
  <c r="F39" i="12"/>
  <c r="I39" i="12" s="1"/>
  <c r="F42" i="14"/>
  <c r="F42" i="13"/>
  <c r="F42" i="12"/>
  <c r="I42" i="12" s="1"/>
  <c r="F45" i="14"/>
  <c r="F45" i="13"/>
  <c r="F45" i="12"/>
  <c r="K47" i="14"/>
  <c r="Z50" i="11"/>
  <c r="M47" i="14" s="1"/>
  <c r="K55" i="11"/>
  <c r="E54" i="13" s="1"/>
  <c r="J56" i="11"/>
  <c r="F63" i="14"/>
  <c r="F63" i="13"/>
  <c r="F63" i="12"/>
  <c r="I63" i="12" s="1"/>
  <c r="W79" i="11"/>
  <c r="X79" i="11" s="1"/>
  <c r="S79" i="11"/>
  <c r="O79" i="11" s="1"/>
  <c r="Y79" i="11"/>
  <c r="Z79" i="11" s="1"/>
  <c r="S99" i="11"/>
  <c r="T99" i="11" s="1"/>
  <c r="H102" i="12"/>
  <c r="Y99" i="11"/>
  <c r="W99" i="11"/>
  <c r="H113" i="14"/>
  <c r="H113" i="13"/>
  <c r="AA47" i="11"/>
  <c r="G44" i="12"/>
  <c r="K44" i="12" s="1"/>
  <c r="E45" i="12"/>
  <c r="Q48" i="11"/>
  <c r="F46" i="14"/>
  <c r="F46" i="12"/>
  <c r="F46" i="13"/>
  <c r="L49" i="11"/>
  <c r="G112" i="13"/>
  <c r="X36" i="11"/>
  <c r="F35" i="14"/>
  <c r="F35" i="13"/>
  <c r="F35" i="12"/>
  <c r="I35" i="12" s="1"/>
  <c r="J48" i="11"/>
  <c r="E46" i="12"/>
  <c r="M49" i="11"/>
  <c r="F48" i="14"/>
  <c r="F48" i="12"/>
  <c r="I48" i="12" s="1"/>
  <c r="F48" i="13"/>
  <c r="N54" i="11"/>
  <c r="M55" i="11"/>
  <c r="L56" i="11"/>
  <c r="G56" i="13"/>
  <c r="AB57" i="11"/>
  <c r="L78" i="14"/>
  <c r="L78" i="13"/>
  <c r="F78" i="14"/>
  <c r="I78" i="14"/>
  <c r="F78" i="13"/>
  <c r="I78" i="13"/>
  <c r="F78" i="12"/>
  <c r="I78" i="12" s="1"/>
  <c r="J77" i="11"/>
  <c r="AA77" i="11" s="1"/>
  <c r="F67" i="14"/>
  <c r="F67" i="13"/>
  <c r="F31" i="14"/>
  <c r="F31" i="12"/>
  <c r="I31" i="12" s="1"/>
  <c r="F31" i="13"/>
  <c r="K48" i="11"/>
  <c r="J49" i="11"/>
  <c r="G47" i="12"/>
  <c r="K47" i="12" s="1"/>
  <c r="AA50" i="11"/>
  <c r="H53" i="14"/>
  <c r="H53" i="13"/>
  <c r="J62" i="11"/>
  <c r="Y71" i="11"/>
  <c r="Z71" i="11" s="1"/>
  <c r="Z107" i="11"/>
  <c r="M115" i="14" s="1"/>
  <c r="Z27" i="11"/>
  <c r="M16" i="14" s="1"/>
  <c r="F40" i="14"/>
  <c r="F40" i="13"/>
  <c r="F40" i="12"/>
  <c r="I40" i="12" s="1"/>
  <c r="X43" i="11"/>
  <c r="M40" i="13" s="1"/>
  <c r="K49" i="11"/>
  <c r="E46" i="13" s="1"/>
  <c r="J51" i="11"/>
  <c r="X51" i="11"/>
  <c r="M48" i="13" s="1"/>
  <c r="H55" i="13"/>
  <c r="H55" i="14"/>
  <c r="G56" i="14"/>
  <c r="AC57" i="11"/>
  <c r="F89" i="13"/>
  <c r="F89" i="14"/>
  <c r="F86" i="12"/>
  <c r="I86" i="12" s="1"/>
  <c r="X87" i="11"/>
  <c r="M89" i="13" s="1"/>
  <c r="X93" i="11"/>
  <c r="M97" i="13" s="1"/>
  <c r="K23" i="11"/>
  <c r="E13" i="13" s="1"/>
  <c r="W37" i="11"/>
  <c r="K32" i="13" s="1"/>
  <c r="N47" i="11"/>
  <c r="M48" i="11"/>
  <c r="L50" i="11"/>
  <c r="R56" i="11"/>
  <c r="P56" i="11" s="1"/>
  <c r="L107" i="11"/>
  <c r="W74" i="11"/>
  <c r="H77" i="12"/>
  <c r="Y74" i="11"/>
  <c r="S74" i="11"/>
  <c r="J43" i="11"/>
  <c r="L51" i="11"/>
  <c r="Y56" i="11"/>
  <c r="F62" i="14"/>
  <c r="F62" i="13"/>
  <c r="F62" i="12"/>
  <c r="I62" i="12" s="1"/>
  <c r="F69" i="14"/>
  <c r="L69" i="14" s="1"/>
  <c r="F69" i="13"/>
  <c r="J68" i="11"/>
  <c r="F69" i="12"/>
  <c r="I69" i="12" s="1"/>
  <c r="R68" i="11"/>
  <c r="T80" i="11"/>
  <c r="P80" i="11" s="1"/>
  <c r="X104" i="11"/>
  <c r="M112" i="13" s="1"/>
  <c r="AB110" i="11"/>
  <c r="F88" i="14"/>
  <c r="F88" i="13"/>
  <c r="F85" i="12"/>
  <c r="I85" i="12" s="1"/>
  <c r="E109" i="12"/>
  <c r="Q104" i="11"/>
  <c r="E111" i="12"/>
  <c r="Q106" i="11"/>
  <c r="M106" i="11"/>
  <c r="K106" i="11"/>
  <c r="J72" i="12"/>
  <c r="J104" i="11"/>
  <c r="J106" i="11"/>
  <c r="N107" i="11"/>
  <c r="L121" i="13"/>
  <c r="I121" i="13"/>
  <c r="F68" i="14"/>
  <c r="F68" i="13"/>
  <c r="F68" i="12"/>
  <c r="I68" i="12" s="1"/>
  <c r="X67" i="11"/>
  <c r="M68" i="13" s="1"/>
  <c r="Y70" i="11"/>
  <c r="Z70" i="11" s="1"/>
  <c r="F91" i="14"/>
  <c r="F91" i="13"/>
  <c r="M104" i="11"/>
  <c r="J113" i="14"/>
  <c r="J113" i="13"/>
  <c r="H111" i="12"/>
  <c r="Y106" i="11"/>
  <c r="E44" i="12"/>
  <c r="F38" i="13"/>
  <c r="F38" i="14"/>
  <c r="F38" i="12"/>
  <c r="I38" i="12" s="1"/>
  <c r="F44" i="13"/>
  <c r="F44" i="12"/>
  <c r="F44" i="14"/>
  <c r="F47" i="13"/>
  <c r="F47" i="14"/>
  <c r="T67" i="11"/>
  <c r="S71" i="11"/>
  <c r="T71" i="11" s="1"/>
  <c r="H101" i="12"/>
  <c r="Y98" i="11"/>
  <c r="V106" i="11"/>
  <c r="J111" i="12" s="1"/>
  <c r="F88" i="12"/>
  <c r="I88" i="12" s="1"/>
  <c r="K68" i="11"/>
  <c r="E69" i="13" s="1"/>
  <c r="F90" i="14"/>
  <c r="F90" i="13"/>
  <c r="F87" i="12"/>
  <c r="I87" i="12" s="1"/>
  <c r="J88" i="11"/>
  <c r="J89" i="11"/>
  <c r="F108" i="14"/>
  <c r="F108" i="13"/>
  <c r="W106" i="11"/>
  <c r="K118" i="12"/>
  <c r="K120" i="12" s="1"/>
  <c r="J120" i="12"/>
  <c r="L21" i="13"/>
  <c r="I21" i="13"/>
  <c r="L115" i="13"/>
  <c r="I115" i="13"/>
  <c r="F43" i="14"/>
  <c r="F43" i="13"/>
  <c r="F43" i="12"/>
  <c r="I43" i="12" s="1"/>
  <c r="X81" i="11"/>
  <c r="AB81" i="11" s="1"/>
  <c r="V81" i="11"/>
  <c r="AA81" i="11" s="1"/>
  <c r="K104" i="13"/>
  <c r="X98" i="11"/>
  <c r="M104" i="13" s="1"/>
  <c r="G123" i="13"/>
  <c r="N110" i="11"/>
  <c r="AC110" i="11" s="1"/>
  <c r="F89" i="12"/>
  <c r="I89" i="12" s="1"/>
  <c r="S101" i="11"/>
  <c r="T101" i="11" s="1"/>
  <c r="G123" i="14"/>
  <c r="F130" i="14"/>
  <c r="F127" i="12"/>
  <c r="F130" i="13"/>
  <c r="F81" i="14"/>
  <c r="F81" i="13"/>
  <c r="J121" i="14"/>
  <c r="J123" i="14" s="1"/>
  <c r="J121" i="13"/>
  <c r="J123" i="13" s="1"/>
  <c r="F92" i="13"/>
  <c r="I104" i="13"/>
  <c r="L104" i="13"/>
  <c r="S82" i="11"/>
  <c r="F97" i="14"/>
  <c r="F97" i="13"/>
  <c r="K105" i="11"/>
  <c r="E110" i="12"/>
  <c r="V105" i="11"/>
  <c r="F94" i="12"/>
  <c r="I94" i="12" s="1"/>
  <c r="L83" i="11"/>
  <c r="X105" i="11"/>
  <c r="M113" i="13" s="1"/>
  <c r="W101" i="11"/>
  <c r="Y105" i="11"/>
  <c r="L115" i="14"/>
  <c r="I115" i="14"/>
  <c r="X110" i="11"/>
  <c r="F105" i="14"/>
  <c r="F105" i="13"/>
  <c r="F102" i="12"/>
  <c r="I102" i="12" s="1"/>
  <c r="M105" i="11"/>
  <c r="Z110" i="11"/>
  <c r="J132" i="14"/>
  <c r="J132" i="13"/>
  <c r="F112" i="12"/>
  <c r="I112" i="12" s="1"/>
  <c r="F132" i="14"/>
  <c r="F132" i="13"/>
  <c r="I107" i="14"/>
  <c r="L107" i="14"/>
  <c r="I72" i="14"/>
  <c r="I121" i="14"/>
  <c r="L121" i="14"/>
  <c r="I104" i="14"/>
  <c r="L104" i="14"/>
  <c r="L99" i="13"/>
  <c r="L114" i="14"/>
  <c r="L114" i="13"/>
  <c r="Y67" i="5" l="1"/>
  <c r="S67" i="5"/>
  <c r="T67" i="5" s="1"/>
  <c r="W67" i="5"/>
  <c r="H69" i="6"/>
  <c r="V67" i="5"/>
  <c r="J69" i="6" s="1"/>
  <c r="AA33" i="11"/>
  <c r="G24" i="12"/>
  <c r="K24" i="12" s="1"/>
  <c r="G22" i="13"/>
  <c r="E34" i="6"/>
  <c r="J38" i="5"/>
  <c r="Q38" i="5"/>
  <c r="M38" i="5"/>
  <c r="K38" i="5"/>
  <c r="G74" i="6"/>
  <c r="K74" i="6" s="1"/>
  <c r="AA72" i="5"/>
  <c r="G14" i="12"/>
  <c r="K14" i="12" s="1"/>
  <c r="AA24" i="11"/>
  <c r="K33" i="8"/>
  <c r="Z37" i="5"/>
  <c r="M33" i="8" s="1"/>
  <c r="E32" i="6"/>
  <c r="Q36" i="5"/>
  <c r="M36" i="5"/>
  <c r="K36" i="5"/>
  <c r="Y36" i="5"/>
  <c r="G15" i="6"/>
  <c r="K15" i="6" s="1"/>
  <c r="AA25" i="5"/>
  <c r="Y66" i="5"/>
  <c r="H68" i="6"/>
  <c r="W66" i="5"/>
  <c r="S66" i="5"/>
  <c r="T66" i="5" s="1"/>
  <c r="K65" i="5"/>
  <c r="E67" i="6"/>
  <c r="Q65" i="5"/>
  <c r="M65" i="5"/>
  <c r="Y65" i="5"/>
  <c r="G34" i="12"/>
  <c r="R39" i="11"/>
  <c r="P39" i="11" s="1"/>
  <c r="N39" i="11"/>
  <c r="L39" i="11"/>
  <c r="K114" i="14"/>
  <c r="Z106" i="11"/>
  <c r="M114" i="14" s="1"/>
  <c r="M31" i="13"/>
  <c r="I58" i="11" a="1"/>
  <c r="I58" i="11" s="1"/>
  <c r="U58" i="11" a="1"/>
  <c r="U58" i="11" s="1"/>
  <c r="H41" i="12"/>
  <c r="S44" i="11"/>
  <c r="T44" i="11" s="1"/>
  <c r="Y44" i="11"/>
  <c r="W44" i="11"/>
  <c r="V44" i="11"/>
  <c r="R110" i="5"/>
  <c r="P110" i="5" s="1"/>
  <c r="O110" i="5"/>
  <c r="G108" i="7"/>
  <c r="U94" i="5"/>
  <c r="I94" i="5"/>
  <c r="R122" i="5"/>
  <c r="P122" i="5" s="1"/>
  <c r="O122" i="5"/>
  <c r="M52" i="5"/>
  <c r="Q52" i="5"/>
  <c r="K52" i="5"/>
  <c r="J52" i="5"/>
  <c r="E54" i="6"/>
  <c r="E71" i="7"/>
  <c r="L69" i="5"/>
  <c r="J87" i="6"/>
  <c r="K87" i="6" s="1"/>
  <c r="X81" i="5"/>
  <c r="M87" i="7" s="1"/>
  <c r="Z81" i="5"/>
  <c r="M87" i="8" s="1"/>
  <c r="T81" i="5"/>
  <c r="P81" i="5" s="1"/>
  <c r="AA81" i="5"/>
  <c r="H39" i="6"/>
  <c r="S43" i="5"/>
  <c r="T43" i="5" s="1"/>
  <c r="Y43" i="5"/>
  <c r="W43" i="5"/>
  <c r="V43" i="5"/>
  <c r="J39" i="6" s="1"/>
  <c r="S53" i="5"/>
  <c r="T53" i="5" s="1"/>
  <c r="H55" i="6"/>
  <c r="Y53" i="5"/>
  <c r="W53" i="5"/>
  <c r="V53" i="5"/>
  <c r="J55" i="6" s="1"/>
  <c r="I66" i="8"/>
  <c r="L66" i="8"/>
  <c r="Y52" i="5"/>
  <c r="G91" i="7"/>
  <c r="N91" i="7" s="1"/>
  <c r="AB90" i="5"/>
  <c r="N90" i="5"/>
  <c r="N114" i="8"/>
  <c r="E9" i="6"/>
  <c r="M21" i="5"/>
  <c r="K21" i="5"/>
  <c r="J21" i="5"/>
  <c r="Q21" i="5"/>
  <c r="Y21" i="5"/>
  <c r="K33" i="7"/>
  <c r="X37" i="5"/>
  <c r="M33" i="7" s="1"/>
  <c r="K44" i="8"/>
  <c r="Z46" i="5"/>
  <c r="M44" i="8" s="1"/>
  <c r="E69" i="6"/>
  <c r="Q67" i="5"/>
  <c r="M67" i="5"/>
  <c r="K67" i="5"/>
  <c r="AA101" i="5"/>
  <c r="G105" i="6"/>
  <c r="K105" i="6" s="1"/>
  <c r="L88" i="14"/>
  <c r="I88" i="14"/>
  <c r="H94" i="12"/>
  <c r="W93" i="11"/>
  <c r="K97" i="13" s="1"/>
  <c r="V93" i="11"/>
  <c r="J94" i="12" s="1"/>
  <c r="S93" i="11"/>
  <c r="T93" i="11" s="1"/>
  <c r="I16" i="14"/>
  <c r="L16" i="14"/>
  <c r="E68" i="12"/>
  <c r="Q67" i="11"/>
  <c r="M67" i="11"/>
  <c r="K67" i="11"/>
  <c r="J67" i="11"/>
  <c r="K55" i="14"/>
  <c r="Z56" i="11"/>
  <c r="M55" i="14" s="1"/>
  <c r="AA49" i="11"/>
  <c r="G46" i="12"/>
  <c r="K46" i="12" s="1"/>
  <c r="L53" i="13"/>
  <c r="I53" i="13"/>
  <c r="R45" i="11"/>
  <c r="P45" i="11" s="1"/>
  <c r="O45" i="11"/>
  <c r="I93" i="11"/>
  <c r="I87" i="11"/>
  <c r="J37" i="11"/>
  <c r="E17" i="14"/>
  <c r="N28" i="11"/>
  <c r="O44" i="11"/>
  <c r="R44" i="11"/>
  <c r="L47" i="14"/>
  <c r="I47" i="14"/>
  <c r="V39" i="11"/>
  <c r="J34" i="12" s="1"/>
  <c r="H34" i="12"/>
  <c r="S39" i="11"/>
  <c r="T39" i="11" s="1"/>
  <c r="Z39" i="11"/>
  <c r="M34" i="14" s="1"/>
  <c r="W39" i="11"/>
  <c r="E112" i="14"/>
  <c r="N104" i="11"/>
  <c r="L44" i="14"/>
  <c r="I44" i="14"/>
  <c r="L48" i="14"/>
  <c r="I48" i="14"/>
  <c r="L46" i="13"/>
  <c r="I46" i="13"/>
  <c r="I45" i="13"/>
  <c r="L45" i="13"/>
  <c r="H54" i="14"/>
  <c r="H54" i="13"/>
  <c r="E43" i="12"/>
  <c r="Q46" i="11"/>
  <c r="M46" i="11"/>
  <c r="J46" i="11"/>
  <c r="K46" i="11"/>
  <c r="K40" i="14"/>
  <c r="Z43" i="11"/>
  <c r="M40" i="14" s="1"/>
  <c r="G17" i="12"/>
  <c r="AA28" i="11"/>
  <c r="G15" i="13"/>
  <c r="I69" i="14"/>
  <c r="G69" i="12"/>
  <c r="N47" i="14"/>
  <c r="S92" i="11"/>
  <c r="T92" i="11" s="1"/>
  <c r="W92" i="11"/>
  <c r="K96" i="13" s="1"/>
  <c r="V92" i="11"/>
  <c r="J93" i="12" s="1"/>
  <c r="H93" i="12"/>
  <c r="Y92" i="11"/>
  <c r="I51" i="13"/>
  <c r="L51" i="13"/>
  <c r="L61" i="14"/>
  <c r="I61" i="14"/>
  <c r="Q77" i="11"/>
  <c r="Y77" i="11"/>
  <c r="Z77" i="11" s="1"/>
  <c r="K77" i="11"/>
  <c r="L77" i="11" s="1"/>
  <c r="M77" i="11"/>
  <c r="N77" i="11" s="1"/>
  <c r="E48" i="14"/>
  <c r="N51" i="11"/>
  <c r="L28" i="11"/>
  <c r="E64" i="14"/>
  <c r="N63" i="11"/>
  <c r="L15" i="13"/>
  <c r="I15" i="13"/>
  <c r="I55" i="7"/>
  <c r="L55" i="7"/>
  <c r="AC89" i="5"/>
  <c r="AB89" i="5"/>
  <c r="G116" i="6"/>
  <c r="K116" i="6" s="1"/>
  <c r="AA110" i="5"/>
  <c r="R75" i="5"/>
  <c r="P75" i="5" s="1"/>
  <c r="O75" i="5"/>
  <c r="K134" i="8"/>
  <c r="Z122" i="5"/>
  <c r="M134" i="8" s="1"/>
  <c r="I65" i="7"/>
  <c r="L65" i="7"/>
  <c r="G50" i="6"/>
  <c r="K50" i="6" s="1"/>
  <c r="AA50" i="5"/>
  <c r="N118" i="7"/>
  <c r="L74" i="8"/>
  <c r="I74" i="8"/>
  <c r="H61" i="5"/>
  <c r="H54" i="5"/>
  <c r="H60" i="5"/>
  <c r="H56" i="5"/>
  <c r="H63" i="5"/>
  <c r="H58" i="5"/>
  <c r="H55" i="5"/>
  <c r="H59" i="5"/>
  <c r="H57" i="5"/>
  <c r="H64" i="5"/>
  <c r="H62" i="5"/>
  <c r="E26" i="8"/>
  <c r="N32" i="5"/>
  <c r="O48" i="5"/>
  <c r="R48" i="5"/>
  <c r="P48" i="5" s="1"/>
  <c r="I64" i="7"/>
  <c r="L64" i="7"/>
  <c r="G77" i="8"/>
  <c r="AC73" i="5"/>
  <c r="O46" i="5"/>
  <c r="R46" i="5"/>
  <c r="P46" i="5" s="1"/>
  <c r="G87" i="12"/>
  <c r="I62" i="13"/>
  <c r="L62" i="13"/>
  <c r="G53" i="12"/>
  <c r="K53" i="12" s="1"/>
  <c r="AA54" i="11"/>
  <c r="N121" i="13"/>
  <c r="N123" i="13" s="1"/>
  <c r="R106" i="11"/>
  <c r="P106" i="11" s="1"/>
  <c r="O106" i="11"/>
  <c r="I40" i="14"/>
  <c r="L40" i="14"/>
  <c r="I39" i="13"/>
  <c r="L39" i="13"/>
  <c r="G66" i="13"/>
  <c r="E60" i="12"/>
  <c r="Q59" i="11"/>
  <c r="M59" i="11"/>
  <c r="K59" i="11"/>
  <c r="E15" i="14"/>
  <c r="N25" i="11"/>
  <c r="H63" i="12"/>
  <c r="Y62" i="11"/>
  <c r="W62" i="11"/>
  <c r="V62" i="11"/>
  <c r="J63" i="12" s="1"/>
  <c r="S62" i="11"/>
  <c r="T62" i="11" s="1"/>
  <c r="M88" i="11"/>
  <c r="E87" i="12"/>
  <c r="K88" i="11"/>
  <c r="Q88" i="11"/>
  <c r="L39" i="14"/>
  <c r="I39" i="14"/>
  <c r="L53" i="14"/>
  <c r="I53" i="14"/>
  <c r="R99" i="11"/>
  <c r="P99" i="11" s="1"/>
  <c r="O99" i="11"/>
  <c r="I68" i="14"/>
  <c r="L68" i="14"/>
  <c r="G40" i="12"/>
  <c r="K40" i="12" s="1"/>
  <c r="AA43" i="11"/>
  <c r="N56" i="14"/>
  <c r="G16" i="13"/>
  <c r="AB27" i="11"/>
  <c r="E10" i="12"/>
  <c r="M22" i="11"/>
  <c r="J22" i="11"/>
  <c r="Y22" i="11"/>
  <c r="Q22" i="11"/>
  <c r="K22" i="11"/>
  <c r="L97" i="13"/>
  <c r="I97" i="13"/>
  <c r="L90" i="14"/>
  <c r="I90" i="14"/>
  <c r="E46" i="14"/>
  <c r="N49" i="11"/>
  <c r="R71" i="11"/>
  <c r="P71" i="11" s="1"/>
  <c r="J72" i="14" s="1"/>
  <c r="N72" i="14" s="1"/>
  <c r="O71" i="11"/>
  <c r="H72" i="13" s="1"/>
  <c r="L66" i="14"/>
  <c r="I66" i="14"/>
  <c r="L44" i="11"/>
  <c r="G76" i="12"/>
  <c r="K76" i="12" s="1"/>
  <c r="AA73" i="11"/>
  <c r="K52" i="14"/>
  <c r="Z53" i="11"/>
  <c r="M52" i="14" s="1"/>
  <c r="G54" i="12"/>
  <c r="K54" i="12" s="1"/>
  <c r="AA55" i="11"/>
  <c r="K113" i="14"/>
  <c r="Z105" i="11"/>
  <c r="M113" i="14" s="1"/>
  <c r="I97" i="14"/>
  <c r="L97" i="14"/>
  <c r="N121" i="14"/>
  <c r="N123" i="14" s="1"/>
  <c r="X102" i="11"/>
  <c r="M108" i="13" s="1"/>
  <c r="L44" i="13"/>
  <c r="I44" i="13"/>
  <c r="AC107" i="11"/>
  <c r="G115" i="14"/>
  <c r="N115" i="14" s="1"/>
  <c r="L68" i="11"/>
  <c r="G63" i="12"/>
  <c r="K63" i="12" s="1"/>
  <c r="AA62" i="11"/>
  <c r="L31" i="14"/>
  <c r="I31" i="14"/>
  <c r="I46" i="14"/>
  <c r="L46" i="14"/>
  <c r="L66" i="13"/>
  <c r="I66" i="13"/>
  <c r="E52" i="14"/>
  <c r="N53" i="11"/>
  <c r="L55" i="11"/>
  <c r="E61" i="12"/>
  <c r="Q60" i="11"/>
  <c r="M60" i="11"/>
  <c r="K60" i="11"/>
  <c r="Q89" i="11"/>
  <c r="M89" i="11"/>
  <c r="K89" i="11"/>
  <c r="E88" i="12"/>
  <c r="I18" i="14"/>
  <c r="L18" i="14"/>
  <c r="L13" i="14"/>
  <c r="I13" i="14"/>
  <c r="E40" i="12"/>
  <c r="M43" i="11"/>
  <c r="Q43" i="11"/>
  <c r="K43" i="11"/>
  <c r="E18" i="14"/>
  <c r="N29" i="11"/>
  <c r="H60" i="12"/>
  <c r="S59" i="11"/>
  <c r="T59" i="11" s="1"/>
  <c r="Y59" i="11"/>
  <c r="V59" i="11"/>
  <c r="J60" i="12" s="1"/>
  <c r="W59" i="11"/>
  <c r="E9" i="12"/>
  <c r="Y21" i="11"/>
  <c r="Q21" i="11"/>
  <c r="M21" i="11"/>
  <c r="K21" i="11"/>
  <c r="J21" i="11"/>
  <c r="X28" i="11"/>
  <c r="Y67" i="11"/>
  <c r="L15" i="14"/>
  <c r="I15" i="14"/>
  <c r="G119" i="8"/>
  <c r="E66" i="14"/>
  <c r="N65" i="11"/>
  <c r="J59" i="11"/>
  <c r="O100" i="5"/>
  <c r="R100" i="5"/>
  <c r="K81" i="8"/>
  <c r="Z75" i="5"/>
  <c r="M81" i="8" s="1"/>
  <c r="G131" i="6"/>
  <c r="AA122" i="5"/>
  <c r="K131" i="6" s="1"/>
  <c r="I65" i="8"/>
  <c r="L65" i="8"/>
  <c r="M66" i="5"/>
  <c r="E68" i="6"/>
  <c r="Q66" i="5"/>
  <c r="K66" i="5"/>
  <c r="E71" i="8"/>
  <c r="N69" i="5"/>
  <c r="E74" i="6"/>
  <c r="K72" i="5"/>
  <c r="M72" i="5"/>
  <c r="Q72" i="5"/>
  <c r="G17" i="6"/>
  <c r="K17" i="6" s="1"/>
  <c r="AA27" i="5"/>
  <c r="G49" i="6"/>
  <c r="K49" i="6" s="1"/>
  <c r="AA49" i="5"/>
  <c r="E37" i="6"/>
  <c r="M41" i="5"/>
  <c r="K41" i="5"/>
  <c r="J41" i="5"/>
  <c r="Q41" i="5"/>
  <c r="E50" i="7"/>
  <c r="L50" i="5"/>
  <c r="L74" i="7"/>
  <c r="I74" i="7"/>
  <c r="Y28" i="5"/>
  <c r="Z28" i="5" s="1"/>
  <c r="M18" i="8" s="1"/>
  <c r="Q28" i="5"/>
  <c r="E18" i="6"/>
  <c r="J28" i="5"/>
  <c r="K28" i="5"/>
  <c r="L28" i="5" s="1"/>
  <c r="M28" i="5"/>
  <c r="N28" i="5" s="1"/>
  <c r="R32" i="5"/>
  <c r="P32" i="5" s="1"/>
  <c r="O32" i="5"/>
  <c r="T37" i="5"/>
  <c r="O31" i="5"/>
  <c r="R31" i="5"/>
  <c r="R118" i="5"/>
  <c r="G84" i="6"/>
  <c r="AA78" i="5"/>
  <c r="I64" i="8"/>
  <c r="L64" i="8"/>
  <c r="E44" i="7"/>
  <c r="L46" i="5"/>
  <c r="E114" i="13"/>
  <c r="L106" i="11"/>
  <c r="H51" i="14"/>
  <c r="H51" i="13"/>
  <c r="AC50" i="11"/>
  <c r="G38" i="12"/>
  <c r="K38" i="12" s="1"/>
  <c r="AA41" i="11"/>
  <c r="K54" i="14"/>
  <c r="Z55" i="11"/>
  <c r="M54" i="14" s="1"/>
  <c r="N44" i="13"/>
  <c r="T82" i="11"/>
  <c r="P82" i="11" s="1"/>
  <c r="O82" i="11"/>
  <c r="G48" i="12"/>
  <c r="K48" i="12" s="1"/>
  <c r="AA51" i="11"/>
  <c r="G45" i="12"/>
  <c r="K45" i="12" s="1"/>
  <c r="AA48" i="11"/>
  <c r="R48" i="11"/>
  <c r="P48" i="11" s="1"/>
  <c r="O48" i="11"/>
  <c r="L42" i="13"/>
  <c r="I42" i="13"/>
  <c r="L41" i="13"/>
  <c r="I41" i="13"/>
  <c r="G16" i="14"/>
  <c r="AC27" i="11"/>
  <c r="L76" i="13"/>
  <c r="I76" i="13"/>
  <c r="L54" i="13"/>
  <c r="I54" i="13"/>
  <c r="E63" i="12"/>
  <c r="Q62" i="11"/>
  <c r="M62" i="11"/>
  <c r="K62" i="11"/>
  <c r="G64" i="12"/>
  <c r="I51" i="14"/>
  <c r="L51" i="14"/>
  <c r="L13" i="13"/>
  <c r="I13" i="13"/>
  <c r="R29" i="11"/>
  <c r="P29" i="11" s="1"/>
  <c r="H66" i="12"/>
  <c r="S65" i="11"/>
  <c r="T65" i="11" s="1"/>
  <c r="Y65" i="11"/>
  <c r="W65" i="11"/>
  <c r="V65" i="11"/>
  <c r="J66" i="12" s="1"/>
  <c r="U61" i="11" a="1"/>
  <c r="U61" i="11" s="1"/>
  <c r="E21" i="12"/>
  <c r="Y30" i="11"/>
  <c r="Z30" i="11" s="1"/>
  <c r="M21" i="14" s="1"/>
  <c r="Q30" i="11"/>
  <c r="M30" i="11"/>
  <c r="K30" i="11"/>
  <c r="J30" i="11"/>
  <c r="R51" i="11"/>
  <c r="P51" i="11" s="1"/>
  <c r="O51" i="11"/>
  <c r="J44" i="14"/>
  <c r="J44" i="13"/>
  <c r="I54" i="7"/>
  <c r="L54" i="7"/>
  <c r="E107" i="7"/>
  <c r="L100" i="5"/>
  <c r="F99" i="8"/>
  <c r="F99" i="7"/>
  <c r="I99" i="7" s="1"/>
  <c r="F96" i="6"/>
  <c r="V94" i="5"/>
  <c r="J96" i="6" s="1"/>
  <c r="G82" i="6"/>
  <c r="AA76" i="5"/>
  <c r="E81" i="7"/>
  <c r="L75" i="5"/>
  <c r="N36" i="7"/>
  <c r="G104" i="6"/>
  <c r="K104" i="6" s="1"/>
  <c r="AA100" i="5"/>
  <c r="N97" i="5"/>
  <c r="G101" i="6"/>
  <c r="K101" i="6" s="1"/>
  <c r="AA97" i="5"/>
  <c r="L97" i="5"/>
  <c r="R97" i="5"/>
  <c r="P97" i="5" s="1"/>
  <c r="Z97" i="5"/>
  <c r="M104" i="8" s="1"/>
  <c r="E82" i="8"/>
  <c r="N76" i="5"/>
  <c r="E10" i="6"/>
  <c r="K22" i="5"/>
  <c r="J22" i="5"/>
  <c r="Y22" i="5"/>
  <c r="Q22" i="5"/>
  <c r="M22" i="5"/>
  <c r="K26" i="8"/>
  <c r="Z32" i="5"/>
  <c r="M26" i="8" s="1"/>
  <c r="L56" i="8"/>
  <c r="I56" i="8"/>
  <c r="K25" i="8"/>
  <c r="Z31" i="5"/>
  <c r="E129" i="8"/>
  <c r="N118" i="5"/>
  <c r="L80" i="5"/>
  <c r="G86" i="6"/>
  <c r="K86" i="6" s="1"/>
  <c r="AA80" i="5"/>
  <c r="N80" i="5"/>
  <c r="R80" i="5"/>
  <c r="P80" i="5" s="1"/>
  <c r="G28" i="6"/>
  <c r="K28" i="6" s="1"/>
  <c r="AA34" i="5"/>
  <c r="E44" i="8"/>
  <c r="N46" i="5"/>
  <c r="L108" i="8"/>
  <c r="I108" i="8"/>
  <c r="L105" i="14"/>
  <c r="I105" i="14"/>
  <c r="G53" i="14"/>
  <c r="AC54" i="11"/>
  <c r="I65" i="13"/>
  <c r="L65" i="13"/>
  <c r="J17" i="12"/>
  <c r="AC80" i="11"/>
  <c r="AB80" i="11"/>
  <c r="H43" i="12"/>
  <c r="S46" i="11"/>
  <c r="T46" i="11" s="1"/>
  <c r="W46" i="11"/>
  <c r="V46" i="11"/>
  <c r="J43" i="12" s="1"/>
  <c r="Y46" i="11"/>
  <c r="E113" i="13"/>
  <c r="L105" i="11"/>
  <c r="L47" i="13"/>
  <c r="I47" i="13"/>
  <c r="R104" i="11"/>
  <c r="P104" i="11" s="1"/>
  <c r="O104" i="11"/>
  <c r="G44" i="14"/>
  <c r="N44" i="14" s="1"/>
  <c r="AC47" i="11"/>
  <c r="K114" i="13"/>
  <c r="X106" i="11"/>
  <c r="M114" i="13" s="1"/>
  <c r="L31" i="13"/>
  <c r="I31" i="13"/>
  <c r="E39" i="12"/>
  <c r="K42" i="11"/>
  <c r="Q42" i="11"/>
  <c r="M42" i="11"/>
  <c r="L34" i="14"/>
  <c r="I34" i="14"/>
  <c r="R52" i="11"/>
  <c r="P52" i="11" s="1"/>
  <c r="G13" i="13"/>
  <c r="Q100" i="11"/>
  <c r="J100" i="11"/>
  <c r="Y100" i="11"/>
  <c r="M100" i="11"/>
  <c r="E103" i="12"/>
  <c r="K100" i="11"/>
  <c r="K77" i="14"/>
  <c r="Z74" i="11"/>
  <c r="M77" i="14" s="1"/>
  <c r="L45" i="14"/>
  <c r="I45" i="14"/>
  <c r="K107" i="13"/>
  <c r="X101" i="11"/>
  <c r="M107" i="13" s="1"/>
  <c r="G111" i="12"/>
  <c r="K111" i="12" s="1"/>
  <c r="AA106" i="11"/>
  <c r="K77" i="13"/>
  <c r="X74" i="11"/>
  <c r="M77" i="13" s="1"/>
  <c r="I43" i="13"/>
  <c r="L43" i="13"/>
  <c r="L108" i="13"/>
  <c r="I108" i="13"/>
  <c r="L38" i="14"/>
  <c r="I38" i="14"/>
  <c r="I91" i="13"/>
  <c r="L91" i="13"/>
  <c r="I69" i="13"/>
  <c r="L69" i="13"/>
  <c r="G115" i="13"/>
  <c r="N115" i="13" s="1"/>
  <c r="AB107" i="11"/>
  <c r="L42" i="14"/>
  <c r="I42" i="14"/>
  <c r="L59" i="13"/>
  <c r="I59" i="13"/>
  <c r="L41" i="14"/>
  <c r="I41" i="14"/>
  <c r="L76" i="14"/>
  <c r="I76" i="14"/>
  <c r="R55" i="11"/>
  <c r="P55" i="11" s="1"/>
  <c r="H85" i="12"/>
  <c r="W86" i="11"/>
  <c r="V86" i="11"/>
  <c r="S86" i="11"/>
  <c r="T86" i="11" s="1"/>
  <c r="H18" i="12"/>
  <c r="S29" i="11"/>
  <c r="T29" i="11" s="1"/>
  <c r="Y29" i="11"/>
  <c r="W29" i="11"/>
  <c r="V29" i="11"/>
  <c r="V34" i="11" s="1"/>
  <c r="L18" i="13"/>
  <c r="I18" i="13"/>
  <c r="J36" i="11"/>
  <c r="J40" i="11"/>
  <c r="U63" i="11" a="1"/>
  <c r="U63" i="11" s="1"/>
  <c r="E23" i="12"/>
  <c r="Y32" i="11"/>
  <c r="Z32" i="11" s="1"/>
  <c r="M23" i="14" s="1"/>
  <c r="Q32" i="11"/>
  <c r="M32" i="11"/>
  <c r="N32" i="11" s="1"/>
  <c r="K32" i="11"/>
  <c r="L32" i="11" s="1"/>
  <c r="J32" i="11"/>
  <c r="K73" i="11"/>
  <c r="E76" i="12"/>
  <c r="Q73" i="11"/>
  <c r="M73" i="11"/>
  <c r="I17" i="13"/>
  <c r="L17" i="13"/>
  <c r="E108" i="8"/>
  <c r="N101" i="5"/>
  <c r="E107" i="8"/>
  <c r="N100" i="5"/>
  <c r="F38" i="6"/>
  <c r="F38" i="8"/>
  <c r="F38" i="7"/>
  <c r="I38" i="7" s="1"/>
  <c r="J42" i="5"/>
  <c r="J106" i="8"/>
  <c r="J106" i="7"/>
  <c r="G16" i="6"/>
  <c r="K16" i="6" s="1"/>
  <c r="AA26" i="5"/>
  <c r="L49" i="8"/>
  <c r="I49" i="8"/>
  <c r="AA67" i="5"/>
  <c r="G69" i="6"/>
  <c r="K69" i="6" s="1"/>
  <c r="G102" i="6"/>
  <c r="K102" i="6" s="1"/>
  <c r="AA98" i="5"/>
  <c r="E11" i="6"/>
  <c r="Y23" i="5"/>
  <c r="Q23" i="5"/>
  <c r="M23" i="5"/>
  <c r="J23" i="5"/>
  <c r="K23" i="5"/>
  <c r="E26" i="7"/>
  <c r="L32" i="5"/>
  <c r="G25" i="7"/>
  <c r="E25" i="8"/>
  <c r="N31" i="5"/>
  <c r="E28" i="7"/>
  <c r="L34" i="5"/>
  <c r="G44" i="6"/>
  <c r="K44" i="6" s="1"/>
  <c r="AA46" i="5"/>
  <c r="L67" i="14"/>
  <c r="I67" i="14"/>
  <c r="G55" i="12"/>
  <c r="K55" i="12" s="1"/>
  <c r="AA56" i="11"/>
  <c r="E105" i="13"/>
  <c r="L99" i="11"/>
  <c r="K15" i="14"/>
  <c r="Z25" i="11"/>
  <c r="M15" i="14" s="1"/>
  <c r="K48" i="14"/>
  <c r="Z51" i="11"/>
  <c r="M48" i="14" s="1"/>
  <c r="K105" i="14"/>
  <c r="Z99" i="11"/>
  <c r="M105" i="14" s="1"/>
  <c r="E55" i="14"/>
  <c r="N56" i="11"/>
  <c r="P65" i="11"/>
  <c r="T74" i="11"/>
  <c r="P74" i="11" s="1"/>
  <c r="O74" i="11"/>
  <c r="L61" i="13"/>
  <c r="I61" i="13"/>
  <c r="E113" i="14"/>
  <c r="N105" i="11"/>
  <c r="L43" i="14"/>
  <c r="I43" i="14"/>
  <c r="K104" i="14"/>
  <c r="Z98" i="11"/>
  <c r="M104" i="14" s="1"/>
  <c r="I91" i="14"/>
  <c r="L91" i="14"/>
  <c r="I63" i="13"/>
  <c r="L63" i="13"/>
  <c r="L59" i="14"/>
  <c r="I59" i="14"/>
  <c r="AC71" i="11"/>
  <c r="G53" i="13"/>
  <c r="N53" i="13" s="1"/>
  <c r="AB54" i="11"/>
  <c r="H16" i="14"/>
  <c r="H16" i="13"/>
  <c r="K38" i="14"/>
  <c r="Z41" i="11"/>
  <c r="M38" i="14" s="1"/>
  <c r="K76" i="14"/>
  <c r="Z73" i="11"/>
  <c r="M76" i="14" s="1"/>
  <c r="L54" i="14"/>
  <c r="I54" i="14"/>
  <c r="M66" i="11"/>
  <c r="Q66" i="11"/>
  <c r="E67" i="12"/>
  <c r="K66" i="11"/>
  <c r="J66" i="11"/>
  <c r="H87" i="12"/>
  <c r="Y88" i="11"/>
  <c r="W88" i="11"/>
  <c r="V88" i="11"/>
  <c r="J87" i="12" s="1"/>
  <c r="S88" i="11"/>
  <c r="T88" i="11" s="1"/>
  <c r="L14" i="13"/>
  <c r="I14" i="13"/>
  <c r="I64" i="13"/>
  <c r="L64" i="13"/>
  <c r="L16" i="13"/>
  <c r="I16" i="13"/>
  <c r="K72" i="12"/>
  <c r="G18" i="13"/>
  <c r="Y68" i="11"/>
  <c r="W68" i="11"/>
  <c r="V68" i="11"/>
  <c r="J69" i="12" s="1"/>
  <c r="H69" i="12"/>
  <c r="S68" i="11"/>
  <c r="I17" i="14"/>
  <c r="L17" i="14"/>
  <c r="O31" i="11"/>
  <c r="H22" i="13" s="1"/>
  <c r="R31" i="11"/>
  <c r="P31" i="11" s="1"/>
  <c r="AB31" i="11" s="1"/>
  <c r="K108" i="8"/>
  <c r="Z101" i="5"/>
  <c r="M108" i="8" s="1"/>
  <c r="J77" i="8"/>
  <c r="J77" i="7"/>
  <c r="G106" i="8"/>
  <c r="N106" i="8" s="1"/>
  <c r="AC99" i="5"/>
  <c r="K36" i="8"/>
  <c r="Z40" i="5"/>
  <c r="F68" i="8"/>
  <c r="F68" i="6"/>
  <c r="I68" i="6" s="1"/>
  <c r="F68" i="7"/>
  <c r="J66" i="5"/>
  <c r="V66" i="5"/>
  <c r="J68" i="6" s="1"/>
  <c r="K50" i="8"/>
  <c r="Z50" i="5"/>
  <c r="M50" i="8" s="1"/>
  <c r="AB39" i="5"/>
  <c r="G35" i="7"/>
  <c r="N35" i="7" s="1"/>
  <c r="G43" i="6"/>
  <c r="K43" i="6" s="1"/>
  <c r="AA45" i="5"/>
  <c r="G118" i="8"/>
  <c r="N118" i="8" s="1"/>
  <c r="AC109" i="5"/>
  <c r="I50" i="8"/>
  <c r="L50" i="8"/>
  <c r="R76" i="5"/>
  <c r="P76" i="5" s="1"/>
  <c r="O76" i="5"/>
  <c r="J36" i="7"/>
  <c r="J36" i="8"/>
  <c r="K35" i="5"/>
  <c r="Q35" i="5"/>
  <c r="M35" i="5"/>
  <c r="J35" i="5"/>
  <c r="Y35" i="5"/>
  <c r="E29" i="6"/>
  <c r="K32" i="7"/>
  <c r="X36" i="5"/>
  <c r="G126" i="6"/>
  <c r="L86" i="7"/>
  <c r="I86" i="7"/>
  <c r="O34" i="5"/>
  <c r="R34" i="5"/>
  <c r="P34" i="5" s="1"/>
  <c r="L42" i="5"/>
  <c r="H34" i="6"/>
  <c r="V38" i="5"/>
  <c r="J34" i="6" s="1"/>
  <c r="S38" i="5"/>
  <c r="T38" i="5" s="1"/>
  <c r="Y38" i="5"/>
  <c r="W38" i="5"/>
  <c r="I14" i="14"/>
  <c r="L14" i="14"/>
  <c r="I59" i="8"/>
  <c r="L59" i="8"/>
  <c r="E45" i="14"/>
  <c r="N48" i="11"/>
  <c r="I101" i="11"/>
  <c r="I95" i="11"/>
  <c r="L90" i="13"/>
  <c r="I90" i="13"/>
  <c r="R23" i="11"/>
  <c r="P23" i="11" s="1"/>
  <c r="O23" i="11"/>
  <c r="L108" i="14"/>
  <c r="I108" i="14"/>
  <c r="L38" i="13"/>
  <c r="I38" i="13"/>
  <c r="G109" i="12"/>
  <c r="K109" i="12" s="1"/>
  <c r="AA104" i="11"/>
  <c r="I67" i="13"/>
  <c r="L67" i="13"/>
  <c r="L35" i="13"/>
  <c r="I35" i="13"/>
  <c r="J42" i="11"/>
  <c r="N83" i="11"/>
  <c r="AB83" i="11"/>
  <c r="G81" i="13"/>
  <c r="N81" i="13" s="1"/>
  <c r="L92" i="13"/>
  <c r="I92" i="13"/>
  <c r="AA89" i="11"/>
  <c r="G88" i="12"/>
  <c r="K88" i="12" s="1"/>
  <c r="M72" i="14"/>
  <c r="L88" i="13"/>
  <c r="I88" i="13"/>
  <c r="N56" i="13"/>
  <c r="I35" i="14"/>
  <c r="L35" i="14"/>
  <c r="L63" i="14"/>
  <c r="I63" i="14"/>
  <c r="G56" i="12"/>
  <c r="K56" i="12" s="1"/>
  <c r="AA57" i="11"/>
  <c r="AB71" i="11"/>
  <c r="J53" i="14"/>
  <c r="J53" i="13"/>
  <c r="J16" i="14"/>
  <c r="J16" i="13"/>
  <c r="G42" i="12"/>
  <c r="K42" i="12" s="1"/>
  <c r="AA45" i="11"/>
  <c r="G102" i="12"/>
  <c r="K102" i="12" s="1"/>
  <c r="AA99" i="11"/>
  <c r="I102" i="11"/>
  <c r="I96" i="11"/>
  <c r="G52" i="12"/>
  <c r="K52" i="12" s="1"/>
  <c r="AA53" i="11"/>
  <c r="S90" i="11"/>
  <c r="T90" i="11" s="1"/>
  <c r="H89" i="12"/>
  <c r="Y90" i="11"/>
  <c r="W90" i="11"/>
  <c r="V90" i="11"/>
  <c r="J89" i="12" s="1"/>
  <c r="Q61" i="11"/>
  <c r="E62" i="12"/>
  <c r="M61" i="11"/>
  <c r="K61" i="11"/>
  <c r="J61" i="11"/>
  <c r="E51" i="14"/>
  <c r="N52" i="11"/>
  <c r="L64" i="14"/>
  <c r="I64" i="14"/>
  <c r="R25" i="11"/>
  <c r="P25" i="11" s="1"/>
  <c r="AB25" i="11" s="1"/>
  <c r="O25" i="11"/>
  <c r="G16" i="12"/>
  <c r="K16" i="12" s="1"/>
  <c r="AA27" i="11"/>
  <c r="J46" i="14"/>
  <c r="J46" i="13"/>
  <c r="I86" i="11" a="1"/>
  <c r="I86" i="11" s="1"/>
  <c r="Y86" i="11" s="1"/>
  <c r="K42" i="13"/>
  <c r="X45" i="11"/>
  <c r="M42" i="13" s="1"/>
  <c r="G127" i="8"/>
  <c r="N127" i="8" s="1"/>
  <c r="AC116" i="5"/>
  <c r="I71" i="7"/>
  <c r="L71" i="7"/>
  <c r="E70" i="6"/>
  <c r="K68" i="5"/>
  <c r="J68" i="5"/>
  <c r="M68" i="5"/>
  <c r="Q68" i="5"/>
  <c r="R42" i="5"/>
  <c r="P42" i="5" s="1"/>
  <c r="H37" i="6"/>
  <c r="S41" i="5"/>
  <c r="T41" i="5" s="1"/>
  <c r="Y41" i="5"/>
  <c r="V41" i="5"/>
  <c r="J37" i="6" s="1"/>
  <c r="W41" i="5"/>
  <c r="N114" i="7"/>
  <c r="I69" i="7"/>
  <c r="L69" i="7"/>
  <c r="K82" i="8"/>
  <c r="Z76" i="5"/>
  <c r="M82" i="8" s="1"/>
  <c r="H36" i="7"/>
  <c r="H36" i="8"/>
  <c r="E15" i="6"/>
  <c r="Q25" i="5"/>
  <c r="K25" i="5"/>
  <c r="L25" i="5" s="1"/>
  <c r="M25" i="5"/>
  <c r="N25" i="5" s="1"/>
  <c r="Y25" i="5"/>
  <c r="Z25" i="5" s="1"/>
  <c r="M15" i="8" s="1"/>
  <c r="G81" i="8"/>
  <c r="AC75" i="5"/>
  <c r="R47" i="5"/>
  <c r="P47" i="5" s="1"/>
  <c r="O47" i="5"/>
  <c r="G27" i="6"/>
  <c r="K27" i="6" s="1"/>
  <c r="AA33" i="5"/>
  <c r="J88" i="6"/>
  <c r="K88" i="6" s="1"/>
  <c r="X83" i="5"/>
  <c r="AA83" i="5"/>
  <c r="Z83" i="5"/>
  <c r="M88" i="8" s="1"/>
  <c r="T83" i="5"/>
  <c r="P83" i="5" s="1"/>
  <c r="E129" i="7"/>
  <c r="L118" i="5"/>
  <c r="I86" i="8"/>
  <c r="L86" i="8"/>
  <c r="K28" i="8"/>
  <c r="Z34" i="5"/>
  <c r="M28" i="8" s="1"/>
  <c r="G51" i="6"/>
  <c r="K51" i="6" s="1"/>
  <c r="AA51" i="5"/>
  <c r="K42" i="14"/>
  <c r="Z45" i="11"/>
  <c r="M42" i="14" s="1"/>
  <c r="I71" i="8"/>
  <c r="L71" i="8"/>
  <c r="L60" i="13"/>
  <c r="I60" i="13"/>
  <c r="E105" i="8"/>
  <c r="N98" i="5"/>
  <c r="G77" i="7"/>
  <c r="N77" i="7" s="1"/>
  <c r="AB73" i="5"/>
  <c r="H40" i="6"/>
  <c r="W44" i="5"/>
  <c r="V44" i="5"/>
  <c r="J40" i="6" s="1"/>
  <c r="S44" i="5"/>
  <c r="T44" i="5" s="1"/>
  <c r="Y44" i="5"/>
  <c r="K71" i="8"/>
  <c r="Z69" i="5"/>
  <c r="M71" i="8" s="1"/>
  <c r="L106" i="8"/>
  <c r="I106" i="8"/>
  <c r="R50" i="5"/>
  <c r="P50" i="5" s="1"/>
  <c r="O50" i="5"/>
  <c r="F32" i="8"/>
  <c r="F32" i="7"/>
  <c r="F32" i="6"/>
  <c r="I32" i="6" s="1"/>
  <c r="V36" i="5"/>
  <c r="J36" i="5"/>
  <c r="E40" i="6"/>
  <c r="K44" i="5"/>
  <c r="J44" i="5"/>
  <c r="Q44" i="5"/>
  <c r="M44" i="5"/>
  <c r="G35" i="6"/>
  <c r="K35" i="6" s="1"/>
  <c r="AA39" i="5"/>
  <c r="G45" i="6"/>
  <c r="K45" i="6" s="1"/>
  <c r="AA47" i="5"/>
  <c r="L69" i="8"/>
  <c r="I69" i="8"/>
  <c r="E82" i="7"/>
  <c r="L76" i="5"/>
  <c r="R78" i="5"/>
  <c r="P78" i="5" s="1"/>
  <c r="O78" i="5"/>
  <c r="E45" i="7"/>
  <c r="L47" i="5"/>
  <c r="T36" i="5"/>
  <c r="E27" i="7"/>
  <c r="L33" i="5"/>
  <c r="I88" i="8"/>
  <c r="L88" i="8"/>
  <c r="I88" i="7"/>
  <c r="L88" i="7"/>
  <c r="I88" i="6"/>
  <c r="K83" i="7"/>
  <c r="M83" i="7" s="1"/>
  <c r="X77" i="5"/>
  <c r="V71" i="5"/>
  <c r="J73" i="6" s="1"/>
  <c r="H73" i="6"/>
  <c r="W71" i="5"/>
  <c r="S71" i="5"/>
  <c r="T71" i="5" s="1"/>
  <c r="Y71" i="5"/>
  <c r="E28" i="8"/>
  <c r="N34" i="5"/>
  <c r="R51" i="5"/>
  <c r="P51" i="5" s="1"/>
  <c r="O51" i="5"/>
  <c r="G55" i="13"/>
  <c r="N55" i="13" s="1"/>
  <c r="AB56" i="11"/>
  <c r="E42" i="13"/>
  <c r="L45" i="11"/>
  <c r="E114" i="14"/>
  <c r="N106" i="11"/>
  <c r="I62" i="14"/>
  <c r="L62" i="14"/>
  <c r="J55" i="14"/>
  <c r="J55" i="13"/>
  <c r="I89" i="14"/>
  <c r="L89" i="14"/>
  <c r="L40" i="13"/>
  <c r="I40" i="13"/>
  <c r="E54" i="14"/>
  <c r="N55" i="11"/>
  <c r="L56" i="13"/>
  <c r="I56" i="13"/>
  <c r="G66" i="12"/>
  <c r="K66" i="12" s="1"/>
  <c r="AA65" i="11"/>
  <c r="E42" i="14"/>
  <c r="N45" i="11"/>
  <c r="L65" i="14"/>
  <c r="I65" i="14"/>
  <c r="E105" i="14"/>
  <c r="N99" i="11"/>
  <c r="I32" i="14"/>
  <c r="L32" i="14"/>
  <c r="H88" i="12"/>
  <c r="Y89" i="11"/>
  <c r="W89" i="11"/>
  <c r="S89" i="11"/>
  <c r="T89" i="11" s="1"/>
  <c r="V89" i="11"/>
  <c r="J88" i="12" s="1"/>
  <c r="J52" i="14"/>
  <c r="J52" i="13"/>
  <c r="Q90" i="11"/>
  <c r="M90" i="11"/>
  <c r="K90" i="11"/>
  <c r="J90" i="11"/>
  <c r="E89" i="12"/>
  <c r="H39" i="12"/>
  <c r="W42" i="11"/>
  <c r="V42" i="11"/>
  <c r="J39" i="12" s="1"/>
  <c r="Y42" i="11"/>
  <c r="S42" i="11"/>
  <c r="T42" i="11" s="1"/>
  <c r="Y95" i="11"/>
  <c r="H96" i="12"/>
  <c r="W95" i="11"/>
  <c r="K99" i="13" s="1"/>
  <c r="V95" i="11"/>
  <c r="J96" i="12" s="1"/>
  <c r="S95" i="11"/>
  <c r="T95" i="11" s="1"/>
  <c r="K51" i="14"/>
  <c r="Z52" i="11"/>
  <c r="M51" i="14" s="1"/>
  <c r="G61" i="12"/>
  <c r="K61" i="12" s="1"/>
  <c r="AA60" i="11"/>
  <c r="K76" i="11"/>
  <c r="L76" i="11" s="1"/>
  <c r="Y76" i="11"/>
  <c r="Z76" i="11" s="1"/>
  <c r="M78" i="14" s="1"/>
  <c r="Q76" i="11"/>
  <c r="M76" i="11"/>
  <c r="N76" i="11" s="1"/>
  <c r="J76" i="11"/>
  <c r="H61" i="12"/>
  <c r="Y60" i="11"/>
  <c r="W60" i="11"/>
  <c r="V60" i="11"/>
  <c r="J61" i="12" s="1"/>
  <c r="S60" i="11"/>
  <c r="T60" i="11" s="1"/>
  <c r="U66" i="11" a="1"/>
  <c r="U66" i="11" s="1"/>
  <c r="T34" i="11"/>
  <c r="G22" i="14"/>
  <c r="AC31" i="11"/>
  <c r="E41" i="14"/>
  <c r="N44" i="11"/>
  <c r="G72" i="13"/>
  <c r="I59" i="7"/>
  <c r="L59" i="7"/>
  <c r="H108" i="8"/>
  <c r="H108" i="7"/>
  <c r="P101" i="5"/>
  <c r="L107" i="8"/>
  <c r="I107" i="8"/>
  <c r="E33" i="6"/>
  <c r="Q37" i="5"/>
  <c r="K37" i="5"/>
  <c r="M37" i="5"/>
  <c r="E35" i="8"/>
  <c r="N39" i="5"/>
  <c r="H105" i="8"/>
  <c r="H105" i="7"/>
  <c r="P98" i="5"/>
  <c r="I45" i="8"/>
  <c r="L45" i="8"/>
  <c r="H72" i="6"/>
  <c r="V70" i="5"/>
  <c r="J72" i="6" s="1"/>
  <c r="Y70" i="5"/>
  <c r="W70" i="5"/>
  <c r="S70" i="5"/>
  <c r="T70" i="5" s="1"/>
  <c r="E116" i="8"/>
  <c r="N107" i="5"/>
  <c r="G119" i="7"/>
  <c r="AB110" i="5"/>
  <c r="K67" i="7"/>
  <c r="X65" i="5"/>
  <c r="M67" i="7" s="1"/>
  <c r="E27" i="8"/>
  <c r="N33" i="5"/>
  <c r="G46" i="6"/>
  <c r="K46" i="6" s="1"/>
  <c r="AA48" i="5"/>
  <c r="T77" i="5"/>
  <c r="P77" i="5" s="1"/>
  <c r="O77" i="5"/>
  <c r="J71" i="5"/>
  <c r="Q71" i="5"/>
  <c r="M71" i="5"/>
  <c r="K71" i="5"/>
  <c r="E73" i="6"/>
  <c r="K49" i="8"/>
  <c r="Z49" i="5"/>
  <c r="M49" i="8" s="1"/>
  <c r="E140" i="7"/>
  <c r="L124" i="5"/>
  <c r="K51" i="8"/>
  <c r="Z51" i="5"/>
  <c r="M51" i="8" s="1"/>
  <c r="L60" i="14"/>
  <c r="I60" i="14"/>
  <c r="K105" i="8"/>
  <c r="Z98" i="5"/>
  <c r="M105" i="8" s="1"/>
  <c r="W68" i="5"/>
  <c r="H70" i="6"/>
  <c r="S68" i="5"/>
  <c r="T68" i="5" s="1"/>
  <c r="Y68" i="5"/>
  <c r="I66" i="7"/>
  <c r="L66" i="7"/>
  <c r="F67" i="8"/>
  <c r="F67" i="7"/>
  <c r="F67" i="6"/>
  <c r="I67" i="6" s="1"/>
  <c r="J65" i="5"/>
  <c r="V65" i="5"/>
  <c r="J67" i="6" s="1"/>
  <c r="Q119" i="5"/>
  <c r="E127" i="6"/>
  <c r="M119" i="5"/>
  <c r="K119" i="5"/>
  <c r="J119" i="5"/>
  <c r="I100" i="8"/>
  <c r="L100" i="8"/>
  <c r="E39" i="6"/>
  <c r="Q43" i="5"/>
  <c r="J43" i="5"/>
  <c r="M43" i="5"/>
  <c r="K43" i="5"/>
  <c r="N42" i="5"/>
  <c r="E72" i="6"/>
  <c r="J70" i="5"/>
  <c r="M70" i="5"/>
  <c r="K70" i="5"/>
  <c r="Q70" i="5"/>
  <c r="L57" i="8"/>
  <c r="I57" i="8"/>
  <c r="T87" i="5"/>
  <c r="O87" i="5"/>
  <c r="P87" i="5" s="1"/>
  <c r="R107" i="5"/>
  <c r="P107" i="5" s="1"/>
  <c r="AB107" i="5" s="1"/>
  <c r="O107" i="5"/>
  <c r="K84" i="8"/>
  <c r="Z78" i="5"/>
  <c r="M84" i="8" s="1"/>
  <c r="E14" i="6"/>
  <c r="M24" i="5"/>
  <c r="Y24" i="5"/>
  <c r="K24" i="5"/>
  <c r="Q24" i="5"/>
  <c r="J24" i="5"/>
  <c r="E45" i="8"/>
  <c r="N47" i="5"/>
  <c r="G25" i="6"/>
  <c r="AA31" i="5"/>
  <c r="R33" i="5"/>
  <c r="P33" i="5" s="1"/>
  <c r="O33" i="5"/>
  <c r="E46" i="7"/>
  <c r="L48" i="5"/>
  <c r="K83" i="8"/>
  <c r="M83" i="8" s="1"/>
  <c r="Z77" i="5"/>
  <c r="G103" i="6"/>
  <c r="K103" i="6" s="1"/>
  <c r="AA99" i="5"/>
  <c r="R49" i="5"/>
  <c r="P49" i="5" s="1"/>
  <c r="O49" i="5"/>
  <c r="E140" i="8"/>
  <c r="N124" i="5"/>
  <c r="L105" i="13"/>
  <c r="I105" i="13"/>
  <c r="L89" i="13"/>
  <c r="I89" i="13"/>
  <c r="K105" i="13"/>
  <c r="X99" i="11"/>
  <c r="M105" i="13" s="1"/>
  <c r="K38" i="13"/>
  <c r="X41" i="11"/>
  <c r="M38" i="13" s="1"/>
  <c r="E14" i="12"/>
  <c r="Q24" i="11"/>
  <c r="K24" i="11"/>
  <c r="Y24" i="11"/>
  <c r="M24" i="11"/>
  <c r="E38" i="13"/>
  <c r="L41" i="11"/>
  <c r="I68" i="13"/>
  <c r="L68" i="13"/>
  <c r="G48" i="13"/>
  <c r="AB51" i="11"/>
  <c r="E45" i="13"/>
  <c r="L48" i="11"/>
  <c r="L48" i="13"/>
  <c r="I48" i="13"/>
  <c r="L55" i="13"/>
  <c r="I55" i="13"/>
  <c r="I52" i="13"/>
  <c r="L52" i="13"/>
  <c r="E24" i="12"/>
  <c r="M33" i="11"/>
  <c r="N33" i="11" s="1"/>
  <c r="K33" i="11"/>
  <c r="L33" i="11" s="1"/>
  <c r="Y33" i="11"/>
  <c r="Z33" i="11" s="1"/>
  <c r="M24" i="14" s="1"/>
  <c r="Q33" i="11"/>
  <c r="U64" i="11" a="1"/>
  <c r="U64" i="11" s="1"/>
  <c r="I64" i="11" a="1"/>
  <c r="I64" i="11" s="1"/>
  <c r="Q98" i="11"/>
  <c r="E101" i="12"/>
  <c r="M98" i="11"/>
  <c r="J98" i="11"/>
  <c r="K98" i="11"/>
  <c r="I94" i="11" a="1"/>
  <c r="I94" i="11" s="1"/>
  <c r="K17" i="14"/>
  <c r="Z28" i="11"/>
  <c r="M17" i="14" s="1"/>
  <c r="L100" i="14"/>
  <c r="I100" i="14"/>
  <c r="E38" i="14"/>
  <c r="N41" i="11"/>
  <c r="I51" i="8"/>
  <c r="L51" i="8"/>
  <c r="I70" i="7"/>
  <c r="L70" i="7"/>
  <c r="E105" i="7"/>
  <c r="L98" i="5"/>
  <c r="K119" i="8"/>
  <c r="Z110" i="5"/>
  <c r="M119" i="8" s="1"/>
  <c r="G106" i="7"/>
  <c r="N106" i="7" s="1"/>
  <c r="AB99" i="5"/>
  <c r="U95" i="5"/>
  <c r="I95" i="5"/>
  <c r="H71" i="8"/>
  <c r="H71" i="7"/>
  <c r="W72" i="5"/>
  <c r="Y72" i="5"/>
  <c r="H74" i="6"/>
  <c r="S72" i="5"/>
  <c r="T72" i="5" s="1"/>
  <c r="L105" i="8"/>
  <c r="I105" i="8"/>
  <c r="AA84" i="5"/>
  <c r="T84" i="5"/>
  <c r="P84" i="5" s="1"/>
  <c r="Z84" i="5"/>
  <c r="X84" i="5"/>
  <c r="F33" i="8"/>
  <c r="F33" i="7"/>
  <c r="F33" i="6"/>
  <c r="I33" i="6" s="1"/>
  <c r="J37" i="5"/>
  <c r="V37" i="5"/>
  <c r="J33" i="6" s="1"/>
  <c r="E43" i="7"/>
  <c r="L45" i="5"/>
  <c r="L104" i="8"/>
  <c r="I104" i="8"/>
  <c r="H126" i="6"/>
  <c r="W118" i="5"/>
  <c r="V118" i="5"/>
  <c r="J126" i="6" s="1"/>
  <c r="Y118" i="5"/>
  <c r="S118" i="5"/>
  <c r="T118" i="5" s="1"/>
  <c r="I57" i="7"/>
  <c r="L57" i="7"/>
  <c r="K116" i="8"/>
  <c r="Z107" i="5"/>
  <c r="M116" i="8" s="1"/>
  <c r="E84" i="7"/>
  <c r="L78" i="5"/>
  <c r="E16" i="6"/>
  <c r="Q26" i="5"/>
  <c r="M26" i="5"/>
  <c r="N26" i="5" s="1"/>
  <c r="K26" i="5"/>
  <c r="L26" i="5" s="1"/>
  <c r="Y26" i="5"/>
  <c r="Z26" i="5" s="1"/>
  <c r="M16" i="8" s="1"/>
  <c r="K45" i="8"/>
  <c r="Z47" i="5"/>
  <c r="M45" i="8" s="1"/>
  <c r="K27" i="8"/>
  <c r="Z33" i="5"/>
  <c r="M27" i="8" s="1"/>
  <c r="E46" i="8"/>
  <c r="N48" i="5"/>
  <c r="AA77" i="5"/>
  <c r="J83" i="6"/>
  <c r="K83" i="6" s="1"/>
  <c r="E49" i="8"/>
  <c r="N49" i="5"/>
  <c r="AA124" i="5"/>
  <c r="G137" i="6"/>
  <c r="Z124" i="5"/>
  <c r="R124" i="5"/>
  <c r="J125" i="5"/>
  <c r="AA125" i="5" s="1"/>
  <c r="E51" i="8"/>
  <c r="N51" i="5"/>
  <c r="G52" i="13"/>
  <c r="AB53" i="11"/>
  <c r="J110" i="12"/>
  <c r="K110" i="12" s="1"/>
  <c r="AA105" i="11"/>
  <c r="G47" i="13"/>
  <c r="N47" i="13" s="1"/>
  <c r="AB50" i="11"/>
  <c r="L56" i="14"/>
  <c r="I56" i="14"/>
  <c r="G46" i="13"/>
  <c r="N46" i="13" s="1"/>
  <c r="AB49" i="11"/>
  <c r="L55" i="14"/>
  <c r="I55" i="14"/>
  <c r="L32" i="13"/>
  <c r="I32" i="13"/>
  <c r="L52" i="14"/>
  <c r="I52" i="14"/>
  <c r="I34" i="13"/>
  <c r="L34" i="13"/>
  <c r="G64" i="13"/>
  <c r="L52" i="11"/>
  <c r="G13" i="12"/>
  <c r="K13" i="12" s="1"/>
  <c r="AA23" i="11"/>
  <c r="G22" i="12"/>
  <c r="K22" i="12" s="1"/>
  <c r="AA31" i="11"/>
  <c r="Q92" i="11"/>
  <c r="K92" i="11"/>
  <c r="E93" i="12"/>
  <c r="J92" i="11"/>
  <c r="M92" i="11"/>
  <c r="R28" i="11"/>
  <c r="P28" i="11" s="1"/>
  <c r="O28" i="11"/>
  <c r="I100" i="13"/>
  <c r="L100" i="13"/>
  <c r="G15" i="12"/>
  <c r="K15" i="12" s="1"/>
  <c r="AA25" i="11"/>
  <c r="R41" i="11"/>
  <c r="P41" i="11" s="1"/>
  <c r="O41" i="11"/>
  <c r="V68" i="5"/>
  <c r="J70" i="6" s="1"/>
  <c r="T86" i="5"/>
  <c r="O86" i="5"/>
  <c r="P86" i="5" s="1"/>
  <c r="L122" i="5"/>
  <c r="E134" i="7"/>
  <c r="I93" i="5"/>
  <c r="U93" i="5"/>
  <c r="E134" i="8"/>
  <c r="N122" i="5"/>
  <c r="P69" i="5"/>
  <c r="AA69" i="5"/>
  <c r="E84" i="8"/>
  <c r="N78" i="5"/>
  <c r="F133" i="8"/>
  <c r="F133" i="7"/>
  <c r="I133" i="7" s="1"/>
  <c r="F130" i="6"/>
  <c r="E43" i="8"/>
  <c r="N45" i="5"/>
  <c r="K53" i="5"/>
  <c r="J53" i="5"/>
  <c r="E55" i="6"/>
  <c r="Q53" i="5"/>
  <c r="M53" i="5"/>
  <c r="S119" i="5"/>
  <c r="T119" i="5" s="1"/>
  <c r="Y119" i="5"/>
  <c r="H127" i="6"/>
  <c r="W119" i="5"/>
  <c r="V119" i="5"/>
  <c r="J127" i="6" s="1"/>
  <c r="G127" i="7"/>
  <c r="N127" i="7" s="1"/>
  <c r="AB116" i="5"/>
  <c r="K54" i="7"/>
  <c r="X52" i="5"/>
  <c r="M54" i="7" s="1"/>
  <c r="G113" i="6"/>
  <c r="K113" i="6" s="1"/>
  <c r="AA107" i="5"/>
  <c r="L98" i="8"/>
  <c r="I98" i="8"/>
  <c r="E17" i="6"/>
  <c r="Y27" i="5"/>
  <c r="Z27" i="5" s="1"/>
  <c r="M17" i="8" s="1"/>
  <c r="M27" i="5"/>
  <c r="N27" i="5" s="1"/>
  <c r="K27" i="5"/>
  <c r="L27" i="5" s="1"/>
  <c r="Q27" i="5"/>
  <c r="G116" i="7"/>
  <c r="T65" i="5"/>
  <c r="G50" i="8"/>
  <c r="L56" i="7"/>
  <c r="I56" i="7"/>
  <c r="K46" i="8"/>
  <c r="Z48" i="5"/>
  <c r="M46" i="8" s="1"/>
  <c r="E49" i="7"/>
  <c r="L49" i="5"/>
  <c r="E51" i="7"/>
  <c r="L51" i="5"/>
  <c r="K88" i="14" l="1"/>
  <c r="Z86" i="11"/>
  <c r="K34" i="8"/>
  <c r="Z38" i="5"/>
  <c r="M34" i="8" s="1"/>
  <c r="R66" i="11"/>
  <c r="G114" i="14"/>
  <c r="AC106" i="11"/>
  <c r="L68" i="8"/>
  <c r="I68" i="8"/>
  <c r="E67" i="14"/>
  <c r="N66" i="11"/>
  <c r="L38" i="8"/>
  <c r="I38" i="8"/>
  <c r="G23" i="12"/>
  <c r="K23" i="12" s="1"/>
  <c r="AA32" i="11"/>
  <c r="K18" i="13"/>
  <c r="X29" i="11"/>
  <c r="M18" i="13" s="1"/>
  <c r="J51" i="14"/>
  <c r="J51" i="13"/>
  <c r="M25" i="8"/>
  <c r="G82" i="8"/>
  <c r="AC76" i="5"/>
  <c r="K66" i="13"/>
  <c r="X65" i="11"/>
  <c r="M66" i="13" s="1"/>
  <c r="E63" i="13"/>
  <c r="L62" i="11"/>
  <c r="G66" i="14"/>
  <c r="R21" i="11"/>
  <c r="O21" i="11"/>
  <c r="E40" i="14"/>
  <c r="N43" i="11"/>
  <c r="O60" i="11"/>
  <c r="R60" i="11"/>
  <c r="P60" i="11" s="1"/>
  <c r="E10" i="14"/>
  <c r="N22" i="11"/>
  <c r="U55" i="5"/>
  <c r="I55" i="5"/>
  <c r="L37" i="11"/>
  <c r="R37" i="11"/>
  <c r="P37" i="11" s="1"/>
  <c r="G32" i="12"/>
  <c r="K32" i="12" s="1"/>
  <c r="N37" i="11"/>
  <c r="AA37" i="11"/>
  <c r="Z37" i="11"/>
  <c r="M32" i="14" s="1"/>
  <c r="G68" i="12"/>
  <c r="K68" i="12" s="1"/>
  <c r="AA67" i="11"/>
  <c r="K9" i="8"/>
  <c r="Z21" i="5"/>
  <c r="J87" i="8"/>
  <c r="N87" i="8" s="1"/>
  <c r="J87" i="7"/>
  <c r="N87" i="7" s="1"/>
  <c r="AB81" i="5"/>
  <c r="AC81" i="5"/>
  <c r="J134" i="8"/>
  <c r="J134" i="7"/>
  <c r="K67" i="8"/>
  <c r="Z65" i="5"/>
  <c r="M67" i="8" s="1"/>
  <c r="L36" i="5"/>
  <c r="E32" i="7"/>
  <c r="R38" i="5"/>
  <c r="P38" i="5" s="1"/>
  <c r="O38" i="5"/>
  <c r="E14" i="7"/>
  <c r="L24" i="5"/>
  <c r="K39" i="13"/>
  <c r="X42" i="11"/>
  <c r="M39" i="13" s="1"/>
  <c r="L32" i="8"/>
  <c r="I32" i="8"/>
  <c r="G70" i="6"/>
  <c r="K70" i="6" s="1"/>
  <c r="AA68" i="5"/>
  <c r="R61" i="11"/>
  <c r="E104" i="13"/>
  <c r="L98" i="11"/>
  <c r="E14" i="8"/>
  <c r="N24" i="5"/>
  <c r="J108" i="7"/>
  <c r="J108" i="8"/>
  <c r="K73" i="7"/>
  <c r="X71" i="5"/>
  <c r="M73" i="7" s="1"/>
  <c r="J50" i="7"/>
  <c r="J50" i="8"/>
  <c r="G105" i="8"/>
  <c r="AC98" i="5"/>
  <c r="J45" i="7"/>
  <c r="J45" i="8"/>
  <c r="E70" i="7"/>
  <c r="L68" i="5"/>
  <c r="G43" i="8"/>
  <c r="N43" i="8" s="1"/>
  <c r="AC45" i="5"/>
  <c r="H17" i="14"/>
  <c r="H17" i="13"/>
  <c r="G101" i="12"/>
  <c r="K101" i="12" s="1"/>
  <c r="AA98" i="11"/>
  <c r="H27" i="7"/>
  <c r="H27" i="8"/>
  <c r="E130" i="8"/>
  <c r="N119" i="5"/>
  <c r="J105" i="8"/>
  <c r="J105" i="7"/>
  <c r="G89" i="12"/>
  <c r="K89" i="12" s="1"/>
  <c r="AA90" i="11"/>
  <c r="G45" i="7"/>
  <c r="N45" i="7" s="1"/>
  <c r="AB47" i="5"/>
  <c r="E40" i="8"/>
  <c r="N44" i="5"/>
  <c r="H15" i="13"/>
  <c r="H15" i="14"/>
  <c r="K92" i="13"/>
  <c r="X90" i="11"/>
  <c r="M92" i="13" s="1"/>
  <c r="X96" i="11"/>
  <c r="M100" i="13" s="1"/>
  <c r="K29" i="8"/>
  <c r="Z35" i="5"/>
  <c r="M29" i="8" s="1"/>
  <c r="M36" i="8"/>
  <c r="AC40" i="5"/>
  <c r="T68" i="11"/>
  <c r="P68" i="11" s="1"/>
  <c r="O68" i="11"/>
  <c r="G105" i="13"/>
  <c r="AB99" i="11"/>
  <c r="G23" i="13"/>
  <c r="K18" i="14"/>
  <c r="Z29" i="11"/>
  <c r="M18" i="14" s="1"/>
  <c r="G44" i="8"/>
  <c r="AC46" i="5"/>
  <c r="K66" i="14"/>
  <c r="Z65" i="11"/>
  <c r="M66" i="14" s="1"/>
  <c r="E63" i="14"/>
  <c r="N62" i="11"/>
  <c r="R28" i="5"/>
  <c r="P28" i="5" s="1"/>
  <c r="O28" i="5"/>
  <c r="E68" i="8"/>
  <c r="N66" i="5"/>
  <c r="K9" i="14"/>
  <c r="Z21" i="11"/>
  <c r="G15" i="14"/>
  <c r="AC25" i="11"/>
  <c r="H114" i="14"/>
  <c r="H114" i="13"/>
  <c r="N77" i="8"/>
  <c r="U58" i="5"/>
  <c r="I58" i="5"/>
  <c r="K34" i="13"/>
  <c r="X39" i="11"/>
  <c r="M87" i="11"/>
  <c r="K87" i="11"/>
  <c r="Q87" i="11"/>
  <c r="E86" i="12"/>
  <c r="Y87" i="11"/>
  <c r="J87" i="11"/>
  <c r="E68" i="13"/>
  <c r="L67" i="11"/>
  <c r="O21" i="5"/>
  <c r="R21" i="5"/>
  <c r="E96" i="6"/>
  <c r="M94" i="5"/>
  <c r="Q94" i="5"/>
  <c r="K94" i="5"/>
  <c r="H59" i="12"/>
  <c r="Y58" i="11"/>
  <c r="W58" i="11"/>
  <c r="V58" i="11"/>
  <c r="J59" i="12" s="1"/>
  <c r="S58" i="11"/>
  <c r="T58" i="11" s="1"/>
  <c r="E67" i="8"/>
  <c r="N65" i="5"/>
  <c r="E32" i="8"/>
  <c r="N36" i="5"/>
  <c r="G34" i="6"/>
  <c r="K34" i="6" s="1"/>
  <c r="AA38" i="5"/>
  <c r="G134" i="8"/>
  <c r="AC122" i="5"/>
  <c r="H45" i="8"/>
  <c r="H45" i="7"/>
  <c r="E55" i="7"/>
  <c r="L53" i="5"/>
  <c r="G51" i="13"/>
  <c r="N51" i="13" s="1"/>
  <c r="AB52" i="11"/>
  <c r="E72" i="8"/>
  <c r="N70" i="5"/>
  <c r="J17" i="14"/>
  <c r="J17" i="13"/>
  <c r="E104" i="14"/>
  <c r="N98" i="11"/>
  <c r="E14" i="14"/>
  <c r="N24" i="11"/>
  <c r="E73" i="7"/>
  <c r="L71" i="5"/>
  <c r="R44" i="5"/>
  <c r="P44" i="5" s="1"/>
  <c r="O44" i="5"/>
  <c r="G129" i="7"/>
  <c r="K92" i="14"/>
  <c r="Z90" i="11"/>
  <c r="M92" i="14" s="1"/>
  <c r="M95" i="11"/>
  <c r="K95" i="11"/>
  <c r="J95" i="11"/>
  <c r="E96" i="12"/>
  <c r="Q95" i="11"/>
  <c r="G29" i="6"/>
  <c r="K29" i="6" s="1"/>
  <c r="AA35" i="5"/>
  <c r="H77" i="14"/>
  <c r="H77" i="13"/>
  <c r="G107" i="8"/>
  <c r="G23" i="14"/>
  <c r="H112" i="14"/>
  <c r="H112" i="13"/>
  <c r="H48" i="14"/>
  <c r="H48" i="13"/>
  <c r="O62" i="11"/>
  <c r="R62" i="11"/>
  <c r="P62" i="11" s="1"/>
  <c r="H45" i="13"/>
  <c r="H45" i="14"/>
  <c r="O118" i="5"/>
  <c r="AC110" i="5"/>
  <c r="G54" i="13"/>
  <c r="AB55" i="11"/>
  <c r="G46" i="14"/>
  <c r="N46" i="14" s="1"/>
  <c r="AC49" i="11"/>
  <c r="J114" i="14"/>
  <c r="J114" i="13"/>
  <c r="I63" i="5"/>
  <c r="U63" i="5"/>
  <c r="N15" i="13"/>
  <c r="K93" i="11"/>
  <c r="E94" i="12"/>
  <c r="Q93" i="11"/>
  <c r="M93" i="11"/>
  <c r="J93" i="11"/>
  <c r="E68" i="14"/>
  <c r="N67" i="11"/>
  <c r="G9" i="6"/>
  <c r="J29" i="5"/>
  <c r="AA21" i="5"/>
  <c r="K55" i="7"/>
  <c r="X53" i="5"/>
  <c r="M55" i="7" s="1"/>
  <c r="Y94" i="5"/>
  <c r="H96" i="6"/>
  <c r="I96" i="6" s="1"/>
  <c r="W94" i="5"/>
  <c r="S94" i="5"/>
  <c r="T94" i="5" s="1"/>
  <c r="E59" i="12"/>
  <c r="Q58" i="11"/>
  <c r="M58" i="11"/>
  <c r="K58" i="11"/>
  <c r="J58" i="11"/>
  <c r="O65" i="5"/>
  <c r="R65" i="5"/>
  <c r="P65" i="5" s="1"/>
  <c r="R36" i="5"/>
  <c r="P36" i="5" s="1"/>
  <c r="O36" i="5"/>
  <c r="G43" i="7"/>
  <c r="N43" i="7" s="1"/>
  <c r="AB45" i="5"/>
  <c r="O70" i="5"/>
  <c r="R70" i="5"/>
  <c r="P70" i="5" s="1"/>
  <c r="E70" i="8"/>
  <c r="N68" i="5"/>
  <c r="E95" i="12"/>
  <c r="K94" i="11"/>
  <c r="J94" i="11"/>
  <c r="Q94" i="11"/>
  <c r="M94" i="11"/>
  <c r="Y94" i="11"/>
  <c r="J13" i="14"/>
  <c r="N13" i="14" s="1"/>
  <c r="J13" i="13"/>
  <c r="AC23" i="11"/>
  <c r="H95" i="6"/>
  <c r="I95" i="6" s="1"/>
  <c r="S93" i="5"/>
  <c r="T93" i="5" s="1"/>
  <c r="Y93" i="5"/>
  <c r="W93" i="5"/>
  <c r="V93" i="5"/>
  <c r="G38" i="13"/>
  <c r="AB41" i="11"/>
  <c r="E130" i="7"/>
  <c r="L119" i="5"/>
  <c r="G51" i="7"/>
  <c r="AB51" i="5"/>
  <c r="Q93" i="5"/>
  <c r="M93" i="5"/>
  <c r="K93" i="5"/>
  <c r="E95" i="6"/>
  <c r="J93" i="5"/>
  <c r="R125" i="5"/>
  <c r="P124" i="5"/>
  <c r="G33" i="6"/>
  <c r="K33" i="6" s="1"/>
  <c r="AA37" i="5"/>
  <c r="K74" i="8"/>
  <c r="Z72" i="5"/>
  <c r="M74" i="8" s="1"/>
  <c r="G72" i="6"/>
  <c r="K72" i="6" s="1"/>
  <c r="AA70" i="5"/>
  <c r="R27" i="5"/>
  <c r="P27" i="5" s="1"/>
  <c r="O27" i="5"/>
  <c r="M140" i="8"/>
  <c r="M142" i="8" s="1"/>
  <c r="Z125" i="5"/>
  <c r="K74" i="7"/>
  <c r="X72" i="5"/>
  <c r="M74" i="7" s="1"/>
  <c r="J27" i="8"/>
  <c r="J27" i="7"/>
  <c r="K70" i="7"/>
  <c r="X68" i="5"/>
  <c r="M70" i="7" s="1"/>
  <c r="K61" i="13"/>
  <c r="X60" i="11"/>
  <c r="M61" i="13" s="1"/>
  <c r="E92" i="13"/>
  <c r="L90" i="11"/>
  <c r="G105" i="14"/>
  <c r="AC99" i="11"/>
  <c r="G54" i="14"/>
  <c r="AC55" i="11"/>
  <c r="G42" i="13"/>
  <c r="AB45" i="11"/>
  <c r="J15" i="14"/>
  <c r="J15" i="13"/>
  <c r="AB49" i="5"/>
  <c r="G49" i="7"/>
  <c r="G17" i="7"/>
  <c r="AB27" i="5"/>
  <c r="AB122" i="5"/>
  <c r="G134" i="7"/>
  <c r="E96" i="14"/>
  <c r="N92" i="11"/>
  <c r="K137" i="6"/>
  <c r="K139" i="6" s="1"/>
  <c r="G139" i="6"/>
  <c r="K129" i="8"/>
  <c r="Z118" i="5"/>
  <c r="M129" i="8" s="1"/>
  <c r="I33" i="7"/>
  <c r="L33" i="7"/>
  <c r="K14" i="14"/>
  <c r="Z24" i="11"/>
  <c r="M14" i="14" s="1"/>
  <c r="G140" i="8"/>
  <c r="N125" i="5"/>
  <c r="AC124" i="5"/>
  <c r="G38" i="8"/>
  <c r="AC42" i="5"/>
  <c r="O119" i="5"/>
  <c r="R119" i="5"/>
  <c r="P119" i="5" s="1"/>
  <c r="E73" i="8"/>
  <c r="N71" i="5"/>
  <c r="K61" i="14"/>
  <c r="Z60" i="11"/>
  <c r="M61" i="14" s="1"/>
  <c r="E92" i="14"/>
  <c r="N90" i="11"/>
  <c r="H84" i="7"/>
  <c r="H84" i="8"/>
  <c r="G40" i="6"/>
  <c r="K40" i="6" s="1"/>
  <c r="AA44" i="5"/>
  <c r="K37" i="7"/>
  <c r="X41" i="5"/>
  <c r="M37" i="7" s="1"/>
  <c r="E104" i="12"/>
  <c r="K101" i="11"/>
  <c r="J101" i="11"/>
  <c r="M101" i="11"/>
  <c r="Y101" i="11"/>
  <c r="Q101" i="11"/>
  <c r="G38" i="7"/>
  <c r="AB42" i="5"/>
  <c r="E29" i="8"/>
  <c r="N35" i="5"/>
  <c r="J77" i="14"/>
  <c r="N77" i="14" s="1"/>
  <c r="J77" i="13"/>
  <c r="N77" i="13" s="1"/>
  <c r="AC74" i="11"/>
  <c r="AB74" i="11"/>
  <c r="R32" i="11"/>
  <c r="P32" i="11" s="1"/>
  <c r="O32" i="11"/>
  <c r="H23" i="13" s="1"/>
  <c r="E39" i="14"/>
  <c r="N42" i="11"/>
  <c r="J112" i="14"/>
  <c r="J112" i="13"/>
  <c r="N112" i="13" s="1"/>
  <c r="AB104" i="11"/>
  <c r="J104" i="8"/>
  <c r="J104" i="7"/>
  <c r="J94" i="5"/>
  <c r="J48" i="14"/>
  <c r="J48" i="13"/>
  <c r="J45" i="14"/>
  <c r="J45" i="13"/>
  <c r="P118" i="5"/>
  <c r="AB118" i="5" s="1"/>
  <c r="K60" i="13"/>
  <c r="X59" i="11"/>
  <c r="M60" i="13" s="1"/>
  <c r="G52" i="14"/>
  <c r="N52" i="14" s="1"/>
  <c r="AC53" i="11"/>
  <c r="G69" i="13"/>
  <c r="N16" i="13"/>
  <c r="E60" i="13"/>
  <c r="L59" i="11"/>
  <c r="U56" i="5"/>
  <c r="I56" i="5"/>
  <c r="G64" i="14"/>
  <c r="H42" i="14"/>
  <c r="H42" i="13"/>
  <c r="O67" i="11"/>
  <c r="R67" i="11"/>
  <c r="P67" i="11" s="1"/>
  <c r="E9" i="7"/>
  <c r="L21" i="5"/>
  <c r="K55" i="8"/>
  <c r="Z53" i="5"/>
  <c r="M55" i="8" s="1"/>
  <c r="AB101" i="5"/>
  <c r="G24" i="14"/>
  <c r="G27" i="8"/>
  <c r="N27" i="8" s="1"/>
  <c r="AC33" i="5"/>
  <c r="Z89" i="11"/>
  <c r="M91" i="14" s="1"/>
  <c r="K91" i="14"/>
  <c r="K73" i="8"/>
  <c r="Z71" i="5"/>
  <c r="M73" i="8" s="1"/>
  <c r="G27" i="7"/>
  <c r="N27" i="7" s="1"/>
  <c r="AB33" i="5"/>
  <c r="G55" i="6"/>
  <c r="K55" i="6" s="1"/>
  <c r="AA53" i="5"/>
  <c r="G46" i="7"/>
  <c r="N46" i="7" s="1"/>
  <c r="AB48" i="5"/>
  <c r="K14" i="8"/>
  <c r="Z24" i="5"/>
  <c r="M14" i="8" s="1"/>
  <c r="E72" i="7"/>
  <c r="L70" i="5"/>
  <c r="G127" i="6"/>
  <c r="K127" i="6" s="1"/>
  <c r="AA119" i="5"/>
  <c r="K70" i="8"/>
  <c r="Z68" i="5"/>
  <c r="M70" i="8" s="1"/>
  <c r="G17" i="8"/>
  <c r="AC27" i="5"/>
  <c r="K130" i="7"/>
  <c r="X119" i="5"/>
  <c r="M130" i="7" s="1"/>
  <c r="AC86" i="5"/>
  <c r="AB86" i="5"/>
  <c r="AA92" i="11"/>
  <c r="G93" i="12"/>
  <c r="K93" i="12" s="1"/>
  <c r="G16" i="7"/>
  <c r="AB26" i="5"/>
  <c r="L33" i="8"/>
  <c r="I33" i="8"/>
  <c r="R98" i="11"/>
  <c r="P98" i="11" s="1"/>
  <c r="O98" i="11"/>
  <c r="E14" i="13"/>
  <c r="L24" i="11"/>
  <c r="H116" i="8"/>
  <c r="H116" i="7"/>
  <c r="E39" i="7"/>
  <c r="L43" i="5"/>
  <c r="R71" i="5"/>
  <c r="P71" i="5" s="1"/>
  <c r="O71" i="5"/>
  <c r="G116" i="8"/>
  <c r="AC107" i="5"/>
  <c r="G35" i="8"/>
  <c r="N35" i="8" s="1"/>
  <c r="AC39" i="5"/>
  <c r="R90" i="11"/>
  <c r="P90" i="11" s="1"/>
  <c r="O90" i="11"/>
  <c r="J84" i="8"/>
  <c r="J84" i="7"/>
  <c r="E40" i="7"/>
  <c r="L44" i="5"/>
  <c r="J88" i="8"/>
  <c r="N88" i="8" s="1"/>
  <c r="J88" i="7"/>
  <c r="AC83" i="5"/>
  <c r="AB83" i="5"/>
  <c r="G15" i="8"/>
  <c r="AC25" i="5"/>
  <c r="G45" i="14"/>
  <c r="N45" i="14" s="1"/>
  <c r="AC48" i="11"/>
  <c r="J28" i="8"/>
  <c r="J28" i="7"/>
  <c r="R35" i="5"/>
  <c r="P35" i="5" s="1"/>
  <c r="O35" i="5"/>
  <c r="K69" i="13"/>
  <c r="X68" i="11"/>
  <c r="M69" i="13" s="1"/>
  <c r="J66" i="14"/>
  <c r="J66" i="13"/>
  <c r="G26" i="7"/>
  <c r="AB32" i="5"/>
  <c r="G108" i="8"/>
  <c r="N108" i="8" s="1"/>
  <c r="AC101" i="5"/>
  <c r="T108" i="11"/>
  <c r="E106" i="13"/>
  <c r="L100" i="11"/>
  <c r="O42" i="11"/>
  <c r="R42" i="11"/>
  <c r="P42" i="11" s="1"/>
  <c r="G104" i="7"/>
  <c r="N104" i="7" s="1"/>
  <c r="AB97" i="5"/>
  <c r="G21" i="12"/>
  <c r="K21" i="12" s="1"/>
  <c r="AA30" i="11"/>
  <c r="O29" i="11"/>
  <c r="P31" i="5"/>
  <c r="R72" i="5"/>
  <c r="P72" i="5" s="1"/>
  <c r="O72" i="5"/>
  <c r="O88" i="11"/>
  <c r="R88" i="11"/>
  <c r="P88" i="11" s="1"/>
  <c r="E60" i="14"/>
  <c r="N59" i="11"/>
  <c r="J46" i="8"/>
  <c r="J46" i="7"/>
  <c r="I60" i="5"/>
  <c r="U60" i="5"/>
  <c r="H81" i="8"/>
  <c r="H81" i="7"/>
  <c r="K96" i="14"/>
  <c r="Z92" i="11"/>
  <c r="M96" i="14" s="1"/>
  <c r="K17" i="12"/>
  <c r="J42" i="14"/>
  <c r="J42" i="13"/>
  <c r="E69" i="7"/>
  <c r="L67" i="5"/>
  <c r="E9" i="8"/>
  <c r="N21" i="5"/>
  <c r="G71" i="7"/>
  <c r="AB69" i="5"/>
  <c r="N108" i="7"/>
  <c r="E67" i="7"/>
  <c r="L65" i="5"/>
  <c r="J85" i="12"/>
  <c r="J114" i="12" s="1"/>
  <c r="V108" i="11"/>
  <c r="E39" i="13"/>
  <c r="L42" i="11"/>
  <c r="E21" i="13"/>
  <c r="L30" i="11"/>
  <c r="J18" i="14"/>
  <c r="J18" i="13"/>
  <c r="N18" i="13" s="1"/>
  <c r="H25" i="7"/>
  <c r="H25" i="8"/>
  <c r="AB50" i="5"/>
  <c r="G50" i="7"/>
  <c r="N50" i="7" s="1"/>
  <c r="E74" i="8"/>
  <c r="N72" i="5"/>
  <c r="Z59" i="11"/>
  <c r="M60" i="14" s="1"/>
  <c r="K60" i="14"/>
  <c r="E90" i="13"/>
  <c r="L88" i="11"/>
  <c r="O59" i="11"/>
  <c r="R59" i="11"/>
  <c r="P59" i="11" s="1"/>
  <c r="H46" i="8"/>
  <c r="H46" i="7"/>
  <c r="U54" i="5"/>
  <c r="I54" i="5"/>
  <c r="J81" i="8"/>
  <c r="N81" i="8" s="1"/>
  <c r="J81" i="7"/>
  <c r="G17" i="13"/>
  <c r="AB28" i="11"/>
  <c r="E69" i="8"/>
  <c r="N67" i="5"/>
  <c r="H119" i="8"/>
  <c r="H119" i="7"/>
  <c r="K25" i="6"/>
  <c r="J116" i="7"/>
  <c r="N116" i="7" s="1"/>
  <c r="J116" i="8"/>
  <c r="G73" i="6"/>
  <c r="K73" i="6" s="1"/>
  <c r="AA71" i="5"/>
  <c r="AB25" i="5"/>
  <c r="G15" i="7"/>
  <c r="G51" i="14"/>
  <c r="N51" i="14" s="1"/>
  <c r="AC52" i="11"/>
  <c r="H28" i="8"/>
  <c r="H28" i="7"/>
  <c r="E29" i="7"/>
  <c r="L35" i="5"/>
  <c r="J86" i="8"/>
  <c r="J86" i="7"/>
  <c r="K130" i="8"/>
  <c r="Z119" i="5"/>
  <c r="M130" i="8" s="1"/>
  <c r="G84" i="8"/>
  <c r="AC78" i="5"/>
  <c r="E96" i="13"/>
  <c r="L92" i="11"/>
  <c r="AB87" i="5"/>
  <c r="AC87" i="5"/>
  <c r="E33" i="8"/>
  <c r="N37" i="5"/>
  <c r="G41" i="14"/>
  <c r="G78" i="14"/>
  <c r="K99" i="14"/>
  <c r="Z95" i="11"/>
  <c r="M99" i="14" s="1"/>
  <c r="H51" i="7"/>
  <c r="H51" i="8"/>
  <c r="G32" i="6"/>
  <c r="AA36" i="5"/>
  <c r="R25" i="5"/>
  <c r="P25" i="5" s="1"/>
  <c r="O25" i="5"/>
  <c r="N36" i="8"/>
  <c r="K90" i="14"/>
  <c r="Z88" i="11"/>
  <c r="M90" i="14" s="1"/>
  <c r="E11" i="7"/>
  <c r="L23" i="5"/>
  <c r="H64" i="12"/>
  <c r="Y63" i="11"/>
  <c r="W63" i="11"/>
  <c r="V63" i="11"/>
  <c r="S63" i="11"/>
  <c r="K88" i="13"/>
  <c r="X86" i="11"/>
  <c r="X92" i="11"/>
  <c r="M96" i="13" s="1"/>
  <c r="E106" i="14"/>
  <c r="N100" i="11"/>
  <c r="G113" i="13"/>
  <c r="N113" i="13" s="1"/>
  <c r="AB105" i="11"/>
  <c r="G86" i="8"/>
  <c r="N86" i="8" s="1"/>
  <c r="AC80" i="5"/>
  <c r="E10" i="8"/>
  <c r="N22" i="5"/>
  <c r="E21" i="14"/>
  <c r="N30" i="11"/>
  <c r="G114" i="13"/>
  <c r="N114" i="13" s="1"/>
  <c r="AB106" i="11"/>
  <c r="E74" i="7"/>
  <c r="L72" i="5"/>
  <c r="G26" i="8"/>
  <c r="AC32" i="5"/>
  <c r="U61" i="5"/>
  <c r="I61" i="5"/>
  <c r="G48" i="14"/>
  <c r="AC51" i="11"/>
  <c r="R67" i="5"/>
  <c r="P67" i="5" s="1"/>
  <c r="O67" i="5"/>
  <c r="J119" i="8"/>
  <c r="N119" i="8" s="1"/>
  <c r="J119" i="7"/>
  <c r="N119" i="7" s="1"/>
  <c r="K68" i="7"/>
  <c r="X66" i="5"/>
  <c r="M68" i="7" s="1"/>
  <c r="L133" i="8"/>
  <c r="I133" i="8"/>
  <c r="G49" i="8"/>
  <c r="AC49" i="5"/>
  <c r="M64" i="11"/>
  <c r="E65" i="12"/>
  <c r="Q64" i="11"/>
  <c r="K64" i="11"/>
  <c r="J64" i="11"/>
  <c r="G67" i="6"/>
  <c r="K67" i="6" s="1"/>
  <c r="AA65" i="5"/>
  <c r="G78" i="12"/>
  <c r="K78" i="12" s="1"/>
  <c r="AA76" i="11"/>
  <c r="G82" i="7"/>
  <c r="N82" i="7" s="1"/>
  <c r="AB76" i="5"/>
  <c r="K40" i="8"/>
  <c r="Z44" i="5"/>
  <c r="M40" i="8" s="1"/>
  <c r="K37" i="8"/>
  <c r="Z41" i="5"/>
  <c r="M37" i="8" s="1"/>
  <c r="K69" i="14"/>
  <c r="Z68" i="11"/>
  <c r="M69" i="14" s="1"/>
  <c r="K90" i="13"/>
  <c r="X94" i="11"/>
  <c r="M98" i="13" s="1"/>
  <c r="X88" i="11"/>
  <c r="M90" i="13" s="1"/>
  <c r="G55" i="14"/>
  <c r="N55" i="14" s="1"/>
  <c r="AC56" i="11"/>
  <c r="O26" i="5"/>
  <c r="R26" i="5"/>
  <c r="P26" i="5" s="1"/>
  <c r="S95" i="5"/>
  <c r="T95" i="5" s="1"/>
  <c r="H97" i="6"/>
  <c r="I97" i="6" s="1"/>
  <c r="Y95" i="5"/>
  <c r="W95" i="5"/>
  <c r="V95" i="5"/>
  <c r="J97" i="6" s="1"/>
  <c r="H65" i="12"/>
  <c r="V64" i="11"/>
  <c r="J65" i="12" s="1"/>
  <c r="Y64" i="11"/>
  <c r="W64" i="11"/>
  <c r="S64" i="11"/>
  <c r="T64" i="11" s="1"/>
  <c r="G45" i="13"/>
  <c r="N45" i="13" s="1"/>
  <c r="AB48" i="11"/>
  <c r="J49" i="7"/>
  <c r="J49" i="8"/>
  <c r="G45" i="8"/>
  <c r="N45" i="8" s="1"/>
  <c r="AC47" i="5"/>
  <c r="AA43" i="5"/>
  <c r="G39" i="6"/>
  <c r="K39" i="6" s="1"/>
  <c r="H83" i="8"/>
  <c r="H83" i="7"/>
  <c r="G42" i="14"/>
  <c r="AC45" i="11"/>
  <c r="H38" i="14"/>
  <c r="H38" i="13"/>
  <c r="R92" i="11"/>
  <c r="P92" i="11" s="1"/>
  <c r="O92" i="11"/>
  <c r="AC84" i="5"/>
  <c r="AB84" i="5"/>
  <c r="O33" i="11"/>
  <c r="H24" i="13" s="1"/>
  <c r="R33" i="11"/>
  <c r="P33" i="11" s="1"/>
  <c r="O43" i="5"/>
  <c r="R43" i="5"/>
  <c r="P43" i="5" s="1"/>
  <c r="I67" i="7"/>
  <c r="L67" i="7"/>
  <c r="J83" i="8"/>
  <c r="N83" i="8" s="1"/>
  <c r="J83" i="7"/>
  <c r="N83" i="7" s="1"/>
  <c r="AC77" i="5"/>
  <c r="AB77" i="5"/>
  <c r="K72" i="7"/>
  <c r="X70" i="5"/>
  <c r="M72" i="7" s="1"/>
  <c r="E33" i="7"/>
  <c r="L37" i="5"/>
  <c r="R76" i="11"/>
  <c r="P76" i="11" s="1"/>
  <c r="O76" i="11"/>
  <c r="J51" i="8"/>
  <c r="J51" i="7"/>
  <c r="J32" i="6"/>
  <c r="M88" i="7"/>
  <c r="G62" i="12"/>
  <c r="K62" i="12" s="1"/>
  <c r="Q96" i="11"/>
  <c r="E97" i="12"/>
  <c r="M96" i="11"/>
  <c r="K96" i="11"/>
  <c r="J96" i="11"/>
  <c r="Y96" i="11"/>
  <c r="AB29" i="11"/>
  <c r="AA23" i="5"/>
  <c r="G11" i="6"/>
  <c r="K11" i="6" s="1"/>
  <c r="G35" i="12"/>
  <c r="K35" i="12" s="1"/>
  <c r="N40" i="11"/>
  <c r="L40" i="11"/>
  <c r="AA40" i="11"/>
  <c r="R40" i="11"/>
  <c r="P40" i="11" s="1"/>
  <c r="Z40" i="11"/>
  <c r="M35" i="14" s="1"/>
  <c r="K106" i="14"/>
  <c r="Z100" i="11"/>
  <c r="M106" i="14" s="1"/>
  <c r="O22" i="5"/>
  <c r="R22" i="5"/>
  <c r="P22" i="5" s="1"/>
  <c r="G104" i="8"/>
  <c r="N104" i="8" s="1"/>
  <c r="AC97" i="5"/>
  <c r="I99" i="8"/>
  <c r="L99" i="8"/>
  <c r="R30" i="11"/>
  <c r="P30" i="11" s="1"/>
  <c r="O30" i="11"/>
  <c r="H26" i="8"/>
  <c r="H26" i="7"/>
  <c r="R41" i="5"/>
  <c r="P41" i="5" s="1"/>
  <c r="O41" i="5"/>
  <c r="K68" i="14"/>
  <c r="Z67" i="11"/>
  <c r="M68" i="14" s="1"/>
  <c r="E91" i="13"/>
  <c r="L89" i="11"/>
  <c r="J72" i="13"/>
  <c r="N72" i="13" s="1"/>
  <c r="E90" i="14"/>
  <c r="N88" i="11"/>
  <c r="AB65" i="11"/>
  <c r="Y93" i="11"/>
  <c r="G91" i="8"/>
  <c r="N91" i="8" s="1"/>
  <c r="AC90" i="5"/>
  <c r="K39" i="7"/>
  <c r="X43" i="5"/>
  <c r="M39" i="7" s="1"/>
  <c r="G54" i="6"/>
  <c r="K54" i="6" s="1"/>
  <c r="AA52" i="5"/>
  <c r="O65" i="11"/>
  <c r="AA39" i="11"/>
  <c r="E91" i="14"/>
  <c r="N89" i="11"/>
  <c r="E10" i="13"/>
  <c r="L22" i="11"/>
  <c r="N66" i="13"/>
  <c r="K87" i="12"/>
  <c r="U62" i="5"/>
  <c r="I62" i="5"/>
  <c r="E43" i="13"/>
  <c r="L46" i="11"/>
  <c r="P44" i="11"/>
  <c r="K39" i="8"/>
  <c r="Z43" i="5"/>
  <c r="M39" i="8" s="1"/>
  <c r="E54" i="7"/>
  <c r="L52" i="5"/>
  <c r="J41" i="12"/>
  <c r="AA44" i="11"/>
  <c r="G34" i="13"/>
  <c r="AB39" i="11"/>
  <c r="K68" i="8"/>
  <c r="Z66" i="5"/>
  <c r="M68" i="8" s="1"/>
  <c r="G16" i="8"/>
  <c r="AC26" i="5"/>
  <c r="K129" i="7"/>
  <c r="X118" i="5"/>
  <c r="M129" i="7" s="1"/>
  <c r="E97" i="6"/>
  <c r="M95" i="5"/>
  <c r="K95" i="5"/>
  <c r="Q95" i="5"/>
  <c r="J95" i="5"/>
  <c r="G38" i="14"/>
  <c r="N38" i="14" s="1"/>
  <c r="AC41" i="11"/>
  <c r="R24" i="11"/>
  <c r="P24" i="11" s="1"/>
  <c r="O24" i="11"/>
  <c r="H49" i="7"/>
  <c r="H49" i="8"/>
  <c r="E39" i="8"/>
  <c r="N43" i="5"/>
  <c r="E55" i="8"/>
  <c r="N53" i="5"/>
  <c r="J38" i="14"/>
  <c r="J38" i="13"/>
  <c r="G84" i="7"/>
  <c r="N84" i="7" s="1"/>
  <c r="AB78" i="5"/>
  <c r="G14" i="6"/>
  <c r="K14" i="6" s="1"/>
  <c r="AA24" i="5"/>
  <c r="L67" i="8"/>
  <c r="I67" i="8"/>
  <c r="K72" i="8"/>
  <c r="Z70" i="5"/>
  <c r="M72" i="8" s="1"/>
  <c r="O37" i="5"/>
  <c r="R37" i="5"/>
  <c r="P37" i="5" s="1"/>
  <c r="K39" i="14"/>
  <c r="Z42" i="11"/>
  <c r="M39" i="14" s="1"/>
  <c r="G28" i="8"/>
  <c r="AC34" i="5"/>
  <c r="K40" i="7"/>
  <c r="X44" i="5"/>
  <c r="M40" i="7" s="1"/>
  <c r="J38" i="8"/>
  <c r="J38" i="7"/>
  <c r="E85" i="12"/>
  <c r="M86" i="11"/>
  <c r="K86" i="11"/>
  <c r="Q86" i="11"/>
  <c r="J86" i="11"/>
  <c r="E62" i="13"/>
  <c r="L61" i="11"/>
  <c r="Q102" i="11"/>
  <c r="E105" i="12"/>
  <c r="M102" i="11"/>
  <c r="K102" i="11"/>
  <c r="Y102" i="11"/>
  <c r="J102" i="11"/>
  <c r="AA118" i="5"/>
  <c r="H82" i="8"/>
  <c r="H82" i="7"/>
  <c r="G67" i="12"/>
  <c r="E11" i="8"/>
  <c r="N23" i="5"/>
  <c r="E76" i="14"/>
  <c r="N73" i="11"/>
  <c r="G31" i="12"/>
  <c r="J84" i="11"/>
  <c r="L36" i="11"/>
  <c r="AA36" i="11"/>
  <c r="R36" i="11"/>
  <c r="N36" i="11"/>
  <c r="Z36" i="11"/>
  <c r="G103" i="12"/>
  <c r="K103" i="12" s="1"/>
  <c r="AA100" i="11"/>
  <c r="K43" i="14"/>
  <c r="Z46" i="11"/>
  <c r="M43" i="14" s="1"/>
  <c r="N53" i="14"/>
  <c r="K10" i="8"/>
  <c r="Z22" i="5"/>
  <c r="M10" i="8" s="1"/>
  <c r="G107" i="7"/>
  <c r="G44" i="7"/>
  <c r="AB46" i="5"/>
  <c r="J26" i="8"/>
  <c r="J26" i="7"/>
  <c r="G37" i="6"/>
  <c r="K37" i="6" s="1"/>
  <c r="AA41" i="5"/>
  <c r="G71" i="8"/>
  <c r="AC69" i="5"/>
  <c r="M17" i="13"/>
  <c r="M26" i="13" s="1"/>
  <c r="X34" i="11"/>
  <c r="G18" i="14"/>
  <c r="N18" i="14" s="1"/>
  <c r="AC29" i="11"/>
  <c r="AC50" i="5"/>
  <c r="O53" i="5"/>
  <c r="R53" i="5"/>
  <c r="P53" i="5" s="1"/>
  <c r="J71" i="7"/>
  <c r="J71" i="8"/>
  <c r="N52" i="13"/>
  <c r="G46" i="8"/>
  <c r="N46" i="8" s="1"/>
  <c r="AC48" i="5"/>
  <c r="G24" i="13"/>
  <c r="N48" i="13"/>
  <c r="O24" i="5"/>
  <c r="R24" i="5"/>
  <c r="P24" i="5" s="1"/>
  <c r="G140" i="7"/>
  <c r="AB124" i="5"/>
  <c r="L125" i="5"/>
  <c r="N22" i="14"/>
  <c r="AB76" i="11"/>
  <c r="G78" i="13"/>
  <c r="K91" i="13"/>
  <c r="X89" i="11"/>
  <c r="M91" i="13" s="1"/>
  <c r="X95" i="11"/>
  <c r="M99" i="13" s="1"/>
  <c r="I32" i="7"/>
  <c r="L32" i="7"/>
  <c r="R68" i="5"/>
  <c r="P68" i="5" s="1"/>
  <c r="O68" i="5"/>
  <c r="E62" i="14"/>
  <c r="N61" i="11"/>
  <c r="K126" i="6"/>
  <c r="J82" i="8"/>
  <c r="J82" i="7"/>
  <c r="G68" i="6"/>
  <c r="K68" i="6" s="1"/>
  <c r="AA66" i="5"/>
  <c r="J22" i="14"/>
  <c r="J22" i="13"/>
  <c r="N22" i="13" s="1"/>
  <c r="E67" i="13"/>
  <c r="L66" i="11"/>
  <c r="G28" i="7"/>
  <c r="N28" i="7" s="1"/>
  <c r="AB34" i="5"/>
  <c r="R23" i="5"/>
  <c r="P23" i="5" s="1"/>
  <c r="O23" i="5"/>
  <c r="O73" i="11"/>
  <c r="R73" i="11"/>
  <c r="P73" i="11" s="1"/>
  <c r="J54" i="14"/>
  <c r="J54" i="13"/>
  <c r="R100" i="11"/>
  <c r="P100" i="11" s="1"/>
  <c r="O100" i="11"/>
  <c r="AB80" i="5"/>
  <c r="G86" i="7"/>
  <c r="N86" i="7" s="1"/>
  <c r="G10" i="6"/>
  <c r="K10" i="6" s="1"/>
  <c r="AA22" i="5"/>
  <c r="N16" i="14"/>
  <c r="AC82" i="11"/>
  <c r="AB82" i="11"/>
  <c r="G18" i="8"/>
  <c r="AC28" i="5"/>
  <c r="E37" i="7"/>
  <c r="L41" i="5"/>
  <c r="H107" i="7"/>
  <c r="H107" i="8"/>
  <c r="P100" i="5"/>
  <c r="AB100" i="5" s="1"/>
  <c r="G9" i="12"/>
  <c r="AA21" i="11"/>
  <c r="J34" i="11"/>
  <c r="O89" i="11"/>
  <c r="R89" i="11"/>
  <c r="P89" i="11" s="1"/>
  <c r="G41" i="13"/>
  <c r="O22" i="11"/>
  <c r="R22" i="11"/>
  <c r="P22" i="11" s="1"/>
  <c r="AA88" i="11"/>
  <c r="U64" i="5"/>
  <c r="I64" i="5"/>
  <c r="G43" i="12"/>
  <c r="K43" i="12" s="1"/>
  <c r="AA46" i="11"/>
  <c r="H41" i="14"/>
  <c r="H41" i="13"/>
  <c r="R52" i="5"/>
  <c r="P52" i="5" s="1"/>
  <c r="O52" i="5"/>
  <c r="K41" i="13"/>
  <c r="X44" i="11"/>
  <c r="M41" i="13" s="1"/>
  <c r="G34" i="14"/>
  <c r="AC39" i="11"/>
  <c r="K69" i="7"/>
  <c r="X67" i="5"/>
  <c r="M69" i="7" s="1"/>
  <c r="G81" i="14"/>
  <c r="N81" i="14" s="1"/>
  <c r="AC83" i="11"/>
  <c r="H13" i="14"/>
  <c r="H13" i="13"/>
  <c r="K34" i="7"/>
  <c r="X38" i="5"/>
  <c r="M34" i="7" s="1"/>
  <c r="M32" i="7"/>
  <c r="L68" i="7"/>
  <c r="I68" i="7"/>
  <c r="G113" i="14"/>
  <c r="N113" i="14" s="1"/>
  <c r="AC105" i="11"/>
  <c r="K11" i="8"/>
  <c r="Z23" i="5"/>
  <c r="M11" i="8" s="1"/>
  <c r="G38" i="6"/>
  <c r="K38" i="6" s="1"/>
  <c r="AA42" i="5"/>
  <c r="N13" i="13"/>
  <c r="K43" i="13"/>
  <c r="X46" i="11"/>
  <c r="M43" i="13" s="1"/>
  <c r="G129" i="8"/>
  <c r="AC118" i="5"/>
  <c r="E10" i="7"/>
  <c r="L22" i="5"/>
  <c r="H62" i="12"/>
  <c r="S61" i="11"/>
  <c r="T61" i="11" s="1"/>
  <c r="Y61" i="11"/>
  <c r="V61" i="11"/>
  <c r="J62" i="12" s="1"/>
  <c r="W61" i="11"/>
  <c r="G18" i="7"/>
  <c r="AB28" i="5"/>
  <c r="E37" i="8"/>
  <c r="N41" i="5"/>
  <c r="E68" i="7"/>
  <c r="L66" i="5"/>
  <c r="E9" i="13"/>
  <c r="L21" i="11"/>
  <c r="E40" i="13"/>
  <c r="L43" i="11"/>
  <c r="E61" i="13"/>
  <c r="L60" i="11"/>
  <c r="K10" i="14"/>
  <c r="Z22" i="11"/>
  <c r="M10" i="14" s="1"/>
  <c r="H105" i="13"/>
  <c r="H105" i="14"/>
  <c r="K63" i="13"/>
  <c r="X62" i="11"/>
  <c r="M63" i="13" s="1"/>
  <c r="J44" i="7"/>
  <c r="J44" i="8"/>
  <c r="U57" i="5"/>
  <c r="I57" i="5"/>
  <c r="AA68" i="11"/>
  <c r="E43" i="14"/>
  <c r="N46" i="11"/>
  <c r="G17" i="14"/>
  <c r="N17" i="14" s="1"/>
  <c r="AC28" i="11"/>
  <c r="K54" i="8"/>
  <c r="Z52" i="5"/>
  <c r="M54" i="8" s="1"/>
  <c r="E54" i="8"/>
  <c r="N52" i="5"/>
  <c r="K41" i="14"/>
  <c r="Z44" i="11"/>
  <c r="M41" i="14" s="1"/>
  <c r="J34" i="13"/>
  <c r="J34" i="14"/>
  <c r="E34" i="7"/>
  <c r="L38" i="5"/>
  <c r="N50" i="8"/>
  <c r="G51" i="8"/>
  <c r="N51" i="8" s="1"/>
  <c r="AC51" i="5"/>
  <c r="G105" i="7"/>
  <c r="N105" i="7" s="1"/>
  <c r="AB98" i="5"/>
  <c r="H67" i="12"/>
  <c r="S66" i="11"/>
  <c r="T66" i="11" s="1"/>
  <c r="Y66" i="11"/>
  <c r="W66" i="11"/>
  <c r="V66" i="11"/>
  <c r="J67" i="12" s="1"/>
  <c r="H50" i="8"/>
  <c r="H50" i="7"/>
  <c r="G39" i="12"/>
  <c r="K39" i="12" s="1"/>
  <c r="AA42" i="11"/>
  <c r="G25" i="8"/>
  <c r="AC31" i="5"/>
  <c r="E76" i="13"/>
  <c r="L73" i="11"/>
  <c r="J18" i="12"/>
  <c r="K18" i="12" s="1"/>
  <c r="AA29" i="11"/>
  <c r="AB23" i="11"/>
  <c r="G81" i="7"/>
  <c r="N81" i="7" s="1"/>
  <c r="AB75" i="5"/>
  <c r="G18" i="6"/>
  <c r="K18" i="6" s="1"/>
  <c r="AA28" i="5"/>
  <c r="O66" i="5"/>
  <c r="R66" i="5"/>
  <c r="P66" i="5" s="1"/>
  <c r="G60" i="12"/>
  <c r="K60" i="12" s="1"/>
  <c r="AA59" i="11"/>
  <c r="E9" i="14"/>
  <c r="N21" i="11"/>
  <c r="R43" i="11"/>
  <c r="P43" i="11" s="1"/>
  <c r="O43" i="11"/>
  <c r="E61" i="14"/>
  <c r="N60" i="11"/>
  <c r="G10" i="12"/>
  <c r="K10" i="12" s="1"/>
  <c r="AA22" i="11"/>
  <c r="J105" i="14"/>
  <c r="J105" i="13"/>
  <c r="K63" i="14"/>
  <c r="Z62" i="11"/>
  <c r="M63" i="14" s="1"/>
  <c r="H44" i="7"/>
  <c r="H44" i="8"/>
  <c r="I59" i="5"/>
  <c r="U59" i="5"/>
  <c r="O77" i="11"/>
  <c r="R77" i="11"/>
  <c r="P77" i="11" s="1"/>
  <c r="AC77" i="11" s="1"/>
  <c r="K69" i="12"/>
  <c r="R46" i="11"/>
  <c r="P46" i="11" s="1"/>
  <c r="O46" i="11"/>
  <c r="G112" i="14"/>
  <c r="N112" i="14" s="1"/>
  <c r="AC104" i="11"/>
  <c r="H134" i="8"/>
  <c r="H134" i="7"/>
  <c r="K34" i="12"/>
  <c r="K32" i="8"/>
  <c r="Z36" i="5"/>
  <c r="M32" i="8" s="1"/>
  <c r="E34" i="8"/>
  <c r="N38" i="5"/>
  <c r="K69" i="8"/>
  <c r="Z67" i="5"/>
  <c r="M69" i="8" s="1"/>
  <c r="G40" i="13" l="1"/>
  <c r="AB43" i="11"/>
  <c r="H11" i="7"/>
  <c r="H11" i="8"/>
  <c r="G62" i="13"/>
  <c r="E64" i="6"/>
  <c r="K62" i="5"/>
  <c r="Q62" i="5"/>
  <c r="M62" i="5"/>
  <c r="J62" i="5"/>
  <c r="N49" i="8"/>
  <c r="G9" i="14"/>
  <c r="N34" i="11"/>
  <c r="K67" i="14"/>
  <c r="Z66" i="11"/>
  <c r="M67" i="14" s="1"/>
  <c r="G76" i="13"/>
  <c r="AB73" i="11"/>
  <c r="G9" i="13"/>
  <c r="L34" i="11"/>
  <c r="J55" i="7"/>
  <c r="J55" i="8"/>
  <c r="M31" i="14"/>
  <c r="M83" i="14" s="1"/>
  <c r="AA66" i="11"/>
  <c r="G85" i="12"/>
  <c r="J108" i="11"/>
  <c r="AA108" i="11" s="1"/>
  <c r="AA86" i="11"/>
  <c r="O95" i="5"/>
  <c r="R95" i="5"/>
  <c r="P95" i="5" s="1"/>
  <c r="J37" i="8"/>
  <c r="J37" i="7"/>
  <c r="G97" i="12"/>
  <c r="K97" i="12" s="1"/>
  <c r="AA96" i="11"/>
  <c r="J39" i="7"/>
  <c r="J39" i="8"/>
  <c r="K65" i="14"/>
  <c r="Z64" i="11"/>
  <c r="M65" i="14" s="1"/>
  <c r="N26" i="8"/>
  <c r="N84" i="8"/>
  <c r="N17" i="13"/>
  <c r="G69" i="7"/>
  <c r="AB67" i="5"/>
  <c r="J104" i="14"/>
  <c r="J104" i="13"/>
  <c r="W56" i="5"/>
  <c r="Y56" i="5"/>
  <c r="V56" i="5"/>
  <c r="J58" i="6" s="1"/>
  <c r="S56" i="5"/>
  <c r="T56" i="5" s="1"/>
  <c r="H58" i="6"/>
  <c r="R101" i="11"/>
  <c r="P101" i="11" s="1"/>
  <c r="O101" i="11"/>
  <c r="G92" i="14"/>
  <c r="AC90" i="11"/>
  <c r="N134" i="7"/>
  <c r="N54" i="14"/>
  <c r="N38" i="13"/>
  <c r="G95" i="12"/>
  <c r="K95" i="12" s="1"/>
  <c r="AA94" i="11"/>
  <c r="H67" i="8"/>
  <c r="H67" i="7"/>
  <c r="Q63" i="5"/>
  <c r="M63" i="5"/>
  <c r="K63" i="5"/>
  <c r="E65" i="6"/>
  <c r="J63" i="5"/>
  <c r="H63" i="14"/>
  <c r="H63" i="13"/>
  <c r="G73" i="7"/>
  <c r="N73" i="7" s="1"/>
  <c r="AB71" i="5"/>
  <c r="R29" i="5"/>
  <c r="P21" i="5"/>
  <c r="E60" i="6"/>
  <c r="J58" i="5"/>
  <c r="Q58" i="5"/>
  <c r="M58" i="5"/>
  <c r="K58" i="5"/>
  <c r="J18" i="8"/>
  <c r="J18" i="7"/>
  <c r="N105" i="13"/>
  <c r="G40" i="8"/>
  <c r="N40" i="8" s="1"/>
  <c r="AC44" i="5"/>
  <c r="G40" i="14"/>
  <c r="AC43" i="11"/>
  <c r="H10" i="14"/>
  <c r="H10" i="13"/>
  <c r="G43" i="14"/>
  <c r="AC46" i="11"/>
  <c r="K62" i="13"/>
  <c r="X61" i="11"/>
  <c r="M62" i="13" s="1"/>
  <c r="O102" i="11"/>
  <c r="R102" i="11"/>
  <c r="P102" i="11" s="1"/>
  <c r="G54" i="8"/>
  <c r="AC52" i="5"/>
  <c r="AB77" i="11"/>
  <c r="G26" i="12"/>
  <c r="K9" i="12"/>
  <c r="K26" i="12" s="1"/>
  <c r="H70" i="8"/>
  <c r="H70" i="7"/>
  <c r="G142" i="7"/>
  <c r="H55" i="8"/>
  <c r="H55" i="7"/>
  <c r="G31" i="14"/>
  <c r="AC36" i="11"/>
  <c r="O86" i="11"/>
  <c r="R86" i="11"/>
  <c r="J33" i="8"/>
  <c r="J33" i="7"/>
  <c r="G55" i="8"/>
  <c r="N55" i="8" s="1"/>
  <c r="AC53" i="5"/>
  <c r="E100" i="7"/>
  <c r="L95" i="5"/>
  <c r="K41" i="12"/>
  <c r="E100" i="13"/>
  <c r="L96" i="11"/>
  <c r="J78" i="14"/>
  <c r="N78" i="14" s="1"/>
  <c r="J78" i="13"/>
  <c r="H39" i="7"/>
  <c r="H39" i="8"/>
  <c r="G74" i="7"/>
  <c r="AB72" i="5"/>
  <c r="G106" i="14"/>
  <c r="AC100" i="11"/>
  <c r="AC76" i="11"/>
  <c r="AC72" i="5"/>
  <c r="G74" i="8"/>
  <c r="G60" i="14"/>
  <c r="AC59" i="11"/>
  <c r="N116" i="8"/>
  <c r="G60" i="13"/>
  <c r="N60" i="13" s="1"/>
  <c r="AB59" i="11"/>
  <c r="J23" i="14"/>
  <c r="J23" i="13"/>
  <c r="K107" i="14"/>
  <c r="Z101" i="11"/>
  <c r="M107" i="14" s="1"/>
  <c r="G142" i="8"/>
  <c r="J123" i="5"/>
  <c r="G95" i="6"/>
  <c r="AA93" i="5"/>
  <c r="J95" i="6"/>
  <c r="J133" i="6" s="1"/>
  <c r="V123" i="5"/>
  <c r="E98" i="13"/>
  <c r="L94" i="11"/>
  <c r="G59" i="12"/>
  <c r="K59" i="12" s="1"/>
  <c r="AA58" i="11"/>
  <c r="AA29" i="5"/>
  <c r="O95" i="11"/>
  <c r="R95" i="11"/>
  <c r="P95" i="11" s="1"/>
  <c r="G67" i="8"/>
  <c r="AC65" i="5"/>
  <c r="H9" i="8"/>
  <c r="H9" i="7"/>
  <c r="H60" i="6"/>
  <c r="Y58" i="5"/>
  <c r="W58" i="5"/>
  <c r="V58" i="5"/>
  <c r="J60" i="6" s="1"/>
  <c r="S58" i="5"/>
  <c r="T58" i="5" s="1"/>
  <c r="G63" i="14"/>
  <c r="AC62" i="11"/>
  <c r="H69" i="14"/>
  <c r="H69" i="13"/>
  <c r="G76" i="14"/>
  <c r="AC73" i="11"/>
  <c r="J91" i="13"/>
  <c r="J91" i="14"/>
  <c r="J26" i="12"/>
  <c r="N88" i="7"/>
  <c r="H73" i="8"/>
  <c r="H73" i="7"/>
  <c r="G9" i="7"/>
  <c r="AB21" i="5"/>
  <c r="L29" i="5"/>
  <c r="E107" i="14"/>
  <c r="N101" i="11"/>
  <c r="N105" i="14"/>
  <c r="L98" i="7"/>
  <c r="K98" i="7"/>
  <c r="X93" i="5"/>
  <c r="E59" i="13"/>
  <c r="L58" i="11"/>
  <c r="K9" i="6"/>
  <c r="K20" i="6" s="1"/>
  <c r="G20" i="6"/>
  <c r="G14" i="14"/>
  <c r="AC24" i="11"/>
  <c r="G55" i="7"/>
  <c r="N55" i="7" s="1"/>
  <c r="AB53" i="5"/>
  <c r="G68" i="13"/>
  <c r="N68" i="13" s="1"/>
  <c r="AB67" i="11"/>
  <c r="J69" i="14"/>
  <c r="N69" i="14" s="1"/>
  <c r="J69" i="13"/>
  <c r="AC68" i="11"/>
  <c r="G32" i="14"/>
  <c r="N32" i="14" s="1"/>
  <c r="AC37" i="11"/>
  <c r="H9" i="14"/>
  <c r="H9" i="13"/>
  <c r="E108" i="13"/>
  <c r="L102" i="11"/>
  <c r="J41" i="14"/>
  <c r="J41" i="13"/>
  <c r="H96" i="14"/>
  <c r="H96" i="13"/>
  <c r="G34" i="8"/>
  <c r="AC38" i="5"/>
  <c r="AC44" i="11"/>
  <c r="E56" i="6"/>
  <c r="Q54" i="5"/>
  <c r="M54" i="5"/>
  <c r="K54" i="5"/>
  <c r="J54" i="5"/>
  <c r="J90" i="14"/>
  <c r="J90" i="13"/>
  <c r="J39" i="14"/>
  <c r="J39" i="13"/>
  <c r="J73" i="8"/>
  <c r="J73" i="7"/>
  <c r="G104" i="12"/>
  <c r="K104" i="12" s="1"/>
  <c r="AA101" i="11"/>
  <c r="G92" i="13"/>
  <c r="AB90" i="11"/>
  <c r="E98" i="7"/>
  <c r="L93" i="5"/>
  <c r="K98" i="8"/>
  <c r="Z93" i="5"/>
  <c r="G70" i="8"/>
  <c r="AC68" i="5"/>
  <c r="E59" i="14"/>
  <c r="N58" i="11"/>
  <c r="G68" i="14"/>
  <c r="N68" i="14" s="1"/>
  <c r="AC67" i="11"/>
  <c r="G96" i="12"/>
  <c r="K96" i="12" s="1"/>
  <c r="AA95" i="11"/>
  <c r="P21" i="11"/>
  <c r="R34" i="11"/>
  <c r="N114" i="14"/>
  <c r="G61" i="14"/>
  <c r="AC60" i="11"/>
  <c r="G34" i="7"/>
  <c r="AB38" i="5"/>
  <c r="N18" i="7"/>
  <c r="H54" i="7"/>
  <c r="H54" i="8"/>
  <c r="H40" i="14"/>
  <c r="H40" i="13"/>
  <c r="H52" i="13"/>
  <c r="H76" i="13"/>
  <c r="H76" i="14"/>
  <c r="G10" i="7"/>
  <c r="AB22" i="5"/>
  <c r="K64" i="5"/>
  <c r="M64" i="5"/>
  <c r="Q64" i="5"/>
  <c r="E66" i="6"/>
  <c r="J64" i="5"/>
  <c r="G67" i="13"/>
  <c r="N44" i="7"/>
  <c r="E88" i="13"/>
  <c r="L86" i="11"/>
  <c r="H33" i="8"/>
  <c r="H33" i="7"/>
  <c r="E100" i="8"/>
  <c r="N95" i="5"/>
  <c r="G10" i="13"/>
  <c r="N10" i="13" s="1"/>
  <c r="AB22" i="11"/>
  <c r="K97" i="14"/>
  <c r="Z93" i="11"/>
  <c r="M97" i="14" s="1"/>
  <c r="E100" i="14"/>
  <c r="N96" i="11"/>
  <c r="G33" i="7"/>
  <c r="N33" i="7" s="1"/>
  <c r="AB37" i="5"/>
  <c r="W64" i="5"/>
  <c r="H66" i="6"/>
  <c r="Y64" i="5"/>
  <c r="S64" i="5"/>
  <c r="T64" i="5" s="1"/>
  <c r="V64" i="5"/>
  <c r="J66" i="6" s="1"/>
  <c r="H14" i="8"/>
  <c r="H14" i="7"/>
  <c r="H21" i="14"/>
  <c r="H21" i="13"/>
  <c r="J35" i="13"/>
  <c r="J35" i="14"/>
  <c r="H43" i="14"/>
  <c r="H43" i="13"/>
  <c r="H68" i="7"/>
  <c r="H68" i="8"/>
  <c r="G37" i="8"/>
  <c r="N37" i="8" s="1"/>
  <c r="AC41" i="5"/>
  <c r="N34" i="14"/>
  <c r="H106" i="14"/>
  <c r="H106" i="13"/>
  <c r="N107" i="7"/>
  <c r="G31" i="13"/>
  <c r="AB36" i="11"/>
  <c r="L84" i="11"/>
  <c r="AA102" i="11"/>
  <c r="G105" i="12"/>
  <c r="K105" i="12" s="1"/>
  <c r="G91" i="14"/>
  <c r="N91" i="14" s="1"/>
  <c r="AC89" i="11"/>
  <c r="G90" i="14"/>
  <c r="N90" i="14" s="1"/>
  <c r="AC88" i="11"/>
  <c r="J21" i="14"/>
  <c r="J21" i="13"/>
  <c r="O96" i="11"/>
  <c r="R96" i="11"/>
  <c r="P96" i="11" s="1"/>
  <c r="L100" i="7"/>
  <c r="K100" i="7"/>
  <c r="X95" i="5"/>
  <c r="M100" i="7" s="1"/>
  <c r="G65" i="12"/>
  <c r="K65" i="12" s="1"/>
  <c r="AA64" i="11"/>
  <c r="M88" i="13"/>
  <c r="M117" i="13" s="1"/>
  <c r="X108" i="11"/>
  <c r="N41" i="14"/>
  <c r="H56" i="6"/>
  <c r="S54" i="5"/>
  <c r="T54" i="5" s="1"/>
  <c r="Y54" i="5"/>
  <c r="W54" i="5"/>
  <c r="V54" i="5"/>
  <c r="G67" i="7"/>
  <c r="N67" i="7" s="1"/>
  <c r="AB65" i="5"/>
  <c r="H90" i="14"/>
  <c r="H90" i="13"/>
  <c r="H39" i="14"/>
  <c r="H39" i="13"/>
  <c r="H29" i="8"/>
  <c r="H29" i="7"/>
  <c r="G40" i="7"/>
  <c r="AB44" i="5"/>
  <c r="G39" i="7"/>
  <c r="AB43" i="5"/>
  <c r="N16" i="7"/>
  <c r="J68" i="14"/>
  <c r="J68" i="13"/>
  <c r="AB68" i="11"/>
  <c r="G96" i="6"/>
  <c r="K96" i="6" s="1"/>
  <c r="AA94" i="5"/>
  <c r="E107" i="13"/>
  <c r="L101" i="11"/>
  <c r="N49" i="7"/>
  <c r="J17" i="7"/>
  <c r="N17" i="7" s="1"/>
  <c r="J17" i="8"/>
  <c r="N17" i="8" s="1"/>
  <c r="E98" i="8"/>
  <c r="N93" i="5"/>
  <c r="T123" i="5"/>
  <c r="O58" i="11"/>
  <c r="R58" i="11"/>
  <c r="P58" i="11" s="1"/>
  <c r="E99" i="13"/>
  <c r="L95" i="11"/>
  <c r="G104" i="14"/>
  <c r="N104" i="14" s="1"/>
  <c r="AC98" i="11"/>
  <c r="AA87" i="11"/>
  <c r="G86" i="12"/>
  <c r="K86" i="12" s="1"/>
  <c r="J32" i="14"/>
  <c r="J32" i="13"/>
  <c r="AC65" i="11"/>
  <c r="P66" i="11"/>
  <c r="K31" i="12"/>
  <c r="G80" i="12"/>
  <c r="H61" i="6"/>
  <c r="W59" i="5"/>
  <c r="V59" i="5"/>
  <c r="J61" i="6" s="1"/>
  <c r="S59" i="5"/>
  <c r="T59" i="5" s="1"/>
  <c r="Y59" i="5"/>
  <c r="G11" i="8"/>
  <c r="N11" i="8" s="1"/>
  <c r="AC23" i="5"/>
  <c r="G68" i="7"/>
  <c r="AB66" i="5"/>
  <c r="J107" i="7"/>
  <c r="J107" i="8"/>
  <c r="J70" i="8"/>
  <c r="J70" i="7"/>
  <c r="J14" i="8"/>
  <c r="J14" i="7"/>
  <c r="R84" i="11"/>
  <c r="P36" i="11"/>
  <c r="G54" i="7"/>
  <c r="N54" i="7" s="1"/>
  <c r="AB52" i="5"/>
  <c r="J24" i="14"/>
  <c r="J24" i="13"/>
  <c r="N24" i="13" s="1"/>
  <c r="J68" i="8"/>
  <c r="J68" i="7"/>
  <c r="E88" i="14"/>
  <c r="N86" i="11"/>
  <c r="G39" i="8"/>
  <c r="N39" i="8" s="1"/>
  <c r="AC43" i="5"/>
  <c r="J43" i="13"/>
  <c r="J43" i="14"/>
  <c r="J10" i="14"/>
  <c r="J10" i="13"/>
  <c r="G37" i="7"/>
  <c r="N37" i="7" s="1"/>
  <c r="AB41" i="5"/>
  <c r="J106" i="13"/>
  <c r="J106" i="14"/>
  <c r="AB33" i="11"/>
  <c r="AA84" i="11"/>
  <c r="K108" i="14"/>
  <c r="Z102" i="11"/>
  <c r="M108" i="14" s="1"/>
  <c r="G35" i="13"/>
  <c r="N35" i="13" s="1"/>
  <c r="AB40" i="11"/>
  <c r="AA61" i="11"/>
  <c r="Z95" i="5"/>
  <c r="M100" i="8" s="1"/>
  <c r="K100" i="8"/>
  <c r="E65" i="13"/>
  <c r="L64" i="11"/>
  <c r="H69" i="8"/>
  <c r="H69" i="7"/>
  <c r="G21" i="14"/>
  <c r="N21" i="14" s="1"/>
  <c r="AC30" i="11"/>
  <c r="G33" i="8"/>
  <c r="AC37" i="5"/>
  <c r="G29" i="7"/>
  <c r="N29" i="7" s="1"/>
  <c r="AB35" i="5"/>
  <c r="H74" i="8"/>
  <c r="H74" i="7"/>
  <c r="G106" i="13"/>
  <c r="N106" i="13" s="1"/>
  <c r="AB100" i="11"/>
  <c r="J29" i="8"/>
  <c r="J29" i="7"/>
  <c r="G72" i="7"/>
  <c r="N72" i="7" s="1"/>
  <c r="AB70" i="5"/>
  <c r="H68" i="14"/>
  <c r="H68" i="13"/>
  <c r="N69" i="13"/>
  <c r="G73" i="8"/>
  <c r="N73" i="8" s="1"/>
  <c r="AC71" i="5"/>
  <c r="R93" i="5"/>
  <c r="O93" i="5"/>
  <c r="J72" i="8"/>
  <c r="J72" i="7"/>
  <c r="G94" i="12"/>
  <c r="K94" i="12" s="1"/>
  <c r="AA93" i="11"/>
  <c r="AC32" i="11"/>
  <c r="E99" i="14"/>
  <c r="N95" i="11"/>
  <c r="K59" i="13"/>
  <c r="X58" i="11"/>
  <c r="M59" i="13" s="1"/>
  <c r="K89" i="14"/>
  <c r="Z87" i="11"/>
  <c r="M89" i="14" s="1"/>
  <c r="G32" i="13"/>
  <c r="N32" i="13" s="1"/>
  <c r="AB37" i="11"/>
  <c r="N66" i="14"/>
  <c r="O66" i="11"/>
  <c r="O64" i="11"/>
  <c r="R64" i="11"/>
  <c r="P64" i="11" s="1"/>
  <c r="J69" i="7"/>
  <c r="J69" i="8"/>
  <c r="T63" i="11"/>
  <c r="P63" i="11" s="1"/>
  <c r="O63" i="11"/>
  <c r="J15" i="8"/>
  <c r="J15" i="7"/>
  <c r="N15" i="7" s="1"/>
  <c r="J74" i="8"/>
  <c r="J74" i="7"/>
  <c r="H72" i="8"/>
  <c r="H72" i="7"/>
  <c r="E97" i="14"/>
  <c r="N93" i="11"/>
  <c r="N54" i="13"/>
  <c r="N23" i="14"/>
  <c r="K59" i="14"/>
  <c r="Z58" i="11"/>
  <c r="M59" i="14" s="1"/>
  <c r="N15" i="14"/>
  <c r="N44" i="8"/>
  <c r="G70" i="7"/>
  <c r="N70" i="7" s="1"/>
  <c r="AB68" i="5"/>
  <c r="G14" i="8"/>
  <c r="N14" i="8" s="1"/>
  <c r="AC24" i="5"/>
  <c r="G14" i="7"/>
  <c r="N14" i="7" s="1"/>
  <c r="AB24" i="5"/>
  <c r="E57" i="6"/>
  <c r="K55" i="5"/>
  <c r="Q55" i="5"/>
  <c r="M55" i="5"/>
  <c r="J55" i="5"/>
  <c r="G63" i="13"/>
  <c r="AB62" i="11"/>
  <c r="L99" i="7"/>
  <c r="K99" i="7"/>
  <c r="X94" i="5"/>
  <c r="M99" i="7" s="1"/>
  <c r="O93" i="11"/>
  <c r="R93" i="11"/>
  <c r="P93" i="11" s="1"/>
  <c r="N107" i="8"/>
  <c r="O87" i="11"/>
  <c r="R87" i="11"/>
  <c r="P87" i="11" s="1"/>
  <c r="M9" i="14"/>
  <c r="M26" i="14" s="1"/>
  <c r="Z34" i="11"/>
  <c r="W55" i="5"/>
  <c r="Y55" i="5"/>
  <c r="H57" i="6"/>
  <c r="S55" i="5"/>
  <c r="T55" i="5" s="1"/>
  <c r="V55" i="5"/>
  <c r="J57" i="6" s="1"/>
  <c r="G35" i="14"/>
  <c r="N35" i="14" s="1"/>
  <c r="AC40" i="11"/>
  <c r="AB44" i="11"/>
  <c r="E108" i="14"/>
  <c r="N102" i="11"/>
  <c r="H14" i="14"/>
  <c r="H14" i="13"/>
  <c r="N16" i="8"/>
  <c r="G43" i="13"/>
  <c r="N43" i="13" s="1"/>
  <c r="AB46" i="11"/>
  <c r="H66" i="14"/>
  <c r="H66" i="13"/>
  <c r="AB89" i="11"/>
  <c r="G91" i="13"/>
  <c r="N91" i="13" s="1"/>
  <c r="J96" i="14"/>
  <c r="J96" i="13"/>
  <c r="G10" i="8"/>
  <c r="AC22" i="5"/>
  <c r="J64" i="12"/>
  <c r="K64" i="12" s="1"/>
  <c r="AA63" i="11"/>
  <c r="J60" i="14"/>
  <c r="J60" i="13"/>
  <c r="J25" i="7"/>
  <c r="J25" i="8"/>
  <c r="AB31" i="5"/>
  <c r="J130" i="8"/>
  <c r="J130" i="7"/>
  <c r="G61" i="13"/>
  <c r="AB60" i="11"/>
  <c r="J54" i="8"/>
  <c r="J54" i="7"/>
  <c r="N41" i="13"/>
  <c r="N18" i="8"/>
  <c r="J76" i="14"/>
  <c r="J76" i="13"/>
  <c r="N78" i="13"/>
  <c r="N71" i="8"/>
  <c r="J14" i="14"/>
  <c r="J14" i="13"/>
  <c r="J16" i="7"/>
  <c r="J16" i="8"/>
  <c r="E65" i="14"/>
  <c r="N64" i="11"/>
  <c r="N48" i="14"/>
  <c r="K64" i="13"/>
  <c r="X63" i="11"/>
  <c r="M64" i="13" s="1"/>
  <c r="K32" i="6"/>
  <c r="H60" i="14"/>
  <c r="H60" i="13"/>
  <c r="H92" i="14"/>
  <c r="H92" i="13"/>
  <c r="G29" i="8"/>
  <c r="AC35" i="5"/>
  <c r="H130" i="8"/>
  <c r="H130" i="7"/>
  <c r="N51" i="7"/>
  <c r="H129" i="8"/>
  <c r="H129" i="7"/>
  <c r="AC100" i="5"/>
  <c r="N134" i="8"/>
  <c r="L94" i="5"/>
  <c r="E99" i="7"/>
  <c r="E89" i="13"/>
  <c r="L87" i="11"/>
  <c r="G130" i="8"/>
  <c r="N130" i="8" s="1"/>
  <c r="AC119" i="5"/>
  <c r="AB98" i="11"/>
  <c r="G104" i="13"/>
  <c r="N104" i="13" s="1"/>
  <c r="H34" i="8"/>
  <c r="H34" i="7"/>
  <c r="M9" i="8"/>
  <c r="M20" i="8" s="1"/>
  <c r="Z29" i="5"/>
  <c r="G10" i="14"/>
  <c r="AC22" i="11"/>
  <c r="G21" i="13"/>
  <c r="N21" i="13" s="1"/>
  <c r="AB30" i="11"/>
  <c r="N71" i="7"/>
  <c r="Y60" i="5"/>
  <c r="H62" i="6"/>
  <c r="S60" i="5"/>
  <c r="T60" i="5" s="1"/>
  <c r="W60" i="5"/>
  <c r="V60" i="5"/>
  <c r="J62" i="6" s="1"/>
  <c r="H18" i="14"/>
  <c r="H18" i="13"/>
  <c r="J92" i="14"/>
  <c r="J92" i="13"/>
  <c r="G14" i="13"/>
  <c r="AB24" i="11"/>
  <c r="AC33" i="11"/>
  <c r="G130" i="7"/>
  <c r="AB119" i="5"/>
  <c r="K98" i="14"/>
  <c r="Z94" i="11"/>
  <c r="M98" i="14" s="1"/>
  <c r="H32" i="8"/>
  <c r="H32" i="7"/>
  <c r="K99" i="8"/>
  <c r="Z94" i="5"/>
  <c r="M99" i="8" s="1"/>
  <c r="E97" i="13"/>
  <c r="L93" i="11"/>
  <c r="N129" i="7"/>
  <c r="R94" i="5"/>
  <c r="P94" i="5" s="1"/>
  <c r="O94" i="5"/>
  <c r="E89" i="14"/>
  <c r="N87" i="11"/>
  <c r="G68" i="8"/>
  <c r="N68" i="8" s="1"/>
  <c r="AC66" i="5"/>
  <c r="AB32" i="11"/>
  <c r="J34" i="8"/>
  <c r="J34" i="7"/>
  <c r="M88" i="14"/>
  <c r="E63" i="6"/>
  <c r="J61" i="5"/>
  <c r="K61" i="5"/>
  <c r="Q61" i="5"/>
  <c r="M61" i="5"/>
  <c r="G69" i="8"/>
  <c r="AC67" i="5"/>
  <c r="G9" i="8"/>
  <c r="AC21" i="5"/>
  <c r="N29" i="5"/>
  <c r="E62" i="6"/>
  <c r="M60" i="5"/>
  <c r="K60" i="5"/>
  <c r="J60" i="5"/>
  <c r="Q60" i="5"/>
  <c r="N24" i="14"/>
  <c r="G39" i="14"/>
  <c r="N39" i="14" s="1"/>
  <c r="AC42" i="11"/>
  <c r="N38" i="8"/>
  <c r="G96" i="14"/>
  <c r="N96" i="14" s="1"/>
  <c r="AC92" i="11"/>
  <c r="N42" i="13"/>
  <c r="E98" i="14"/>
  <c r="N94" i="11"/>
  <c r="J32" i="8"/>
  <c r="J32" i="7"/>
  <c r="H40" i="8"/>
  <c r="H40" i="7"/>
  <c r="G72" i="8"/>
  <c r="N72" i="8" s="1"/>
  <c r="AC70" i="5"/>
  <c r="E99" i="8"/>
  <c r="N94" i="5"/>
  <c r="M34" i="13"/>
  <c r="M83" i="13" s="1"/>
  <c r="M124" i="13" s="1"/>
  <c r="M133" i="13" s="1"/>
  <c r="N23" i="13"/>
  <c r="P61" i="11"/>
  <c r="AB61" i="11" s="1"/>
  <c r="J61" i="14"/>
  <c r="J61" i="13"/>
  <c r="G67" i="14"/>
  <c r="AC66" i="11"/>
  <c r="J10" i="8"/>
  <c r="J10" i="7"/>
  <c r="K64" i="14"/>
  <c r="Z63" i="11"/>
  <c r="M64" i="14" s="1"/>
  <c r="G96" i="13"/>
  <c r="AB92" i="11"/>
  <c r="G90" i="13"/>
  <c r="N90" i="13" s="1"/>
  <c r="AB88" i="11"/>
  <c r="K59" i="5"/>
  <c r="E61" i="6"/>
  <c r="Q59" i="5"/>
  <c r="J59" i="5"/>
  <c r="M59" i="5"/>
  <c r="J40" i="13"/>
  <c r="J40" i="14"/>
  <c r="K67" i="13"/>
  <c r="X66" i="11"/>
  <c r="M67" i="13" s="1"/>
  <c r="M57" i="5"/>
  <c r="K57" i="5"/>
  <c r="E59" i="6"/>
  <c r="J57" i="5"/>
  <c r="Q57" i="5"/>
  <c r="H91" i="14"/>
  <c r="H91" i="13"/>
  <c r="N28" i="8"/>
  <c r="H10" i="8"/>
  <c r="H10" i="7"/>
  <c r="H63" i="6"/>
  <c r="V61" i="5"/>
  <c r="J63" i="6" s="1"/>
  <c r="W61" i="5"/>
  <c r="S61" i="5"/>
  <c r="T61" i="5" s="1"/>
  <c r="Y61" i="5"/>
  <c r="S57" i="5"/>
  <c r="T57" i="5" s="1"/>
  <c r="H59" i="6"/>
  <c r="Y57" i="5"/>
  <c r="V57" i="5"/>
  <c r="J59" i="6" s="1"/>
  <c r="W57" i="5"/>
  <c r="K62" i="14"/>
  <c r="Z61" i="11"/>
  <c r="M62" i="14" s="1"/>
  <c r="J113" i="11"/>
  <c r="AA34" i="11"/>
  <c r="J11" i="8"/>
  <c r="J11" i="7"/>
  <c r="G62" i="14"/>
  <c r="AC61" i="11"/>
  <c r="K67" i="12"/>
  <c r="G97" i="6"/>
  <c r="K97" i="6" s="1"/>
  <c r="AA95" i="5"/>
  <c r="W62" i="5"/>
  <c r="S62" i="5"/>
  <c r="T62" i="5" s="1"/>
  <c r="H64" i="6"/>
  <c r="Y62" i="5"/>
  <c r="V62" i="5"/>
  <c r="J64" i="6" s="1"/>
  <c r="H37" i="8"/>
  <c r="H37" i="7"/>
  <c r="V84" i="11"/>
  <c r="V113" i="11" s="1"/>
  <c r="K100" i="14"/>
  <c r="Z96" i="11"/>
  <c r="M100" i="14" s="1"/>
  <c r="N42" i="14"/>
  <c r="K65" i="13"/>
  <c r="X64" i="11"/>
  <c r="M65" i="13" s="1"/>
  <c r="G11" i="7"/>
  <c r="AB23" i="5"/>
  <c r="G39" i="13"/>
  <c r="N39" i="13" s="1"/>
  <c r="AB42" i="11"/>
  <c r="N26" i="7"/>
  <c r="N15" i="8"/>
  <c r="H104" i="14"/>
  <c r="H104" i="13"/>
  <c r="K56" i="5"/>
  <c r="E58" i="6"/>
  <c r="M56" i="5"/>
  <c r="J56" i="5"/>
  <c r="Q56" i="5"/>
  <c r="J129" i="8"/>
  <c r="N129" i="8" s="1"/>
  <c r="J129" i="7"/>
  <c r="N38" i="7"/>
  <c r="J140" i="8"/>
  <c r="J142" i="8" s="1"/>
  <c r="J140" i="7"/>
  <c r="J142" i="7" s="1"/>
  <c r="P125" i="5"/>
  <c r="AC125" i="5" s="1"/>
  <c r="R94" i="11"/>
  <c r="P94" i="11" s="1"/>
  <c r="O94" i="11"/>
  <c r="J67" i="8"/>
  <c r="J67" i="7"/>
  <c r="H65" i="6"/>
  <c r="Y63" i="5"/>
  <c r="W63" i="5"/>
  <c r="S63" i="5"/>
  <c r="T63" i="5" s="1"/>
  <c r="V63" i="5"/>
  <c r="J65" i="6" s="1"/>
  <c r="J63" i="14"/>
  <c r="J63" i="13"/>
  <c r="J40" i="8"/>
  <c r="J40" i="7"/>
  <c r="G32" i="8"/>
  <c r="N32" i="8" s="1"/>
  <c r="AC36" i="5"/>
  <c r="N105" i="8"/>
  <c r="O61" i="11"/>
  <c r="G32" i="7"/>
  <c r="N32" i="7" s="1"/>
  <c r="AB36" i="5"/>
  <c r="H61" i="14"/>
  <c r="H61" i="13"/>
  <c r="N82" i="8"/>
  <c r="J31" i="14" l="1"/>
  <c r="J31" i="13"/>
  <c r="P84" i="11"/>
  <c r="K61" i="8"/>
  <c r="Z59" i="5"/>
  <c r="M61" i="8" s="1"/>
  <c r="N40" i="7"/>
  <c r="T91" i="5"/>
  <c r="T128" i="5" s="1"/>
  <c r="E60" i="7"/>
  <c r="L58" i="5"/>
  <c r="AB34" i="11"/>
  <c r="E64" i="8"/>
  <c r="N62" i="5"/>
  <c r="J98" i="14"/>
  <c r="J98" i="13"/>
  <c r="R59" i="5"/>
  <c r="P59" i="5" s="1"/>
  <c r="O59" i="5"/>
  <c r="E63" i="8"/>
  <c r="N61" i="5"/>
  <c r="G89" i="14"/>
  <c r="AC87" i="11"/>
  <c r="N25" i="7"/>
  <c r="G107" i="13"/>
  <c r="AB101" i="11"/>
  <c r="G98" i="7"/>
  <c r="L123" i="5"/>
  <c r="N58" i="5"/>
  <c r="E60" i="8"/>
  <c r="E65" i="7"/>
  <c r="L63" i="5"/>
  <c r="N92" i="14"/>
  <c r="N69" i="7"/>
  <c r="J100" i="7"/>
  <c r="J100" i="8"/>
  <c r="G26" i="13"/>
  <c r="O62" i="5"/>
  <c r="R62" i="5"/>
  <c r="P62" i="5" s="1"/>
  <c r="K59" i="7"/>
  <c r="X57" i="5"/>
  <c r="M59" i="7" s="1"/>
  <c r="G100" i="14"/>
  <c r="AC96" i="11"/>
  <c r="R57" i="5"/>
  <c r="P57" i="5" s="1"/>
  <c r="O57" i="5"/>
  <c r="O61" i="5"/>
  <c r="R61" i="5"/>
  <c r="P61" i="5" s="1"/>
  <c r="AB66" i="11"/>
  <c r="J9" i="13"/>
  <c r="J26" i="13" s="1"/>
  <c r="J9" i="14"/>
  <c r="J26" i="14" s="1"/>
  <c r="P34" i="11"/>
  <c r="G107" i="14"/>
  <c r="AC101" i="11"/>
  <c r="N76" i="14"/>
  <c r="R108" i="11"/>
  <c r="R113" i="11" s="1"/>
  <c r="P86" i="11"/>
  <c r="R58" i="5"/>
  <c r="P58" i="5" s="1"/>
  <c r="O58" i="5"/>
  <c r="E65" i="8"/>
  <c r="N63" i="5"/>
  <c r="H107" i="14"/>
  <c r="H107" i="13"/>
  <c r="H100" i="8"/>
  <c r="H100" i="7"/>
  <c r="E64" i="7"/>
  <c r="L62" i="5"/>
  <c r="J114" i="11"/>
  <c r="F21" i="2"/>
  <c r="E57" i="7"/>
  <c r="L55" i="5"/>
  <c r="H98" i="14"/>
  <c r="H98" i="13"/>
  <c r="G61" i="6"/>
  <c r="K61" i="6" s="1"/>
  <c r="AA59" i="5"/>
  <c r="N69" i="8"/>
  <c r="K62" i="7"/>
  <c r="X60" i="5"/>
  <c r="M62" i="7" s="1"/>
  <c r="H99" i="8"/>
  <c r="H99" i="7"/>
  <c r="N130" i="7"/>
  <c r="K62" i="8"/>
  <c r="Z60" i="5"/>
  <c r="M62" i="8" s="1"/>
  <c r="K57" i="8"/>
  <c r="Z55" i="5"/>
  <c r="M57" i="8" s="1"/>
  <c r="H98" i="7"/>
  <c r="H98" i="8"/>
  <c r="AB64" i="11"/>
  <c r="G65" i="13"/>
  <c r="G88" i="14"/>
  <c r="N108" i="11"/>
  <c r="AC86" i="11"/>
  <c r="K61" i="7"/>
  <c r="X59" i="5"/>
  <c r="M61" i="7" s="1"/>
  <c r="G99" i="13"/>
  <c r="N99" i="13" s="1"/>
  <c r="AB95" i="11"/>
  <c r="G56" i="6"/>
  <c r="AA54" i="5"/>
  <c r="U124" i="5" s="1"/>
  <c r="J91" i="5"/>
  <c r="G108" i="13"/>
  <c r="AB102" i="11"/>
  <c r="H88" i="14"/>
  <c r="H88" i="13"/>
  <c r="G60" i="6"/>
  <c r="K60" i="6" s="1"/>
  <c r="AA58" i="5"/>
  <c r="O63" i="5"/>
  <c r="R63" i="5"/>
  <c r="P63" i="5" s="1"/>
  <c r="J107" i="14"/>
  <c r="J107" i="13"/>
  <c r="N76" i="13"/>
  <c r="H89" i="14"/>
  <c r="H89" i="13"/>
  <c r="G98" i="8"/>
  <c r="AC93" i="5"/>
  <c r="N123" i="5"/>
  <c r="N34" i="13"/>
  <c r="K59" i="8"/>
  <c r="Z57" i="5"/>
  <c r="M59" i="8" s="1"/>
  <c r="G59" i="6"/>
  <c r="K59" i="6" s="1"/>
  <c r="AA57" i="5"/>
  <c r="E61" i="7"/>
  <c r="L59" i="5"/>
  <c r="R60" i="5"/>
  <c r="P60" i="5" s="1"/>
  <c r="O60" i="5"/>
  <c r="E63" i="7"/>
  <c r="L61" i="5"/>
  <c r="K63" i="8"/>
  <c r="Z61" i="5"/>
  <c r="M63" i="8" s="1"/>
  <c r="G62" i="6"/>
  <c r="K62" i="6" s="1"/>
  <c r="AA60" i="5"/>
  <c r="AA61" i="5"/>
  <c r="G63" i="6"/>
  <c r="K63" i="6" s="1"/>
  <c r="J99" i="8"/>
  <c r="J99" i="7"/>
  <c r="G65" i="14"/>
  <c r="AC64" i="11"/>
  <c r="K57" i="7"/>
  <c r="X55" i="5"/>
  <c r="M57" i="7" s="1"/>
  <c r="N63" i="13"/>
  <c r="R123" i="5"/>
  <c r="P93" i="5"/>
  <c r="G66" i="6"/>
  <c r="K66" i="6" s="1"/>
  <c r="AA64" i="5"/>
  <c r="N92" i="13"/>
  <c r="E56" i="7"/>
  <c r="L54" i="5"/>
  <c r="N67" i="8"/>
  <c r="G133" i="6"/>
  <c r="K95" i="6"/>
  <c r="K133" i="6" s="1"/>
  <c r="N60" i="14"/>
  <c r="AB96" i="11"/>
  <c r="G100" i="13"/>
  <c r="AB125" i="5"/>
  <c r="AB84" i="11"/>
  <c r="E58" i="7"/>
  <c r="L56" i="5"/>
  <c r="V114" i="11"/>
  <c r="U117" i="11"/>
  <c r="H21" i="2"/>
  <c r="G98" i="14"/>
  <c r="N98" i="14" s="1"/>
  <c r="AC94" i="11"/>
  <c r="E62" i="7"/>
  <c r="L60" i="5"/>
  <c r="J59" i="14"/>
  <c r="J59" i="13"/>
  <c r="N25" i="8"/>
  <c r="E56" i="8"/>
  <c r="N54" i="5"/>
  <c r="N14" i="14"/>
  <c r="J99" i="14"/>
  <c r="J99" i="13"/>
  <c r="AA123" i="5"/>
  <c r="N74" i="8"/>
  <c r="N84" i="11"/>
  <c r="AC84" i="11" s="1"/>
  <c r="N54" i="8"/>
  <c r="J9" i="7"/>
  <c r="J20" i="7" s="1"/>
  <c r="J9" i="8"/>
  <c r="J20" i="8" s="1"/>
  <c r="P29" i="5"/>
  <c r="G114" i="12"/>
  <c r="G121" i="12" s="1"/>
  <c r="K85" i="12"/>
  <c r="K114" i="12" s="1"/>
  <c r="N62" i="13"/>
  <c r="G99" i="14"/>
  <c r="AC95" i="11"/>
  <c r="G59" i="13"/>
  <c r="AB58" i="11"/>
  <c r="E59" i="7"/>
  <c r="L57" i="5"/>
  <c r="J62" i="13"/>
  <c r="J62" i="14"/>
  <c r="N62" i="14" s="1"/>
  <c r="E59" i="8"/>
  <c r="N57" i="5"/>
  <c r="E62" i="8"/>
  <c r="N60" i="5"/>
  <c r="Z108" i="11"/>
  <c r="G97" i="13"/>
  <c r="N97" i="13" s="1"/>
  <c r="AB93" i="11"/>
  <c r="N14" i="13"/>
  <c r="N29" i="8"/>
  <c r="E57" i="8"/>
  <c r="N55" i="5"/>
  <c r="H64" i="14"/>
  <c r="H64" i="13"/>
  <c r="K80" i="12"/>
  <c r="K121" i="12" s="1"/>
  <c r="H59" i="14"/>
  <c r="H59" i="13"/>
  <c r="R64" i="5"/>
  <c r="P64" i="5" s="1"/>
  <c r="O64" i="5"/>
  <c r="O54" i="5"/>
  <c r="R54" i="5"/>
  <c r="G20" i="7"/>
  <c r="N9" i="7"/>
  <c r="H99" i="14"/>
  <c r="H99" i="13"/>
  <c r="N140" i="8"/>
  <c r="N142" i="8" s="1"/>
  <c r="J80" i="12"/>
  <c r="N31" i="14"/>
  <c r="J108" i="14"/>
  <c r="J108" i="13"/>
  <c r="N40" i="14"/>
  <c r="K65" i="8"/>
  <c r="Z63" i="5"/>
  <c r="M65" i="8" s="1"/>
  <c r="E61" i="8"/>
  <c r="N59" i="5"/>
  <c r="H67" i="14"/>
  <c r="H67" i="13"/>
  <c r="Z113" i="11"/>
  <c r="G57" i="6"/>
  <c r="K57" i="6" s="1"/>
  <c r="AA55" i="5"/>
  <c r="K63" i="7"/>
  <c r="X61" i="5"/>
  <c r="M63" i="7" s="1"/>
  <c r="G89" i="13"/>
  <c r="N89" i="13" s="1"/>
  <c r="AB87" i="11"/>
  <c r="M124" i="14"/>
  <c r="M133" i="14" s="1"/>
  <c r="K65" i="7"/>
  <c r="X63" i="5"/>
  <c r="M65" i="7" s="1"/>
  <c r="K64" i="8"/>
  <c r="Z62" i="5"/>
  <c r="M64" i="8" s="1"/>
  <c r="AA113" i="11"/>
  <c r="AA114" i="11" s="1"/>
  <c r="AA115" i="11" s="1"/>
  <c r="N96" i="13"/>
  <c r="X84" i="11"/>
  <c r="X113" i="11" s="1"/>
  <c r="M117" i="14"/>
  <c r="N61" i="13"/>
  <c r="N10" i="8"/>
  <c r="AC102" i="11"/>
  <c r="G108" i="14"/>
  <c r="N108" i="14" s="1"/>
  <c r="J89" i="14"/>
  <c r="J89" i="13"/>
  <c r="O55" i="5"/>
  <c r="R55" i="5"/>
  <c r="P55" i="5" s="1"/>
  <c r="J64" i="14"/>
  <c r="N64" i="14" s="1"/>
  <c r="J64" i="13"/>
  <c r="N64" i="13" s="1"/>
  <c r="AB63" i="11"/>
  <c r="AC63" i="11"/>
  <c r="J67" i="14"/>
  <c r="N67" i="14" s="1"/>
  <c r="J67" i="13"/>
  <c r="N67" i="13" s="1"/>
  <c r="K66" i="8"/>
  <c r="Z64" i="5"/>
  <c r="M66" i="8" s="1"/>
  <c r="G100" i="8"/>
  <c r="N100" i="8" s="1"/>
  <c r="AC95" i="5"/>
  <c r="E66" i="8"/>
  <c r="N64" i="5"/>
  <c r="G59" i="14"/>
  <c r="N59" i="14" s="1"/>
  <c r="AC58" i="11"/>
  <c r="N63" i="14"/>
  <c r="H108" i="14"/>
  <c r="H108" i="13"/>
  <c r="K58" i="8"/>
  <c r="Z56" i="5"/>
  <c r="M58" i="8" s="1"/>
  <c r="Z84" i="11"/>
  <c r="AC21" i="11"/>
  <c r="AC34" i="11"/>
  <c r="K58" i="7"/>
  <c r="X56" i="5"/>
  <c r="M58" i="7" s="1"/>
  <c r="N10" i="14"/>
  <c r="G99" i="7"/>
  <c r="N99" i="7" s="1"/>
  <c r="AB94" i="5"/>
  <c r="N68" i="7"/>
  <c r="J56" i="6"/>
  <c r="J90" i="6" s="1"/>
  <c r="J140" i="6" s="1"/>
  <c r="J149" i="6" s="1"/>
  <c r="V91" i="5"/>
  <c r="V128" i="5" s="1"/>
  <c r="K66" i="7"/>
  <c r="X64" i="5"/>
  <c r="M66" i="7" s="1"/>
  <c r="N106" i="14"/>
  <c r="N9" i="14"/>
  <c r="N26" i="14" s="1"/>
  <c r="G26" i="14"/>
  <c r="N40" i="13"/>
  <c r="R56" i="5"/>
  <c r="P56" i="5" s="1"/>
  <c r="O56" i="5"/>
  <c r="E66" i="7"/>
  <c r="L64" i="5"/>
  <c r="N34" i="7"/>
  <c r="G100" i="7"/>
  <c r="N100" i="7" s="1"/>
  <c r="AB95" i="5"/>
  <c r="H62" i="14"/>
  <c r="H62" i="13"/>
  <c r="G58" i="6"/>
  <c r="K58" i="6" s="1"/>
  <c r="AA56" i="5"/>
  <c r="N11" i="7"/>
  <c r="G99" i="8"/>
  <c r="N99" i="8" s="1"/>
  <c r="AC94" i="5"/>
  <c r="E58" i="8"/>
  <c r="N56" i="5"/>
  <c r="K64" i="7"/>
  <c r="X62" i="5"/>
  <c r="M64" i="7" s="1"/>
  <c r="G20" i="8"/>
  <c r="N9" i="8"/>
  <c r="N20" i="8" s="1"/>
  <c r="J97" i="13"/>
  <c r="J97" i="14"/>
  <c r="G97" i="14"/>
  <c r="N97" i="14" s="1"/>
  <c r="AC93" i="11"/>
  <c r="J65" i="14"/>
  <c r="J65" i="13"/>
  <c r="N33" i="8"/>
  <c r="N39" i="7"/>
  <c r="K56" i="7"/>
  <c r="X54" i="5"/>
  <c r="J100" i="13"/>
  <c r="J100" i="14"/>
  <c r="N31" i="13"/>
  <c r="G83" i="13"/>
  <c r="N10" i="7"/>
  <c r="N61" i="14"/>
  <c r="N70" i="8"/>
  <c r="N34" i="8"/>
  <c r="M98" i="7"/>
  <c r="M136" i="7" s="1"/>
  <c r="X123" i="5"/>
  <c r="J121" i="12"/>
  <c r="J130" i="12" s="1"/>
  <c r="K60" i="7"/>
  <c r="X58" i="5"/>
  <c r="M60" i="7" s="1"/>
  <c r="N140" i="7"/>
  <c r="N142" i="7" s="1"/>
  <c r="H97" i="14"/>
  <c r="H97" i="13"/>
  <c r="H65" i="14"/>
  <c r="H65" i="13"/>
  <c r="K56" i="8"/>
  <c r="Z54" i="5"/>
  <c r="H100" i="13"/>
  <c r="H100" i="14"/>
  <c r="G88" i="13"/>
  <c r="L108" i="11"/>
  <c r="L113" i="11" s="1"/>
  <c r="AB86" i="11"/>
  <c r="Z123" i="5"/>
  <c r="M98" i="8"/>
  <c r="M136" i="8" s="1"/>
  <c r="K60" i="8"/>
  <c r="Z58" i="5"/>
  <c r="M60" i="8" s="1"/>
  <c r="G98" i="13"/>
  <c r="N98" i="13" s="1"/>
  <c r="AB94" i="11"/>
  <c r="N74" i="7"/>
  <c r="N43" i="14"/>
  <c r="G65" i="6"/>
  <c r="K65" i="6" s="1"/>
  <c r="AA63" i="5"/>
  <c r="AB21" i="11"/>
  <c r="G64" i="6"/>
  <c r="K64" i="6" s="1"/>
  <c r="AA62" i="5"/>
  <c r="T84" i="11"/>
  <c r="T113" i="11" s="1"/>
  <c r="L114" i="11" l="1"/>
  <c r="Q112" i="11"/>
  <c r="R112" i="11" s="1"/>
  <c r="J59" i="8"/>
  <c r="J59" i="7"/>
  <c r="N20" i="7"/>
  <c r="K56" i="6"/>
  <c r="K90" i="6" s="1"/>
  <c r="K140" i="6" s="1"/>
  <c r="G90" i="6"/>
  <c r="G140" i="6" s="1"/>
  <c r="V129" i="5"/>
  <c r="E21" i="2"/>
  <c r="E12" i="2" s="1"/>
  <c r="U132" i="5"/>
  <c r="AB59" i="5"/>
  <c r="G61" i="7"/>
  <c r="G64" i="7"/>
  <c r="N64" i="7" s="1"/>
  <c r="AB62" i="5"/>
  <c r="M56" i="8"/>
  <c r="M93" i="8" s="1"/>
  <c r="M143" i="8" s="1"/>
  <c r="M152" i="8" s="1"/>
  <c r="Z91" i="5"/>
  <c r="Z128" i="5" s="1"/>
  <c r="AC29" i="5"/>
  <c r="G57" i="8"/>
  <c r="AC55" i="5"/>
  <c r="G65" i="7"/>
  <c r="N65" i="7" s="1"/>
  <c r="AB63" i="5"/>
  <c r="G60" i="7"/>
  <c r="AB58" i="5"/>
  <c r="G59" i="7"/>
  <c r="N59" i="7" s="1"/>
  <c r="AB57" i="5"/>
  <c r="G62" i="7"/>
  <c r="AB60" i="5"/>
  <c r="N100" i="13"/>
  <c r="J65" i="8"/>
  <c r="J65" i="7"/>
  <c r="N107" i="14"/>
  <c r="N100" i="14"/>
  <c r="N89" i="14"/>
  <c r="G58" i="8"/>
  <c r="AC56" i="5"/>
  <c r="P54" i="5"/>
  <c r="R91" i="5"/>
  <c r="R128" i="5" s="1"/>
  <c r="J98" i="7"/>
  <c r="J136" i="7" s="1"/>
  <c r="J98" i="8"/>
  <c r="J136" i="8" s="1"/>
  <c r="P123" i="5"/>
  <c r="AB123" i="5" s="1"/>
  <c r="G63" i="8"/>
  <c r="AC61" i="5"/>
  <c r="H65" i="8"/>
  <c r="H65" i="7"/>
  <c r="J58" i="8"/>
  <c r="J58" i="7"/>
  <c r="H56" i="8"/>
  <c r="H56" i="7"/>
  <c r="G60" i="8"/>
  <c r="AC58" i="5"/>
  <c r="H58" i="8"/>
  <c r="H58" i="7"/>
  <c r="X114" i="11"/>
  <c r="W117" i="11"/>
  <c r="H66" i="8"/>
  <c r="H66" i="7"/>
  <c r="N59" i="13"/>
  <c r="N83" i="13" s="1"/>
  <c r="G65" i="8"/>
  <c r="N65" i="8" s="1"/>
  <c r="AC63" i="5"/>
  <c r="J64" i="8"/>
  <c r="J64" i="7"/>
  <c r="H61" i="8"/>
  <c r="H61" i="7"/>
  <c r="G66" i="7"/>
  <c r="AB64" i="5"/>
  <c r="J66" i="8"/>
  <c r="J66" i="7"/>
  <c r="G57" i="7"/>
  <c r="N57" i="7" s="1"/>
  <c r="AB55" i="5"/>
  <c r="H64" i="7"/>
  <c r="H64" i="8"/>
  <c r="J61" i="8"/>
  <c r="J61" i="7"/>
  <c r="G63" i="7"/>
  <c r="N63" i="7" s="1"/>
  <c r="AB61" i="5"/>
  <c r="H60" i="8"/>
  <c r="H60" i="7"/>
  <c r="J63" i="8"/>
  <c r="J63" i="7"/>
  <c r="AB93" i="5"/>
  <c r="M56" i="7"/>
  <c r="M93" i="7" s="1"/>
  <c r="M143" i="7" s="1"/>
  <c r="M152" i="7" s="1"/>
  <c r="X91" i="5"/>
  <c r="X128" i="5" s="1"/>
  <c r="S127" i="5" s="1"/>
  <c r="T127" i="5" s="1"/>
  <c r="N113" i="11"/>
  <c r="N114" i="11" s="1"/>
  <c r="G66" i="8"/>
  <c r="N66" i="8" s="1"/>
  <c r="AC64" i="5"/>
  <c r="J57" i="8"/>
  <c r="J57" i="7"/>
  <c r="G62" i="8"/>
  <c r="AC60" i="5"/>
  <c r="S112" i="11"/>
  <c r="T112" i="11" s="1"/>
  <c r="AB29" i="5"/>
  <c r="N98" i="8"/>
  <c r="N136" i="8" s="1"/>
  <c r="G136" i="8"/>
  <c r="G117" i="14"/>
  <c r="J60" i="8"/>
  <c r="J60" i="7"/>
  <c r="H63" i="7"/>
  <c r="H63" i="8"/>
  <c r="N9" i="13"/>
  <c r="N26" i="13" s="1"/>
  <c r="G136" i="7"/>
  <c r="N98" i="7"/>
  <c r="N136" i="7" s="1"/>
  <c r="J83" i="13"/>
  <c r="J124" i="13" s="1"/>
  <c r="I133" i="13" s="1"/>
  <c r="Z114" i="11"/>
  <c r="Y117" i="11"/>
  <c r="G83" i="14"/>
  <c r="G124" i="14" s="1"/>
  <c r="N99" i="14"/>
  <c r="G117" i="13"/>
  <c r="G124" i="13" s="1"/>
  <c r="H57" i="8"/>
  <c r="H57" i="7"/>
  <c r="G56" i="8"/>
  <c r="AC54" i="5"/>
  <c r="N91" i="5"/>
  <c r="K128" i="12"/>
  <c r="V115" i="11"/>
  <c r="H23" i="2" s="1"/>
  <c r="H22" i="2"/>
  <c r="N65" i="14"/>
  <c r="N83" i="14" s="1"/>
  <c r="H62" i="8"/>
  <c r="H62" i="7"/>
  <c r="N108" i="13"/>
  <c r="N65" i="13"/>
  <c r="F128" i="12"/>
  <c r="J115" i="11"/>
  <c r="F22" i="2"/>
  <c r="G64" i="8"/>
  <c r="AC62" i="5"/>
  <c r="J83" i="14"/>
  <c r="J124" i="14" s="1"/>
  <c r="I133" i="14" s="1"/>
  <c r="G61" i="8"/>
  <c r="N61" i="8" s="1"/>
  <c r="AC59" i="5"/>
  <c r="G59" i="8"/>
  <c r="N59" i="8" s="1"/>
  <c r="AC57" i="5"/>
  <c r="G58" i="7"/>
  <c r="N58" i="7" s="1"/>
  <c r="AB56" i="5"/>
  <c r="G56" i="7"/>
  <c r="AB54" i="5"/>
  <c r="L91" i="5"/>
  <c r="J62" i="8"/>
  <c r="J62" i="7"/>
  <c r="AA91" i="5"/>
  <c r="AA128" i="5" s="1"/>
  <c r="AA129" i="5" s="1"/>
  <c r="AA130" i="5" s="1"/>
  <c r="J128" i="5"/>
  <c r="J88" i="13"/>
  <c r="J117" i="13" s="1"/>
  <c r="J88" i="14"/>
  <c r="J117" i="14" s="1"/>
  <c r="P108" i="11"/>
  <c r="P113" i="11" s="1"/>
  <c r="H59" i="7"/>
  <c r="H59" i="8"/>
  <c r="N107" i="13"/>
  <c r="O117" i="11" l="1"/>
  <c r="P114" i="11"/>
  <c r="P117" i="11"/>
  <c r="N60" i="8"/>
  <c r="K147" i="6"/>
  <c r="V130" i="5"/>
  <c r="E23" i="2" s="1"/>
  <c r="E14" i="2" s="1"/>
  <c r="E22" i="2"/>
  <c r="E13" i="2" s="1"/>
  <c r="N88" i="13"/>
  <c r="N117" i="13" s="1"/>
  <c r="N124" i="13" s="1"/>
  <c r="N88" i="14"/>
  <c r="N117" i="14" s="1"/>
  <c r="N124" i="14" s="1"/>
  <c r="F131" i="14"/>
  <c r="N115" i="11"/>
  <c r="F133" i="14" s="1"/>
  <c r="AC123" i="5"/>
  <c r="N62" i="7"/>
  <c r="Y132" i="5"/>
  <c r="Z129" i="5"/>
  <c r="J129" i="5"/>
  <c r="C21" i="2"/>
  <c r="C12" i="2" s="1"/>
  <c r="W132" i="5"/>
  <c r="X129" i="5"/>
  <c r="J56" i="8"/>
  <c r="J93" i="8" s="1"/>
  <c r="J143" i="8" s="1"/>
  <c r="I152" i="8" s="1"/>
  <c r="J56" i="7"/>
  <c r="J93" i="7" s="1"/>
  <c r="J143" i="7" s="1"/>
  <c r="I152" i="7" s="1"/>
  <c r="P91" i="5"/>
  <c r="P128" i="5" s="1"/>
  <c r="N131" i="14"/>
  <c r="Z115" i="11"/>
  <c r="AC108" i="11"/>
  <c r="AC113" i="11" s="1"/>
  <c r="AC114" i="11" s="1"/>
  <c r="AC115" i="11" s="1"/>
  <c r="AB108" i="11"/>
  <c r="AB113" i="11" s="1"/>
  <c r="AB114" i="11" s="1"/>
  <c r="AB115" i="11" s="1"/>
  <c r="N58" i="8"/>
  <c r="N60" i="7"/>
  <c r="N64" i="8"/>
  <c r="N61" i="7"/>
  <c r="N131" i="13"/>
  <c r="X115" i="11"/>
  <c r="N66" i="7"/>
  <c r="G93" i="8"/>
  <c r="G143" i="8" s="1"/>
  <c r="N62" i="8"/>
  <c r="N63" i="8"/>
  <c r="AC91" i="5"/>
  <c r="AC128" i="5" s="1"/>
  <c r="AC129" i="5" s="1"/>
  <c r="AC130" i="5" s="1"/>
  <c r="N128" i="5"/>
  <c r="N129" i="5" s="1"/>
  <c r="AB91" i="5"/>
  <c r="AB128" i="5" s="1"/>
  <c r="AB129" i="5" s="1"/>
  <c r="AB130" i="5" s="1"/>
  <c r="L128" i="5"/>
  <c r="L129" i="5" s="1"/>
  <c r="F130" i="12"/>
  <c r="F23" i="2"/>
  <c r="G93" i="7"/>
  <c r="G143" i="7" s="1"/>
  <c r="L128" i="12"/>
  <c r="N57" i="8"/>
  <c r="F131" i="13"/>
  <c r="L115" i="11"/>
  <c r="F133" i="13" s="1"/>
  <c r="O131" i="14" l="1"/>
  <c r="N150" i="7"/>
  <c r="X130" i="5"/>
  <c r="Q127" i="5"/>
  <c r="R127" i="5" s="1"/>
  <c r="F150" i="7"/>
  <c r="L130" i="5"/>
  <c r="F152" i="7" s="1"/>
  <c r="F150" i="8"/>
  <c r="N130" i="5"/>
  <c r="F152" i="8" s="1"/>
  <c r="F147" i="6"/>
  <c r="L147" i="6" s="1"/>
  <c r="J130" i="5"/>
  <c r="C22" i="2"/>
  <c r="C13" i="2" s="1"/>
  <c r="O131" i="13"/>
  <c r="N150" i="8"/>
  <c r="Z130" i="5"/>
  <c r="N56" i="8"/>
  <c r="N93" i="8" s="1"/>
  <c r="N143" i="8" s="1"/>
  <c r="N56" i="7"/>
  <c r="N93" i="7" s="1"/>
  <c r="N143" i="7" s="1"/>
  <c r="J131" i="14"/>
  <c r="J131" i="13"/>
  <c r="P115" i="11"/>
  <c r="P129" i="5"/>
  <c r="P132" i="5"/>
  <c r="O132" i="5"/>
  <c r="F149" i="6" l="1"/>
  <c r="C23" i="2"/>
  <c r="C14" i="2" s="1"/>
  <c r="O150" i="7"/>
  <c r="P130" i="5"/>
  <c r="J150" i="8"/>
  <c r="O150" i="8" s="1"/>
  <c r="J15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F7" authorId="0" shapeId="0" xr:uid="{5CC81B39-274E-4A63-A7D8-6D834603D1F4}">
      <text>
        <r>
          <rPr>
            <b/>
            <sz val="9"/>
            <color indexed="81"/>
            <rFont val="Tahoma"/>
            <family val="2"/>
          </rPr>
          <t>HEC:</t>
        </r>
        <r>
          <rPr>
            <sz val="9"/>
            <color indexed="81"/>
            <rFont val="Tahoma"/>
            <family val="2"/>
          </rPr>
          <t xml:space="preserve">
</t>
        </r>
        <r>
          <rPr>
            <sz val="9"/>
            <color indexed="81"/>
            <rFont val="돋움"/>
            <family val="3"/>
            <charset val="129"/>
          </rPr>
          <t>내부</t>
        </r>
        <r>
          <rPr>
            <sz val="9"/>
            <color indexed="81"/>
            <rFont val="Tahoma"/>
            <family val="2"/>
          </rPr>
          <t xml:space="preserve"> </t>
        </r>
        <r>
          <rPr>
            <sz val="9"/>
            <color indexed="81"/>
            <rFont val="돋움"/>
            <family val="3"/>
            <charset val="129"/>
          </rPr>
          <t>업무</t>
        </r>
        <r>
          <rPr>
            <sz val="9"/>
            <color indexed="81"/>
            <rFont val="Tahoma"/>
            <family val="2"/>
          </rPr>
          <t xml:space="preserve"> 100% </t>
        </r>
        <r>
          <rPr>
            <sz val="9"/>
            <color indexed="81"/>
            <rFont val="돋움"/>
            <family val="3"/>
            <charset val="129"/>
          </rPr>
          <t>중</t>
        </r>
        <r>
          <rPr>
            <sz val="9"/>
            <color indexed="81"/>
            <rFont val="Tahoma"/>
            <family val="2"/>
          </rPr>
          <t xml:space="preserve"> GEC</t>
        </r>
        <r>
          <rPr>
            <sz val="9"/>
            <color indexed="81"/>
            <rFont val="돋움"/>
            <family val="3"/>
            <charset val="129"/>
          </rPr>
          <t>가</t>
        </r>
        <r>
          <rPr>
            <sz val="9"/>
            <color indexed="81"/>
            <rFont val="Tahoma"/>
            <family val="2"/>
          </rPr>
          <t xml:space="preserve"> HEC</t>
        </r>
        <r>
          <rPr>
            <sz val="9"/>
            <color indexed="81"/>
            <rFont val="돋움"/>
            <family val="3"/>
            <charset val="129"/>
          </rPr>
          <t>를</t>
        </r>
        <r>
          <rPr>
            <sz val="9"/>
            <color indexed="81"/>
            <rFont val="Tahoma"/>
            <family val="2"/>
          </rPr>
          <t xml:space="preserve"> </t>
        </r>
        <r>
          <rPr>
            <sz val="9"/>
            <color indexed="81"/>
            <rFont val="돋움"/>
            <family val="3"/>
            <charset val="129"/>
          </rPr>
          <t>대체하여</t>
        </r>
        <r>
          <rPr>
            <sz val="9"/>
            <color indexed="81"/>
            <rFont val="Tahoma"/>
            <family val="2"/>
          </rPr>
          <t xml:space="preserve"> </t>
        </r>
        <r>
          <rPr>
            <sz val="9"/>
            <color indexed="81"/>
            <rFont val="돋움"/>
            <family val="3"/>
            <charset val="129"/>
          </rPr>
          <t>수행하는</t>
        </r>
        <r>
          <rPr>
            <sz val="9"/>
            <color indexed="81"/>
            <rFont val="Tahoma"/>
            <family val="2"/>
          </rPr>
          <t xml:space="preserve"> </t>
        </r>
        <r>
          <rPr>
            <sz val="9"/>
            <color indexed="81"/>
            <rFont val="돋움"/>
            <family val="3"/>
            <charset val="129"/>
          </rPr>
          <t>업무</t>
        </r>
        <r>
          <rPr>
            <sz val="9"/>
            <color indexed="81"/>
            <rFont val="Tahoma"/>
            <family val="2"/>
          </rPr>
          <t xml:space="preserve"> </t>
        </r>
        <r>
          <rPr>
            <sz val="9"/>
            <color indexed="81"/>
            <rFont val="돋움"/>
            <family val="3"/>
            <charset val="129"/>
          </rPr>
          <t>비율을</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예시</t>
        </r>
        <r>
          <rPr>
            <sz val="9"/>
            <color indexed="81"/>
            <rFont val="Tahoma"/>
            <family val="2"/>
          </rPr>
          <t xml:space="preserve">) </t>
        </r>
        <r>
          <rPr>
            <sz val="9"/>
            <color indexed="81"/>
            <rFont val="돋움"/>
            <family val="3"/>
            <charset val="129"/>
          </rPr>
          <t>내부업무</t>
        </r>
        <r>
          <rPr>
            <sz val="9"/>
            <color indexed="81"/>
            <rFont val="Tahoma"/>
            <family val="2"/>
          </rPr>
          <t xml:space="preserve"> </t>
        </r>
        <r>
          <rPr>
            <sz val="9"/>
            <color indexed="81"/>
            <rFont val="돋움"/>
            <family val="3"/>
            <charset val="129"/>
          </rPr>
          <t>수행</t>
        </r>
        <r>
          <rPr>
            <sz val="9"/>
            <color indexed="81"/>
            <rFont val="Tahoma"/>
            <family val="2"/>
          </rPr>
          <t xml:space="preserve"> </t>
        </r>
        <r>
          <rPr>
            <sz val="9"/>
            <color indexed="81"/>
            <rFont val="돋움"/>
            <family val="3"/>
            <charset val="129"/>
          </rPr>
          <t>비율이</t>
        </r>
        <r>
          <rPr>
            <sz val="9"/>
            <color indexed="81"/>
            <rFont val="Tahoma"/>
            <family val="2"/>
          </rPr>
          <t xml:space="preserve"> HEC:GEC=70%:30%</t>
        </r>
        <r>
          <rPr>
            <sz val="9"/>
            <color indexed="81"/>
            <rFont val="돋움"/>
            <family val="3"/>
            <charset val="129"/>
          </rPr>
          <t>인</t>
        </r>
        <r>
          <rPr>
            <sz val="9"/>
            <color indexed="81"/>
            <rFont val="Tahoma"/>
            <family val="2"/>
          </rPr>
          <t xml:space="preserve"> </t>
        </r>
        <r>
          <rPr>
            <sz val="9"/>
            <color indexed="81"/>
            <rFont val="돋움"/>
            <family val="3"/>
            <charset val="129"/>
          </rPr>
          <t>경우</t>
        </r>
        <r>
          <rPr>
            <sz val="9"/>
            <color indexed="81"/>
            <rFont val="Tahoma"/>
            <family val="2"/>
          </rPr>
          <t xml:space="preserve"> 30%</t>
        </r>
        <r>
          <rPr>
            <sz val="9"/>
            <color indexed="81"/>
            <rFont val="돋움"/>
            <family val="3"/>
            <charset val="129"/>
          </rPr>
          <t>를</t>
        </r>
        <r>
          <rPr>
            <sz val="9"/>
            <color indexed="81"/>
            <rFont val="Tahoma"/>
            <family val="2"/>
          </rPr>
          <t xml:space="preserve"> </t>
        </r>
        <r>
          <rPr>
            <sz val="9"/>
            <color indexed="81"/>
            <rFont val="돋움"/>
            <family val="3"/>
            <charset val="129"/>
          </rPr>
          <t xml:space="preserve">기입
</t>
        </r>
      </text>
    </comment>
    <comment ref="G7" authorId="0" shapeId="0" xr:uid="{E109F0BB-FBD1-4720-8B65-2BC52FE414BF}">
      <text>
        <r>
          <rPr>
            <b/>
            <sz val="9"/>
            <color indexed="81"/>
            <rFont val="Tahoma"/>
            <family val="2"/>
          </rPr>
          <t xml:space="preserve">HEC:
</t>
        </r>
        <r>
          <rPr>
            <sz val="9"/>
            <color indexed="81"/>
            <rFont val="돋움"/>
            <family val="3"/>
            <charset val="129"/>
          </rPr>
          <t>내부</t>
        </r>
        <r>
          <rPr>
            <sz val="9"/>
            <color indexed="81"/>
            <rFont val="Tahoma"/>
            <family val="2"/>
          </rPr>
          <t xml:space="preserve"> </t>
        </r>
        <r>
          <rPr>
            <sz val="9"/>
            <color indexed="81"/>
            <rFont val="돋움"/>
            <family val="3"/>
            <charset val="129"/>
          </rPr>
          <t>업무</t>
        </r>
        <r>
          <rPr>
            <sz val="9"/>
            <color indexed="81"/>
            <rFont val="Tahoma"/>
            <family val="2"/>
          </rPr>
          <t xml:space="preserve"> 100% </t>
        </r>
        <r>
          <rPr>
            <sz val="9"/>
            <color indexed="81"/>
            <rFont val="돋움"/>
            <family val="3"/>
            <charset val="129"/>
          </rPr>
          <t>중</t>
        </r>
        <r>
          <rPr>
            <sz val="9"/>
            <color indexed="81"/>
            <rFont val="Tahoma"/>
            <family val="2"/>
          </rPr>
          <t xml:space="preserve"> </t>
        </r>
        <r>
          <rPr>
            <sz val="9"/>
            <color indexed="81"/>
            <rFont val="돋움"/>
            <family val="3"/>
            <charset val="129"/>
          </rPr>
          <t>외주</t>
        </r>
        <r>
          <rPr>
            <sz val="9"/>
            <color indexed="81"/>
            <rFont val="Tahoma"/>
            <family val="2"/>
          </rPr>
          <t>-</t>
        </r>
        <r>
          <rPr>
            <sz val="9"/>
            <color indexed="81"/>
            <rFont val="돋움"/>
            <family val="3"/>
            <charset val="129"/>
          </rPr>
          <t>종합에서</t>
        </r>
        <r>
          <rPr>
            <sz val="9"/>
            <color indexed="81"/>
            <rFont val="Tahoma"/>
            <family val="2"/>
          </rPr>
          <t xml:space="preserve"> HEC</t>
        </r>
        <r>
          <rPr>
            <sz val="9"/>
            <color indexed="81"/>
            <rFont val="돋움"/>
            <family val="3"/>
            <charset val="129"/>
          </rPr>
          <t>를</t>
        </r>
        <r>
          <rPr>
            <sz val="9"/>
            <color indexed="81"/>
            <rFont val="Tahoma"/>
            <family val="2"/>
          </rPr>
          <t xml:space="preserve"> </t>
        </r>
        <r>
          <rPr>
            <sz val="9"/>
            <color indexed="81"/>
            <rFont val="돋움"/>
            <family val="3"/>
            <charset val="129"/>
          </rPr>
          <t>대체하여</t>
        </r>
        <r>
          <rPr>
            <sz val="9"/>
            <color indexed="81"/>
            <rFont val="Tahoma"/>
            <family val="2"/>
          </rPr>
          <t xml:space="preserve"> </t>
        </r>
        <r>
          <rPr>
            <sz val="9"/>
            <color indexed="81"/>
            <rFont val="돋움"/>
            <family val="3"/>
            <charset val="129"/>
          </rPr>
          <t>수행하는</t>
        </r>
        <r>
          <rPr>
            <sz val="9"/>
            <color indexed="81"/>
            <rFont val="Tahoma"/>
            <family val="2"/>
          </rPr>
          <t xml:space="preserve"> </t>
        </r>
        <r>
          <rPr>
            <sz val="9"/>
            <color indexed="81"/>
            <rFont val="돋움"/>
            <family val="3"/>
            <charset val="129"/>
          </rPr>
          <t>업무</t>
        </r>
        <r>
          <rPr>
            <sz val="9"/>
            <color indexed="81"/>
            <rFont val="Tahoma"/>
            <family val="2"/>
          </rPr>
          <t xml:space="preserve"> </t>
        </r>
        <r>
          <rPr>
            <sz val="9"/>
            <color indexed="81"/>
            <rFont val="돋움"/>
            <family val="3"/>
            <charset val="129"/>
          </rPr>
          <t>비율을</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예시</t>
        </r>
        <r>
          <rPr>
            <sz val="9"/>
            <color indexed="81"/>
            <rFont val="Tahoma"/>
            <family val="2"/>
          </rPr>
          <t xml:space="preserve">) </t>
        </r>
        <r>
          <rPr>
            <sz val="9"/>
            <color indexed="81"/>
            <rFont val="돋움"/>
            <family val="3"/>
            <charset val="129"/>
          </rPr>
          <t>내부업무</t>
        </r>
        <r>
          <rPr>
            <sz val="9"/>
            <color indexed="81"/>
            <rFont val="Tahoma"/>
            <family val="2"/>
          </rPr>
          <t xml:space="preserve"> </t>
        </r>
        <r>
          <rPr>
            <sz val="9"/>
            <color indexed="81"/>
            <rFont val="돋움"/>
            <family val="3"/>
            <charset val="129"/>
          </rPr>
          <t>수행</t>
        </r>
        <r>
          <rPr>
            <sz val="9"/>
            <color indexed="81"/>
            <rFont val="Tahoma"/>
            <family val="2"/>
          </rPr>
          <t xml:space="preserve"> </t>
        </r>
        <r>
          <rPr>
            <sz val="9"/>
            <color indexed="81"/>
            <rFont val="돋움"/>
            <family val="3"/>
            <charset val="129"/>
          </rPr>
          <t>비율이</t>
        </r>
        <r>
          <rPr>
            <sz val="9"/>
            <color indexed="81"/>
            <rFont val="Tahoma"/>
            <family val="2"/>
          </rPr>
          <t xml:space="preserve"> HEC:</t>
        </r>
        <r>
          <rPr>
            <sz val="9"/>
            <color indexed="81"/>
            <rFont val="돋움"/>
            <family val="3"/>
            <charset val="129"/>
          </rPr>
          <t>외주</t>
        </r>
        <r>
          <rPr>
            <sz val="9"/>
            <color indexed="81"/>
            <rFont val="Tahoma"/>
            <family val="2"/>
          </rPr>
          <t>-</t>
        </r>
        <r>
          <rPr>
            <sz val="9"/>
            <color indexed="81"/>
            <rFont val="돋움"/>
            <family val="3"/>
            <charset val="129"/>
          </rPr>
          <t>종합</t>
        </r>
        <r>
          <rPr>
            <sz val="9"/>
            <color indexed="81"/>
            <rFont val="Tahoma"/>
            <family val="2"/>
          </rPr>
          <t>=70%:30%</t>
        </r>
        <r>
          <rPr>
            <sz val="9"/>
            <color indexed="81"/>
            <rFont val="돋움"/>
            <family val="3"/>
            <charset val="129"/>
          </rPr>
          <t>인</t>
        </r>
        <r>
          <rPr>
            <sz val="9"/>
            <color indexed="81"/>
            <rFont val="Tahoma"/>
            <family val="2"/>
          </rPr>
          <t xml:space="preserve"> </t>
        </r>
        <r>
          <rPr>
            <sz val="9"/>
            <color indexed="81"/>
            <rFont val="돋움"/>
            <family val="3"/>
            <charset val="129"/>
          </rPr>
          <t>경우</t>
        </r>
        <r>
          <rPr>
            <sz val="9"/>
            <color indexed="81"/>
            <rFont val="Tahoma"/>
            <family val="2"/>
          </rPr>
          <t xml:space="preserve"> 30%</t>
        </r>
        <r>
          <rPr>
            <sz val="9"/>
            <color indexed="81"/>
            <rFont val="돋움"/>
            <family val="3"/>
            <charset val="129"/>
          </rPr>
          <t>를</t>
        </r>
        <r>
          <rPr>
            <sz val="9"/>
            <color indexed="81"/>
            <rFont val="Tahoma"/>
            <family val="2"/>
          </rPr>
          <t xml:space="preserve"> </t>
        </r>
        <r>
          <rPr>
            <sz val="9"/>
            <color indexed="81"/>
            <rFont val="돋움"/>
            <family val="3"/>
            <charset val="129"/>
          </rPr>
          <t>기입</t>
        </r>
      </text>
    </comment>
    <comment ref="H7" authorId="0" shapeId="0" xr:uid="{5CC20227-8693-49ED-833B-A2A14FF03670}">
      <text>
        <r>
          <rPr>
            <b/>
            <sz val="9"/>
            <color indexed="81"/>
            <rFont val="Tahoma"/>
            <family val="2"/>
          </rPr>
          <t>HEC:</t>
        </r>
        <r>
          <rPr>
            <sz val="9"/>
            <color indexed="81"/>
            <rFont val="Tahoma"/>
            <family val="2"/>
          </rPr>
          <t xml:space="preserve">
</t>
        </r>
        <r>
          <rPr>
            <sz val="9"/>
            <color indexed="81"/>
            <rFont val="돋움"/>
            <family val="3"/>
            <charset val="129"/>
          </rPr>
          <t>외부</t>
        </r>
        <r>
          <rPr>
            <sz val="9"/>
            <color indexed="81"/>
            <rFont val="Tahoma"/>
            <family val="2"/>
          </rPr>
          <t xml:space="preserve"> </t>
        </r>
        <r>
          <rPr>
            <sz val="9"/>
            <color indexed="81"/>
            <rFont val="돋움"/>
            <family val="3"/>
            <charset val="129"/>
          </rPr>
          <t>업무</t>
        </r>
        <r>
          <rPr>
            <sz val="9"/>
            <color indexed="81"/>
            <rFont val="Tahoma"/>
            <family val="2"/>
          </rPr>
          <t xml:space="preserve"> 100% </t>
        </r>
        <r>
          <rPr>
            <sz val="9"/>
            <color indexed="81"/>
            <rFont val="돋움"/>
            <family val="3"/>
            <charset val="129"/>
          </rPr>
          <t>중</t>
        </r>
        <r>
          <rPr>
            <sz val="9"/>
            <color indexed="81"/>
            <rFont val="Tahoma"/>
            <family val="2"/>
          </rPr>
          <t xml:space="preserve"> GEC</t>
        </r>
        <r>
          <rPr>
            <sz val="9"/>
            <color indexed="81"/>
            <rFont val="돋움"/>
            <family val="3"/>
            <charset val="129"/>
          </rPr>
          <t>가</t>
        </r>
        <r>
          <rPr>
            <sz val="9"/>
            <color indexed="81"/>
            <rFont val="Tahoma"/>
            <family val="2"/>
          </rPr>
          <t xml:space="preserve"> </t>
        </r>
        <r>
          <rPr>
            <sz val="9"/>
            <color indexed="81"/>
            <rFont val="돋움"/>
            <family val="3"/>
            <charset val="129"/>
          </rPr>
          <t>협력사를</t>
        </r>
        <r>
          <rPr>
            <sz val="9"/>
            <color indexed="81"/>
            <rFont val="Tahoma"/>
            <family val="2"/>
          </rPr>
          <t xml:space="preserve"> </t>
        </r>
        <r>
          <rPr>
            <sz val="9"/>
            <color indexed="81"/>
            <rFont val="돋움"/>
            <family val="3"/>
            <charset val="129"/>
          </rPr>
          <t>대체하여</t>
        </r>
        <r>
          <rPr>
            <sz val="9"/>
            <color indexed="81"/>
            <rFont val="Tahoma"/>
            <family val="2"/>
          </rPr>
          <t xml:space="preserve"> </t>
        </r>
        <r>
          <rPr>
            <sz val="9"/>
            <color indexed="81"/>
            <rFont val="돋움"/>
            <family val="3"/>
            <charset val="129"/>
          </rPr>
          <t>수행하는</t>
        </r>
        <r>
          <rPr>
            <sz val="9"/>
            <color indexed="81"/>
            <rFont val="Tahoma"/>
            <family val="2"/>
          </rPr>
          <t xml:space="preserve"> </t>
        </r>
        <r>
          <rPr>
            <sz val="9"/>
            <color indexed="81"/>
            <rFont val="돋움"/>
            <family val="3"/>
            <charset val="129"/>
          </rPr>
          <t>업무</t>
        </r>
        <r>
          <rPr>
            <sz val="9"/>
            <color indexed="81"/>
            <rFont val="Tahoma"/>
            <family val="2"/>
          </rPr>
          <t xml:space="preserve"> </t>
        </r>
        <r>
          <rPr>
            <sz val="9"/>
            <color indexed="81"/>
            <rFont val="돋움"/>
            <family val="3"/>
            <charset val="129"/>
          </rPr>
          <t>비율을</t>
        </r>
        <r>
          <rPr>
            <sz val="9"/>
            <color indexed="81"/>
            <rFont val="Tahoma"/>
            <family val="2"/>
          </rPr>
          <t xml:space="preserve"> </t>
        </r>
        <r>
          <rPr>
            <sz val="9"/>
            <color indexed="81"/>
            <rFont val="돋움"/>
            <family val="3"/>
            <charset val="129"/>
          </rPr>
          <t>기입</t>
        </r>
        <r>
          <rPr>
            <sz val="9"/>
            <color indexed="81"/>
            <rFont val="Tahoma"/>
            <family val="2"/>
          </rPr>
          <t>.</t>
        </r>
        <r>
          <rPr>
            <sz val="9"/>
            <color indexed="81"/>
            <rFont val="돋움"/>
            <family val="3"/>
            <charset val="129"/>
          </rPr>
          <t xml:space="preserve">
예시</t>
        </r>
        <r>
          <rPr>
            <sz val="9"/>
            <color indexed="81"/>
            <rFont val="Tahoma"/>
            <family val="2"/>
          </rPr>
          <t xml:space="preserve">) </t>
        </r>
        <r>
          <rPr>
            <sz val="9"/>
            <color indexed="81"/>
            <rFont val="돋움"/>
            <family val="3"/>
            <charset val="129"/>
          </rPr>
          <t>외부업무</t>
        </r>
        <r>
          <rPr>
            <sz val="9"/>
            <color indexed="81"/>
            <rFont val="Tahoma"/>
            <family val="2"/>
          </rPr>
          <t xml:space="preserve"> </t>
        </r>
        <r>
          <rPr>
            <sz val="9"/>
            <color indexed="81"/>
            <rFont val="돋움"/>
            <family val="3"/>
            <charset val="129"/>
          </rPr>
          <t>수행</t>
        </r>
        <r>
          <rPr>
            <sz val="9"/>
            <color indexed="81"/>
            <rFont val="Tahoma"/>
            <family val="2"/>
          </rPr>
          <t xml:space="preserve"> </t>
        </r>
        <r>
          <rPr>
            <sz val="9"/>
            <color indexed="81"/>
            <rFont val="돋움"/>
            <family val="3"/>
            <charset val="129"/>
          </rPr>
          <t>비율이</t>
        </r>
        <r>
          <rPr>
            <sz val="9"/>
            <color indexed="81"/>
            <rFont val="Tahoma"/>
            <family val="2"/>
          </rPr>
          <t xml:space="preserve"> </t>
        </r>
        <r>
          <rPr>
            <sz val="9"/>
            <color indexed="81"/>
            <rFont val="돋움"/>
            <family val="3"/>
            <charset val="129"/>
          </rPr>
          <t>외주</t>
        </r>
        <r>
          <rPr>
            <sz val="9"/>
            <color indexed="81"/>
            <rFont val="Tahoma"/>
            <family val="2"/>
          </rPr>
          <t>:GEC=70%:30%</t>
        </r>
        <r>
          <rPr>
            <sz val="9"/>
            <color indexed="81"/>
            <rFont val="돋움"/>
            <family val="3"/>
            <charset val="129"/>
          </rPr>
          <t>인</t>
        </r>
        <r>
          <rPr>
            <sz val="9"/>
            <color indexed="81"/>
            <rFont val="Tahoma"/>
            <family val="2"/>
          </rPr>
          <t xml:space="preserve"> </t>
        </r>
        <r>
          <rPr>
            <sz val="9"/>
            <color indexed="81"/>
            <rFont val="돋움"/>
            <family val="3"/>
            <charset val="129"/>
          </rPr>
          <t>경우</t>
        </r>
        <r>
          <rPr>
            <sz val="9"/>
            <color indexed="81"/>
            <rFont val="Tahoma"/>
            <family val="2"/>
          </rPr>
          <t xml:space="preserve"> 30%</t>
        </r>
        <r>
          <rPr>
            <sz val="9"/>
            <color indexed="81"/>
            <rFont val="돋움"/>
            <family val="3"/>
            <charset val="129"/>
          </rPr>
          <t>를</t>
        </r>
        <r>
          <rPr>
            <sz val="9"/>
            <color indexed="81"/>
            <rFont val="Tahoma"/>
            <family val="2"/>
          </rPr>
          <t xml:space="preserve"> </t>
        </r>
        <r>
          <rPr>
            <sz val="9"/>
            <color indexed="81"/>
            <rFont val="돋움"/>
            <family val="3"/>
            <charset val="129"/>
          </rPr>
          <t>기입</t>
        </r>
      </text>
    </comment>
    <comment ref="Y13" authorId="0" shapeId="0" xr:uid="{1D275175-2F15-4BBF-B774-920422BBD8C9}">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Y14" authorId="0" shapeId="0" xr:uid="{54F5211A-AE0A-457F-A58F-1C03AD5FFDBA}">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G8" authorId="0" shapeId="0" xr:uid="{A4DF30CC-F56F-4B93-A9F7-190E4EB8EA48}">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8" authorId="0" shapeId="0" xr:uid="{C2678A84-4F00-4B1E-B5EF-508320EA440E}">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9" authorId="0" shapeId="0" xr:uid="{D6C42DA2-1D7F-4B82-B103-164EEE569A18}">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9" authorId="0" shapeId="0" xr:uid="{D3EF8B54-2DE1-4F2A-95F0-077257D49728}">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10" authorId="0" shapeId="0" xr:uid="{E1C7CA95-568B-4843-9495-54CEF890B235}">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0" authorId="0" shapeId="0" xr:uid="{B91F28E7-F1E0-4DA9-A9D4-08907183E303}">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11" authorId="0" shapeId="0" xr:uid="{E0BCAD62-7455-4125-A3AB-03E9737F2E31}">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1" authorId="0" shapeId="0" xr:uid="{A0F80F41-29E3-4F9E-818B-7CAAB30E3EF8}">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12" authorId="0" shapeId="0" xr:uid="{D92A74B8-E2F5-4F59-8718-F5CC6ECA9C81}">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2" authorId="0" shapeId="0" xr:uid="{514DC4C1-9CCD-4018-880E-01C930DCCD94}">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3" authorId="0" shapeId="0" xr:uid="{ADE57C18-148A-4432-AE9B-F535D8D5E66C}">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4" authorId="0" shapeId="0" xr:uid="{4B3371C4-B7D9-45B9-9C2D-619F0F07791B}">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5" authorId="0" shapeId="0" xr:uid="{C349D2E8-6391-4684-9432-BE579F66E771}">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6" authorId="0" shapeId="0" xr:uid="{C9B2DDCB-F76A-4959-B951-7C926B08B9C1}">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7" authorId="0" shapeId="0" xr:uid="{7EB7FFA1-09DF-4FDE-B6FD-920AE8EA7274}">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8" authorId="0" shapeId="0" xr:uid="{30021046-44DB-4966-8C02-C62D2F493C03}">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9" authorId="0" shapeId="0" xr:uid="{C1F216F5-D3CA-4D13-92EC-7899B11D6C7E}">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0" authorId="0" shapeId="0" xr:uid="{F134CD2B-05D7-4D67-92F8-D2F222959ECA}">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T20" authorId="0" shapeId="0" xr:uid="{18F14E2D-19F7-43D0-9E91-8EB827B93EE5}">
      <text>
        <r>
          <rPr>
            <b/>
            <sz val="9"/>
            <color indexed="81"/>
            <rFont val="Tahoma"/>
            <family val="2"/>
          </rPr>
          <t>HEC:</t>
        </r>
        <r>
          <rPr>
            <sz val="9"/>
            <color indexed="81"/>
            <rFont val="Tahoma"/>
            <family val="2"/>
          </rPr>
          <t xml:space="preserve">
1. ENTERTAINMENT SYSTEM
2. METEOROLOGICAL</t>
        </r>
      </text>
    </comment>
    <comment ref="R21" authorId="0" shapeId="0" xr:uid="{C6134318-B039-4781-808F-BAFF00DEC4E5}">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2" authorId="0" shapeId="0" xr:uid="{C86FFF5C-3EF0-49E5-8E93-05227CB26AB2}">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3" authorId="0" shapeId="0" xr:uid="{6AA1227B-7457-4DCB-93B8-07D9EAD883F8}">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4" authorId="0" shapeId="0" xr:uid="{AD2E4C13-E08E-44A0-9364-A99D7FB42BC1}">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5" authorId="0" shapeId="0" xr:uid="{F4A77CA7-D458-47EF-B82A-00C4D6B6FEB2}">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6" authorId="0" shapeId="0" xr:uid="{C8C808F5-16F2-435E-B702-2E50E5658721}">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T39" authorId="0" shapeId="0" xr:uid="{835CBA04-DAB4-49CD-8EAB-94A2E65E1FFD}">
      <text>
        <r>
          <rPr>
            <b/>
            <sz val="9"/>
            <color indexed="81"/>
            <rFont val="Tahoma"/>
            <family val="2"/>
          </rPr>
          <t>HEC:</t>
        </r>
        <r>
          <rPr>
            <sz val="9"/>
            <color indexed="81"/>
            <rFont val="Tahoma"/>
            <family val="2"/>
          </rPr>
          <t xml:space="preserve">
1. ENTERTAINMENT SYSTEM
2. METEOROLOGICAL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<sst xmlns="http://schemas.openxmlformats.org/spreadsheetml/2006/main" count="6224" uniqueCount="1591">
  <si>
    <t>M/H 산출 가이드</t>
    <phoneticPr fontId="0" type="noConversion"/>
  </si>
  <si>
    <t>I.</t>
    <phoneticPr fontId="0" type="noConversion"/>
  </si>
  <si>
    <t>각 시트(탭) 관련 안내</t>
    <phoneticPr fontId="0" type="noConversion"/>
  </si>
  <si>
    <t>1. Summary 시트</t>
    <phoneticPr fontId="0" type="noConversion"/>
  </si>
  <si>
    <t>- 보고 시 활용하기 위해 'M/H 산출 Summary'를 나타낸 시트.</t>
    <phoneticPr fontId="0" type="noConversion"/>
  </si>
  <si>
    <t>- Input 시트의 '외주최소화 적용 유무' 선택과 연동되어, M/H Summary가 변경 적용 됨.</t>
  </si>
  <si>
    <t>- Input 시트와 Output1 시트와 연동되어 자동 산출 됨.</t>
  </si>
  <si>
    <t>- 입력항목: Sheet 상단에 확인하고자 하는 Case (Case1~3)를 선택 입력 필요.</t>
    <phoneticPr fontId="0" type="noConversion"/>
  </si>
  <si>
    <t>2. 산출기준 시트</t>
    <phoneticPr fontId="0" type="noConversion"/>
  </si>
  <si>
    <t>- 표준 난이도별 Unit M/H와 도면 매수 산정 기준 등이 나와있는 M/H 산출기준에 대한 상세 및 설명 시트.</t>
    <phoneticPr fontId="0" type="noConversion"/>
  </si>
  <si>
    <t>- Input 시트의 '외주최소화 적용 유무' 선택에 따라, 난이도별 Unit M/H가 변경 적용 됨.</t>
  </si>
  <si>
    <t>- 입력항목: 없음</t>
    <phoneticPr fontId="0" type="noConversion"/>
  </si>
  <si>
    <t>3. Input 시트</t>
    <phoneticPr fontId="0" type="noConversion"/>
  </si>
  <si>
    <t>- M/H 산출을 위한 필수 값들을 입력하는 Table. M/H 산출을 위한 Base 가 되는 Data 입력을 위한 시트.</t>
    <phoneticPr fontId="0" type="noConversion"/>
  </si>
  <si>
    <t xml:space="preserve">- 입력항목: '외주최소화 적용 유무', 'GEC 수행 비율', 'Item Q'ty' 및 'Project Codition' 등 다양한 Input을 입력. </t>
    <phoneticPr fontId="0" type="noConversion"/>
  </si>
  <si>
    <t>4. OP1 시트 (Output1 시트)</t>
    <phoneticPr fontId="0" type="noConversion"/>
  </si>
  <si>
    <t>- Input 시트의 입력 값을 바탕으로, Case1~3의 내부/GEC/외부 M/H가 자동 산출되는 시트.</t>
  </si>
  <si>
    <t>- 내부 확인 및 검토 용으로 활용하기 위한 목적으로 동시에 Case 1~3를 모두 확인 가능.</t>
    <phoneticPr fontId="0" type="noConversion"/>
  </si>
  <si>
    <t>5. OP2-1 시트 (Output2-1 시트)</t>
    <phoneticPr fontId="0" type="noConversion"/>
  </si>
  <si>
    <t>- Output1 시트 내용 중 Case1 (외주-단종 Case) 의 산출 M/H에 대한 보고서 형식의 시트.</t>
    <phoneticPr fontId="0" type="noConversion"/>
  </si>
  <si>
    <t>6. OP2-2 시트 (Output2-2 시트)</t>
    <phoneticPr fontId="0" type="noConversion"/>
  </si>
  <si>
    <t>- Output1 시트 내용 중 Case2 (GEC &amp; 외주-단종 Case) 의 산출 M/H에 대한 보고서 형식의 시트.</t>
    <phoneticPr fontId="0" type="noConversion"/>
  </si>
  <si>
    <t>7. OP2-3 시트 (Output2-3 시트)</t>
    <phoneticPr fontId="0" type="noConversion"/>
  </si>
  <si>
    <t>- Output1 시트 내용 중 Case3 (GEC &amp; 외주-종합 Case) 의 산출 M/H에 대한 보고서 형식의 시트.</t>
    <phoneticPr fontId="0" type="noConversion"/>
  </si>
  <si>
    <t>II.</t>
    <phoneticPr fontId="0" type="noConversion"/>
  </si>
  <si>
    <t>각 케이스 관련 안내</t>
    <phoneticPr fontId="0" type="noConversion"/>
  </si>
  <si>
    <t>1. Case1 (외주-단종 Case)</t>
    <phoneticPr fontId="0" type="noConversion"/>
  </si>
  <si>
    <t>- GEC 참여 없이, HEC와 '외주-단종사'만 수행하는 Case</t>
    <phoneticPr fontId="0" type="noConversion"/>
  </si>
  <si>
    <t>- '외주-단종사'는 내부업무 수행 불가</t>
    <phoneticPr fontId="0" type="noConversion"/>
  </si>
  <si>
    <t>2. Case2 (GEC &amp; 외주-단종 Case)</t>
    <phoneticPr fontId="0" type="noConversion"/>
  </si>
  <si>
    <t>- HEC, GEC &amp; '외주-단종사'가 함께 수행하는 Case</t>
    <phoneticPr fontId="0" type="noConversion"/>
  </si>
  <si>
    <t xml:space="preserve">- '외주-단종사'는 내부업무 수행 불가, GEC는 내부/외부업무 모두 일부 수행 가능 </t>
    <phoneticPr fontId="0" type="noConversion"/>
  </si>
  <si>
    <t>- GEC의 내부/외부 업무 수행 비율은 프로젝트별 별도 협의 필요</t>
    <phoneticPr fontId="0" type="noConversion"/>
  </si>
  <si>
    <t>3. Case3 (GEC &amp; 외주-종합 Case)</t>
    <phoneticPr fontId="0" type="noConversion"/>
  </si>
  <si>
    <t>- HEC, GEC &amp; '외주-종합사'가 함께 수행하는 Case</t>
    <phoneticPr fontId="0" type="noConversion"/>
  </si>
  <si>
    <t>- '외주-종합사' 및 GEC는 내부/외부업무 모두 수행 가능 (수행 비율은 프로젝트별 별도 협의 필요)</t>
    <phoneticPr fontId="0" type="noConversion"/>
  </si>
  <si>
    <t>- GEC 및 '외주-종합사'의 내부/외부 업무 수행 비율은 프로젝트별 별도 협의 필요</t>
    <phoneticPr fontId="0" type="noConversion"/>
  </si>
  <si>
    <t>III.</t>
    <phoneticPr fontId="0" type="noConversion"/>
  </si>
  <si>
    <t>외주최소화 적용 안내</t>
    <phoneticPr fontId="0" type="noConversion"/>
  </si>
  <si>
    <t>'외주M/H 최소화 및 내부M/H 최대화'에 대한 별도의 M/H산출 지침이나 요청을 접수 한 경우 'Input 시트' 좌측 상단의</t>
    <phoneticPr fontId="0" type="noConversion"/>
  </si>
  <si>
    <t>'외주최소화 적용 유무' 관련 'Yes/No' Selection을 하면, '산출기준 시트'의 Unit M/H가 이와 연동되어 바뀌게 됨.</t>
    <phoneticPr fontId="0" type="noConversion"/>
  </si>
  <si>
    <t>Case</t>
    <phoneticPr fontId="0" type="noConversion"/>
  </si>
  <si>
    <t>Summary Case Selection</t>
    <phoneticPr fontId="0" type="noConversion"/>
  </si>
  <si>
    <t>Case1. 외주-단종 Case</t>
    <phoneticPr fontId="0" type="noConversion"/>
  </si>
  <si>
    <t>C&amp;I설계기준</t>
    <phoneticPr fontId="0" type="noConversion"/>
  </si>
  <si>
    <t>Case1. 외주-단종 Case</t>
  </si>
  <si>
    <t>&lt;= Case Selection 필요</t>
    <phoneticPr fontId="0" type="noConversion"/>
  </si>
  <si>
    <t>Case2. GEC + 외주-단종 Case</t>
    <phoneticPr fontId="0" type="noConversion"/>
  </si>
  <si>
    <t>외주-단종</t>
    <phoneticPr fontId="0" type="noConversion"/>
  </si>
  <si>
    <t>통신설계기준</t>
    <phoneticPr fontId="0" type="noConversion"/>
  </si>
  <si>
    <t>Case3. GEC + 외주-종합 Case</t>
    <phoneticPr fontId="0" type="noConversion"/>
  </si>
  <si>
    <t>외주-종합</t>
    <phoneticPr fontId="0" type="noConversion"/>
  </si>
  <si>
    <t>실행사업 M/H Summary (C&amp;I + 통신)</t>
    <phoneticPr fontId="0" type="noConversion"/>
  </si>
  <si>
    <t>1. M/H Summary:</t>
    <phoneticPr fontId="0" type="noConversion"/>
  </si>
  <si>
    <t>구분</t>
    <phoneticPr fontId="0" type="noConversion"/>
  </si>
  <si>
    <t>합계</t>
    <phoneticPr fontId="0" type="noConversion"/>
  </si>
  <si>
    <t>내부</t>
    <phoneticPr fontId="0" type="noConversion"/>
  </si>
  <si>
    <t>GEC</t>
    <phoneticPr fontId="0" type="noConversion"/>
  </si>
  <si>
    <t>외주</t>
    <phoneticPr fontId="0" type="noConversion"/>
  </si>
  <si>
    <t>M/H</t>
    <phoneticPr fontId="0" type="noConversion"/>
  </si>
  <si>
    <t>M/M</t>
    <phoneticPr fontId="0" type="noConversion"/>
  </si>
  <si>
    <t>투입 인원</t>
    <phoneticPr fontId="0" type="noConversion"/>
  </si>
  <si>
    <t>2. M/H 상세내역:</t>
    <phoneticPr fontId="0" type="noConversion"/>
  </si>
  <si>
    <t>C&amp;I설계 Part</t>
    <phoneticPr fontId="0" type="noConversion"/>
  </si>
  <si>
    <t>통신설계 Part</t>
    <phoneticPr fontId="0" type="noConversion"/>
  </si>
  <si>
    <t>C&amp;I설계 화공 실행사업 MH 산출기준 (Rev.3)</t>
    <phoneticPr fontId="0" type="noConversion"/>
  </si>
  <si>
    <t>산출기준_수정금지</t>
    <phoneticPr fontId="0" type="noConversion"/>
  </si>
  <si>
    <t>산출기준 적용 Version
(일반 vs 외주최소화 Ver.)</t>
    <phoneticPr fontId="0" type="noConversion"/>
  </si>
  <si>
    <t>Notes</t>
    <phoneticPr fontId="0" type="noConversion"/>
  </si>
  <si>
    <t>1.</t>
    <phoneticPr fontId="0" type="noConversion"/>
  </si>
  <si>
    <t>개별성과품 난이도가 정의되어 있지 않은 경우, Unit M/H 난이도 '상, 중, 하'는 PJT 특성 (발주처 성향, PMC 개입여부, 승인 Level 및 절차 등) 및 Condition 등을 고려 결정</t>
    <phoneticPr fontId="0" type="noConversion"/>
  </si>
  <si>
    <t>외주최소화 적용 유무에 따라 달라지는 값</t>
    <phoneticPr fontId="0" type="noConversion"/>
  </si>
  <si>
    <t>- 난이도 결정 상세는 Input탭의 'Project Condition &amp; Information (C)항'을 참고</t>
    <phoneticPr fontId="0" type="noConversion"/>
  </si>
  <si>
    <t>외추최소화 적용 유무와 상관없이 유지되는 값</t>
    <phoneticPr fontId="0" type="noConversion"/>
  </si>
  <si>
    <t>2.</t>
    <phoneticPr fontId="0" type="noConversion"/>
  </si>
  <si>
    <t>Revamping등 특이한 Case는 난이도를 N/A로 처리하고 산출기준과는 관례없이 현실에 맞는 M/H를 적용</t>
    <phoneticPr fontId="0" type="noConversion"/>
  </si>
  <si>
    <t>Rev.3</t>
    <phoneticPr fontId="0" type="noConversion"/>
  </si>
  <si>
    <t>NO.</t>
    <phoneticPr fontId="0" type="noConversion"/>
  </si>
  <si>
    <t>Activity</t>
    <phoneticPr fontId="0" type="noConversion"/>
  </si>
  <si>
    <t>단위</t>
    <phoneticPr fontId="0" type="noConversion"/>
  </si>
  <si>
    <t xml:space="preserve">난이도별  Unit M/H </t>
    <phoneticPr fontId="0" type="noConversion"/>
  </si>
  <si>
    <t>내부/외부 MAN HOUR 산출 지침 및
Drawing상 반영되야 할 Min. requirement</t>
    <phoneticPr fontId="0" type="noConversion"/>
  </si>
  <si>
    <t xml:space="preserve">MAN-HOUR 산출 지침 </t>
    <phoneticPr fontId="0" type="noConversion"/>
  </si>
  <si>
    <t>내부 Unit M/H</t>
    <phoneticPr fontId="0" type="noConversion"/>
  </si>
  <si>
    <t>외부 Unit M/H</t>
    <phoneticPr fontId="0" type="noConversion"/>
  </si>
  <si>
    <t>Scale</t>
  </si>
  <si>
    <t>역무</t>
  </si>
  <si>
    <t>도면 매수 산정 Guide</t>
    <phoneticPr fontId="0" type="noConversion"/>
  </si>
  <si>
    <t>SPI</t>
    <phoneticPr fontId="0" type="noConversion"/>
  </si>
  <si>
    <t>상</t>
    <phoneticPr fontId="0" type="noConversion"/>
  </si>
  <si>
    <t>중</t>
    <phoneticPr fontId="0" type="noConversion"/>
  </si>
  <si>
    <t>하</t>
    <phoneticPr fontId="0" type="noConversion"/>
  </si>
  <si>
    <t>G</t>
    <phoneticPr fontId="0" type="noConversion"/>
  </si>
  <si>
    <t>GENERAL</t>
    <phoneticPr fontId="0" type="noConversion"/>
  </si>
  <si>
    <t>마일스톤 연계 미팅 / Workshop</t>
    <phoneticPr fontId="0" type="noConversion"/>
  </si>
  <si>
    <t>1)</t>
    <phoneticPr fontId="0" type="noConversion"/>
  </si>
  <si>
    <t>Meeting &amp; Coordination</t>
    <phoneticPr fontId="0" type="noConversion"/>
  </si>
  <si>
    <t>Lot</t>
    <phoneticPr fontId="0" type="noConversion"/>
  </si>
  <si>
    <t>-</t>
    <phoneticPr fontId="0" type="noConversion"/>
  </si>
  <si>
    <t>LE 미팅, 설계 정보 전달, 인허가 Support 등</t>
    <phoneticPr fontId="0" type="noConversion"/>
  </si>
  <si>
    <t>난이도 "중" 기준 60 M/H 고려</t>
    <phoneticPr fontId="0" type="noConversion"/>
  </si>
  <si>
    <t>통신과 함께 MH 조정 (통신 축소 / CI 확대)</t>
    <phoneticPr fontId="0" type="noConversion"/>
  </si>
  <si>
    <t>2)</t>
    <phoneticPr fontId="0" type="noConversion"/>
  </si>
  <si>
    <t>Design Review (30%, 60%, 90%)</t>
  </si>
  <si>
    <t>각 단계별 Design Review 참석</t>
    <phoneticPr fontId="0" type="noConversion"/>
  </si>
  <si>
    <t>난이도 "중" 기준 Instrument Review 시 10 Working Day 참석
(30% : 2일, 60% : 4일, 90% : 4일)</t>
    <phoneticPr fontId="0" type="noConversion"/>
  </si>
  <si>
    <t>3)</t>
    <phoneticPr fontId="0" type="noConversion"/>
  </si>
  <si>
    <t>Workshop (ITB, Package, VELL)</t>
    <phoneticPr fontId="0" type="noConversion"/>
  </si>
  <si>
    <t>ITB Workshop, Package Workshop, VELL Workshop 등 준비 및 참석</t>
    <phoneticPr fontId="0" type="noConversion"/>
  </si>
  <si>
    <t>난이도 "중" 기준 60 M/H 고려</t>
    <phoneticPr fontId="0" type="noConversion"/>
  </si>
  <si>
    <t>NEW, Key Information for Package 작성 포함 // 일반적으로 GEC 역무 없음</t>
    <phoneticPr fontId="0" type="noConversion"/>
  </si>
  <si>
    <t>ITB Review / FEED Verification / CER</t>
    <phoneticPr fontId="0" type="noConversion"/>
  </si>
  <si>
    <t>ITB Review &amp; Interface work.</t>
    <phoneticPr fontId="0" type="noConversion"/>
  </si>
  <si>
    <t>ITB Review &amp; Workshop, 입찰/실행 인수인계, MDR/MSR 작성, JV/Consortium 업무, W/G(UG, Module 등)</t>
    <phoneticPr fontId="0" type="noConversion"/>
  </si>
  <si>
    <t>N/A</t>
    <phoneticPr fontId="0" type="noConversion"/>
  </si>
  <si>
    <t>설계</t>
    <phoneticPr fontId="0" type="noConversion"/>
  </si>
  <si>
    <t>난이도 "중" 기준 220 M/H 고려</t>
    <phoneticPr fontId="0" type="noConversion"/>
  </si>
  <si>
    <t>발주처 협의 (Technical Clarification)</t>
    <phoneticPr fontId="0" type="noConversion"/>
  </si>
  <si>
    <t>명</t>
    <phoneticPr fontId="0" type="noConversion"/>
  </si>
  <si>
    <t>VE제안, Letter/TQ 작성, Technical Support</t>
    <phoneticPr fontId="0" type="noConversion"/>
  </si>
  <si>
    <t>난이도 "중" 기준 프로젝트 수행 초기 2개월 (10명 x 1.5MH/Day)</t>
    <phoneticPr fontId="0" type="noConversion"/>
  </si>
  <si>
    <t>3)</t>
    <phoneticPr fontId="0" type="noConversion"/>
  </si>
  <si>
    <t>Feed Verification</t>
    <phoneticPr fontId="0" type="noConversion"/>
  </si>
  <si>
    <t>FEED 문서 검토 및 Clarification</t>
    <phoneticPr fontId="0" type="noConversion"/>
  </si>
  <si>
    <t>난이도 "중" 기준프로젝트 수행 초기 2개월 (10명 x 1.5MH/Day)</t>
    <phoneticPr fontId="0" type="noConversion"/>
  </si>
  <si>
    <t>4)</t>
    <phoneticPr fontId="0" type="noConversion"/>
  </si>
  <si>
    <t>Early Work</t>
    <phoneticPr fontId="0" type="noConversion"/>
  </si>
  <si>
    <t>Package 업무 Support, IO Summary 작성, MR Draft 작성 (ICSS, Valve)</t>
    <phoneticPr fontId="0" type="noConversion"/>
  </si>
  <si>
    <t>난이도 "중" 기준프로젝트 수행 초기 2개월 (4명 x 8MH/Day)</t>
    <phoneticPr fontId="0" type="noConversion"/>
  </si>
  <si>
    <t>5)</t>
    <phoneticPr fontId="0" type="noConversion"/>
  </si>
  <si>
    <t>Cold Eye Review (Project Team)</t>
    <phoneticPr fontId="0" type="noConversion"/>
  </si>
  <si>
    <t>CER W/G에서 작성한 Comment에 대한 검토 및 조치</t>
    <phoneticPr fontId="0" type="noConversion"/>
  </si>
  <si>
    <t>NEW, 본사 CER W/G의 검토 역무는 MH에 미포함 됨. 포함 방안 검토 협의 필요</t>
    <phoneticPr fontId="0" type="noConversion"/>
  </si>
  <si>
    <t>E</t>
    <phoneticPr fontId="0" type="noConversion"/>
  </si>
  <si>
    <t>ENGINEERING (설계 관련)</t>
    <phoneticPr fontId="0" type="noConversion"/>
  </si>
  <si>
    <t>Design Basis / Specification</t>
    <phoneticPr fontId="0" type="noConversion"/>
  </si>
  <si>
    <t>Technical Specification</t>
    <phoneticPr fontId="0" type="noConversion"/>
  </si>
  <si>
    <t>- Control System</t>
    <phoneticPr fontId="0" type="noConversion"/>
  </si>
  <si>
    <t>Set</t>
    <phoneticPr fontId="0" type="noConversion"/>
  </si>
  <si>
    <t>1) 난이도 산정기준
 - 상 : New Generation
 - 중 : Feed 에 포함되어 Minor Modification or Updating
 - 하 : HEC Standard Specification 적용.</t>
    <phoneticPr fontId="0" type="noConversion"/>
  </si>
  <si>
    <t>- Packaged Instrument (Metering, Analzyer, TGS &amp; etc.)</t>
    <phoneticPr fontId="0" type="noConversion"/>
  </si>
  <si>
    <t>- Field Instrument</t>
    <phoneticPr fontId="0" type="noConversion"/>
  </si>
  <si>
    <t>- Others</t>
    <phoneticPr fontId="0" type="noConversion"/>
  </si>
  <si>
    <t>Design Basis 작성</t>
    <phoneticPr fontId="0" type="noConversion"/>
  </si>
  <si>
    <t>LE업무지침서 9항에 따라 Specification Summary, Material Selection table, Cable/JB/Tray application table, cable gland selection table 등 설계 기준 작성</t>
    <phoneticPr fontId="0" type="noConversion"/>
  </si>
  <si>
    <t>Summary / List / Table</t>
    <phoneticPr fontId="0" type="noConversion"/>
  </si>
  <si>
    <t>Instrument Index</t>
  </si>
  <si>
    <t>Ea</t>
    <phoneticPr fontId="0" type="noConversion"/>
  </si>
  <si>
    <t>1) Tag no., Loop no. Inst. Type, P&amp;ID no., Service, Equip./Line no., Location, System, I/O type
2) Data sheet no., JB connection dwg no., Hook-up dwg no., Loop dwg no. 
   (Project 마다 input 항목 달라질 수 있슴 )</t>
    <phoneticPr fontId="0" type="noConversion"/>
  </si>
  <si>
    <t>None</t>
    <phoneticPr fontId="0" type="noConversion"/>
  </si>
  <si>
    <t>1) All Instrument &amp; F&amp;G 계기수량의 합
* 기계 Package Index는 발주처 요구시 PKG Vendor의 Native Index 
  file을 접수하여 Master Index에 반영</t>
    <phoneticPr fontId="0" type="noConversion"/>
  </si>
  <si>
    <t>ICSS IO database (IODB)</t>
    <phoneticPr fontId="0" type="noConversion"/>
  </si>
  <si>
    <t>Point</t>
    <phoneticPr fontId="0" type="noConversion"/>
  </si>
  <si>
    <t>1) Tag no., Loop no. Inst. Type, P&amp;ID no., Service, System, I/O type은 Inst Index를 활용
   Alarm set, Range등은 HEC에서 기입 (HEC내부 역무)
2) JB no., JB TB no., Marshalling TB. No, Package Panel TB no, No. IRP TB no기입
3) Secondary &amp; Multi cable no. wire identification 정보 입력</t>
    <phoneticPr fontId="0" type="noConversion"/>
  </si>
  <si>
    <t>1) Total ICSS (DCS+ESD+F&amp;G)+MMS IO 수량</t>
  </si>
  <si>
    <t>Instrument Cable Schedule</t>
    <phoneticPr fontId="0" type="noConversion"/>
  </si>
  <si>
    <t>A4</t>
  </si>
  <si>
    <t>1) Cable no, From/To, Cable code, Cable length
2) Cable gland spec. &amp; q'ty
3) Drum number
4) JB 1개당 min. 1장 assign</t>
    <phoneticPr fontId="0" type="noConversion"/>
  </si>
  <si>
    <t>설계 / 제도</t>
    <phoneticPr fontId="0" type="noConversion"/>
  </si>
  <si>
    <t>1) HEC구매분 (PKG 제외) Junction box 수량 x 1.2배</t>
    <phoneticPr fontId="0" type="noConversion"/>
  </si>
  <si>
    <t>4)</t>
  </si>
  <si>
    <t>UPS / Normal Power Load List</t>
    <phoneticPr fontId="0" type="noConversion"/>
  </si>
  <si>
    <t>타부서 Information 자료</t>
    <phoneticPr fontId="0" type="noConversion"/>
  </si>
  <si>
    <t>None</t>
  </si>
  <si>
    <t>설계 / 제도</t>
  </si>
  <si>
    <t>to EL</t>
    <phoneticPr fontId="0" type="noConversion"/>
  </si>
  <si>
    <t>5)</t>
  </si>
  <si>
    <t>Heat Dissipation List</t>
    <phoneticPr fontId="0" type="noConversion"/>
  </si>
  <si>
    <t>to HVAC</t>
  </si>
  <si>
    <t>6)</t>
  </si>
  <si>
    <t>Electrical / Steam Tracing List</t>
    <phoneticPr fontId="0" type="noConversion"/>
  </si>
  <si>
    <t>to EL</t>
  </si>
  <si>
    <t>7)</t>
    <phoneticPr fontId="0" type="noConversion"/>
  </si>
  <si>
    <t>3D Library Data</t>
    <phoneticPr fontId="0" type="noConversion"/>
  </si>
  <si>
    <t>1) All Valves, Flow &amp; Level Instruments 수량의 합</t>
    <phoneticPr fontId="0" type="noConversion"/>
  </si>
  <si>
    <t>to PI</t>
  </si>
  <si>
    <t>8)</t>
    <phoneticPr fontId="0" type="noConversion"/>
  </si>
  <si>
    <t>Cable Tray/Duct Loading Data</t>
    <phoneticPr fontId="0" type="noConversion"/>
  </si>
  <si>
    <t>to PI &amp; CV</t>
  </si>
  <si>
    <t>9)</t>
    <phoneticPr fontId="0" type="noConversion"/>
  </si>
  <si>
    <t>Other 타부서 Information</t>
    <phoneticPr fontId="0" type="noConversion"/>
  </si>
  <si>
    <t>타부서 Information 자료 (Foundation Information, Building Opening Information, Field Grounding Information, UG Composite Drawing, Trench &amp; Duct Bank Loading  &amp; etc.)</t>
    <phoneticPr fontId="0" type="noConversion"/>
  </si>
  <si>
    <t>Calculation</t>
    <phoneticPr fontId="0" type="noConversion"/>
  </si>
  <si>
    <t>Weak Frequency Calculation for Thermowell</t>
    <phoneticPr fontId="0" type="noConversion"/>
  </si>
  <si>
    <t>별도 성과품을 제출하거나, 직접 수행하는 경우만 M/H 반영. 그 외 Vendor Data 로만 진행 시는 미반영.</t>
    <phoneticPr fontId="0" type="noConversion"/>
  </si>
  <si>
    <t>Cv (Valve Coefficient) Calculation for Sizing</t>
    <phoneticPr fontId="0" type="noConversion"/>
  </si>
  <si>
    <t>PSV Orificice Calculation for Sizing</t>
    <phoneticPr fontId="0" type="noConversion"/>
  </si>
  <si>
    <t>Flow Element Calculation</t>
    <phoneticPr fontId="0" type="noConversion"/>
  </si>
  <si>
    <t>Study / Analysis</t>
    <phoneticPr fontId="0" type="noConversion"/>
  </si>
  <si>
    <t>SIL or IPF Calculation, 
Safety Requirement Specification (SRS)</t>
    <phoneticPr fontId="0" type="noConversion"/>
  </si>
  <si>
    <t>1) 직접 Calculation을 수행하는 경우 난이도 '중'을 적용, 
2) 전문외주/Vendor 등을 통해 수행 시 Design Input 제공, Coordination 및 검토를 고려 난이도 '하'를 적용</t>
    <phoneticPr fontId="0" type="noConversion"/>
  </si>
  <si>
    <t>1) 난이도 "중": 기본 40M/H 투입
2) 난이도 "하": 기본 20M/H 투입</t>
    <phoneticPr fontId="0" type="noConversion"/>
  </si>
  <si>
    <t>Intrinsic Safety Entity Calculation</t>
    <phoneticPr fontId="0" type="noConversion"/>
  </si>
  <si>
    <t>FF Entity Calculation for Segment Design</t>
    <phoneticPr fontId="0" type="noConversion"/>
  </si>
  <si>
    <t>Drawing</t>
    <phoneticPr fontId="0" type="noConversion"/>
  </si>
  <si>
    <t>Control System Configuration</t>
  </si>
  <si>
    <t>A3</t>
    <phoneticPr fontId="0" type="noConversion"/>
  </si>
  <si>
    <t>1) Draft only, design은 HEC Engineer가 수행
2) 난이도 산정기준
 - 상 : Remote Control Room이 다수이며, DCS/ESD/F&amp;G가 포함된 Integrated Configuration
 - 중 : DCS/ESD/F&amp;G가 포함된 Integrated Configuration
 - 하 : 개별 System만 존재하는 Simple Configuration</t>
    <phoneticPr fontId="0" type="noConversion"/>
  </si>
  <si>
    <t>1) Project별 1장 또는 System별 출도</t>
    <phoneticPr fontId="0" type="noConversion"/>
  </si>
  <si>
    <t>Inst Earthing philosophy (if req'd)</t>
    <phoneticPr fontId="0" type="noConversion"/>
  </si>
  <si>
    <t>제도</t>
  </si>
  <si>
    <t>1) Project별 1~2장</t>
    <phoneticPr fontId="0" type="noConversion"/>
  </si>
  <si>
    <t>Instrument Key Plan for Layout Drawings</t>
  </si>
  <si>
    <t>A1</t>
  </si>
  <si>
    <t>1) Boundary Limit coordinate
2) DWG nos for each dwg section, DWG Index with dwg no &amp; title</t>
    <phoneticPr fontId="0" type="noConversion"/>
  </si>
  <si>
    <t>As Req'd</t>
    <phoneticPr fontId="0" type="noConversion"/>
  </si>
  <si>
    <t>1) Layout 종류별 각 1 매씩 별도 출도
2) Plant가 Main Plant에서 떨어져 있을때는 별도 Key Plan 출도</t>
    <phoneticPr fontId="0" type="noConversion"/>
  </si>
  <si>
    <t>Symbol &amp; Legends for Inst. Layout Drawings</t>
    <phoneticPr fontId="0" type="noConversion"/>
  </si>
  <si>
    <t>1) Layout dwgs에 나타나는 all symbol &amp; abbreviation 등록
2) Wiring, Air Piping, Cable Tray layout dwg 각각의 Symbol &amp; Legends 표현 
3) Cable &amp; Cable Tray numbering system , Cable coding philosophy</t>
    <phoneticPr fontId="0" type="noConversion"/>
  </si>
  <si>
    <t>1) Project별 1장, 최대 2장출도</t>
    <phoneticPr fontId="0" type="noConversion"/>
  </si>
  <si>
    <t>Instrument Location Plan</t>
  </si>
  <si>
    <t>1) 계기 Elevation , Location Grid 표현
2) PG, TG, TW, LG등 계장공구 설치 Inst.는 모두 표현
3) PSV, Flow Element등 타공구 설치 scope 계기는 도면에서 제외</t>
    <phoneticPr fontId="0" type="noConversion"/>
  </si>
  <si>
    <t>300 : 1</t>
    <phoneticPr fontId="0" type="noConversion"/>
  </si>
  <si>
    <r>
      <rPr>
        <b/>
        <sz val="10"/>
        <rFont val="현대하모니 L"/>
        <family val="1"/>
        <charset val="129"/>
      </rPr>
      <t>1) 도면 1장당 평균계기 개수 : 50 ea</t>
    </r>
    <r>
      <rPr>
        <sz val="10"/>
        <rFont val="현대하모니 L"/>
        <family val="1"/>
        <charset val="129"/>
      </rPr>
      <t xml:space="preserve">
2) All Electronic Inst. &amp; Non-Electronic Inst 수량의 합</t>
    </r>
  </si>
  <si>
    <t>Main Cable Routing layout</t>
    <phoneticPr fontId="0" type="noConversion"/>
  </si>
  <si>
    <t>1) JB (PKG JB포함), LCP위치 표현
2) Tray (Duct), Trench section별 통과하는 cable no및 code 표현
3) Duct bank hole별 통과하는 cable no 및 code 표현
4) MCT 사용시 Frame별 MCT Module (RM60, 40, 30) arrange 
   및 통과하는 cable no 및 Code .기입 (Frame 별로만)
5) Tray (Duct) section별 cable fill ratio calculation sheet는 IFC 제출시 별도제출 
6) 타부서 Inform (Tray/Duct Loading, Trench, Duct Bank/Foundation Data) 포함</t>
    <phoneticPr fontId="0" type="noConversion"/>
  </si>
  <si>
    <t>200 : 1</t>
  </si>
  <si>
    <t>1) Inst Wiring L/O 도면수량 합의 70%
2) 타부서 Inform (Tray/Duct Loading, Trench, Duct Bank/Foundation Data) 포함</t>
    <phoneticPr fontId="0" type="noConversion"/>
  </si>
  <si>
    <t>7)</t>
  </si>
  <si>
    <t>Cable (Duct) Tray Layout</t>
    <phoneticPr fontId="0" type="noConversion"/>
  </si>
  <si>
    <t>1) ISO View (with Ech elevation) , All tray Fitting 표현 (code와)
2) Tray no (Streight만) 표현,  모든 Material code 표현</t>
    <phoneticPr fontId="0" type="noConversion"/>
  </si>
  <si>
    <t>500 : 1,
300 : 1</t>
    <phoneticPr fontId="0" type="noConversion"/>
  </si>
  <si>
    <t>1) Inst Wiring L/O 도면수량 합의 60%</t>
    <phoneticPr fontId="0" type="noConversion"/>
  </si>
  <si>
    <t>8)</t>
  </si>
  <si>
    <t>Instrument Wiring Layout</t>
    <phoneticPr fontId="0" type="noConversion"/>
  </si>
  <si>
    <r>
      <t>1) Secondary cable &amp; Tray routing 표현
2) 계기 Elevation , Location Grid 표현
3) Secondary cable no.가 Inst. Tag No.가 아닐시 Cable no. 표현
4) Cable code 표현 
5) 계기, JB (PKG JB포함), LCP, LCS 위치 표현 
6) 24VDC, UPS Power cable 표현</t>
    </r>
    <r>
      <rPr>
        <b/>
        <sz val="10"/>
        <color rgb="FFFF0000"/>
        <rFont val="맑은 고딕"/>
        <family val="3"/>
        <charset val="129"/>
      </rPr>
      <t/>
    </r>
  </si>
  <si>
    <t>200 : 1</t>
    <phoneticPr fontId="0" type="noConversion"/>
  </si>
  <si>
    <r>
      <rPr>
        <b/>
        <sz val="10"/>
        <rFont val="현대하모니 L"/>
        <family val="1"/>
        <charset val="129"/>
      </rPr>
      <t>1) 도면 1장당 평균계기 개수 : 30 ea</t>
    </r>
    <r>
      <rPr>
        <sz val="10"/>
        <rFont val="현대하모니 L"/>
        <family val="1"/>
        <charset val="129"/>
      </rPr>
      <t xml:space="preserve">
2) All Electronic Inst. (X'mr, Flowmeter, LT, etc).
3) On-off Valve 및 MOV는 2개로 산정.
</t>
    </r>
    <r>
      <rPr>
        <b/>
        <sz val="10"/>
        <rFont val="현대하모니 L"/>
        <family val="1"/>
        <charset val="129"/>
      </rPr>
      <t>4) 모든 Package가 ICSS Control인 경우, 도면장수 별도추가</t>
    </r>
  </si>
  <si>
    <t>9)</t>
  </si>
  <si>
    <t>F&amp;G Wiring Layout</t>
    <phoneticPr fontId="0" type="noConversion"/>
  </si>
  <si>
    <t xml:space="preserve">1) Inst. Wiring Layout과 동일
2) Fire water pumps, Analyzer shelter F&amp;G signals 포함  
3) Deluge valve, Eye wash/safety shower 포함 </t>
    <phoneticPr fontId="0" type="noConversion"/>
  </si>
  <si>
    <r>
      <rPr>
        <b/>
        <sz val="10"/>
        <rFont val="현대하모니 L"/>
        <family val="1"/>
        <charset val="129"/>
      </rPr>
      <t>1) 도면 1장당 평균계기 개수 : 15 ea</t>
    </r>
    <r>
      <rPr>
        <sz val="10"/>
        <rFont val="현대하모니 L"/>
        <family val="1"/>
        <charset val="129"/>
      </rPr>
      <t xml:space="preserve">
2) Gas Detectors, Flame Detectors, MAC, Beacon &amp; Horn (or Siren)</t>
    </r>
  </si>
  <si>
    <t>10)</t>
  </si>
  <si>
    <t>Instrument Air Piping Layout</t>
    <phoneticPr fontId="0" type="noConversion"/>
  </si>
  <si>
    <t>1) Air HDR no., Reducer, Tee등 fitting류 표현
2) Air Volume Tank, Local staion 표현
3) 계기 Elevation , Location Grid 표현</t>
    <phoneticPr fontId="0" type="noConversion"/>
  </si>
  <si>
    <r>
      <rPr>
        <b/>
        <sz val="10"/>
        <rFont val="현대하모니 L"/>
        <family val="1"/>
        <charset val="129"/>
      </rPr>
      <t>1) 도면 1장당 평균 Air 계기 개수 : 15 ea</t>
    </r>
    <r>
      <rPr>
        <sz val="10"/>
        <rFont val="현대하모니 L"/>
        <family val="1"/>
        <charset val="129"/>
      </rPr>
      <t xml:space="preserve">
2) Control Valve, On-off Aalve등 all Air Instruments</t>
    </r>
  </si>
  <si>
    <t>11)</t>
  </si>
  <si>
    <t>Control Room / PIB Equipment layout</t>
  </si>
  <si>
    <t>1) Cabinet Type, number, Size, scope 명기
2) Panel base Frame support details 표현</t>
    <phoneticPr fontId="0" type="noConversion"/>
  </si>
  <si>
    <t>30 : 1</t>
  </si>
  <si>
    <r>
      <t xml:space="preserve">1) Control Room / PIB / Equipment &amp; Engineering room등 Room별 출도 
</t>
    </r>
    <r>
      <rPr>
        <b/>
        <sz val="10"/>
        <rFont val="현대하모니 L"/>
        <family val="1"/>
        <charset val="129"/>
      </rPr>
      <t>2) 도면수량 : 전체 Room 수 x 1.5배</t>
    </r>
  </si>
  <si>
    <t>12)</t>
  </si>
  <si>
    <t>Control Room / PIB Cable Tray Layout</t>
  </si>
  <si>
    <t>1) ISO View 표현 (with Ech elevation) , All tray Fitting 표현
2) 모든 Material code 표현, Tray no (Streight만) 표현</t>
    <phoneticPr fontId="0" type="noConversion"/>
  </si>
  <si>
    <t>1) 각 Room별 1장</t>
    <phoneticPr fontId="0" type="noConversion"/>
  </si>
  <si>
    <t>13)</t>
  </si>
  <si>
    <t>Control Room / PIB Earthing Layout</t>
    <phoneticPr fontId="0" type="noConversion"/>
  </si>
  <si>
    <t>1) 모든 Cabinet 표현 (Cabinet no.만)
2) Earthing wire rout 및 spec.은 계장 scope만 표현</t>
    <phoneticPr fontId="0" type="noConversion"/>
  </si>
  <si>
    <t>2) 각 Room별 1장</t>
    <phoneticPr fontId="0" type="noConversion"/>
  </si>
  <si>
    <t>14)</t>
  </si>
  <si>
    <t xml:space="preserve">Process Hook-up drawings </t>
    <phoneticPr fontId="0" type="noConversion"/>
  </si>
  <si>
    <r>
      <t xml:space="preserve">1) All Impulse &amp; Off-line Inst.(X'mr, LT, PG, TG, LG, Analy, etc) 수량 / 15
2) 총 도면매수는 최소 40장 이하, 최대 400장 이상이 되서는 안됨
</t>
    </r>
    <r>
      <rPr>
        <b/>
        <sz val="10"/>
        <rFont val="현대하모니 L"/>
        <family val="1"/>
        <charset val="129"/>
      </rPr>
      <t>3) Note 3 참조</t>
    </r>
  </si>
  <si>
    <t>15)</t>
  </si>
  <si>
    <t xml:space="preserve">Pneumatic Hook-up drawings </t>
  </si>
  <si>
    <r>
      <t xml:space="preserve">1) All air instrument(CV, On-Off V/V, Analyzer, etc) 수량 / 20
2) 총 도면매수는 최소 20매 이하, 최대 70장 이상이 되서는 안됨
</t>
    </r>
    <r>
      <rPr>
        <b/>
        <sz val="10"/>
        <rFont val="현대하모니 L"/>
        <family val="1"/>
        <charset val="129"/>
      </rPr>
      <t>3) Note 3 참조</t>
    </r>
  </si>
  <si>
    <t>16)</t>
  </si>
  <si>
    <t xml:space="preserve">Steam and/or Electric Tracing Hook-up drawings </t>
    <phoneticPr fontId="0" type="noConversion"/>
  </si>
  <si>
    <t>1) Typical CM / DM connection details
2) Typical insulation drawings
3) ST와 ET가 둘 다 사용시는 DWG title은 Steam and Electric Tracing Hook-up drawings 로 한다</t>
    <phoneticPr fontId="0" type="noConversion"/>
  </si>
  <si>
    <r>
      <t xml:space="preserve">1) All Steam and Electric Tracing Instrument 수량 / 20
2) 총 도면매수는 최소 20매 이하,  최대 80장 이상이 되서는 안됨
</t>
    </r>
    <r>
      <rPr>
        <b/>
        <sz val="10"/>
        <rFont val="현대하모니 L"/>
        <family val="1"/>
        <charset val="129"/>
      </rPr>
      <t>3) Note 3 참조</t>
    </r>
  </si>
  <si>
    <t>17)</t>
  </si>
  <si>
    <t>Typical Installation Detail Drawings</t>
    <phoneticPr fontId="0" type="noConversion"/>
  </si>
  <si>
    <t xml:space="preserve">1) Cable tray 및 conduit 부품에 대한 detail 넣지말것 </t>
    <phoneticPr fontId="0" type="noConversion"/>
  </si>
  <si>
    <t>1) Project 특성에 따라 70~110장 산출</t>
    <phoneticPr fontId="0" type="noConversion"/>
  </si>
  <si>
    <t>18)</t>
  </si>
  <si>
    <t>Level Sketch Drawings</t>
    <phoneticPr fontId="0" type="noConversion"/>
  </si>
  <si>
    <t>A3</t>
  </si>
  <si>
    <t>1) Each tag no별 Alarm level별 DCS alarm % 기입
2) Nozzle inform (Nozzle no., size &amp; rating)
3) Vessel inform (Size, Design press. Temp., etc.)</t>
  </si>
  <si>
    <t>1) Level instrument가 설치되는 Vessel/Drum/Column수량</t>
    <phoneticPr fontId="0" type="noConversion"/>
  </si>
  <si>
    <t>19)</t>
  </si>
  <si>
    <t>Instrument JB &amp; Connection Diagram</t>
    <phoneticPr fontId="0" type="noConversion"/>
  </si>
  <si>
    <t>1) JB no., JB TB no., Marshalling TB. No, Package Panel TB no, IRP TB no 기입
2) Secondary &amp; Multi cable no. wire identification정보 입력
3) JB 1개당 min. 1장 assign</t>
    <phoneticPr fontId="0" type="noConversion"/>
  </si>
  <si>
    <r>
      <rPr>
        <b/>
        <sz val="10"/>
        <rFont val="현대하모니 L"/>
        <family val="1"/>
        <charset val="129"/>
      </rPr>
      <t>1) SPI 인력지원 수행 시 해당 성과품의 난이도는 "중" 적용</t>
    </r>
    <r>
      <rPr>
        <sz val="10"/>
        <rFont val="현대하모니 L"/>
        <family val="1"/>
        <charset val="129"/>
      </rPr>
      <t xml:space="preserve">
2) HEC구매분 (PKG 제외) Junction box 수량 x 2배
    (Package가 특별히 많을시는 추가 sheet 고려)</t>
    </r>
  </si>
  <si>
    <t>20)</t>
  </si>
  <si>
    <t>Instrument Loop Diagram</t>
    <phoneticPr fontId="0" type="noConversion"/>
  </si>
  <si>
    <r>
      <t xml:space="preserve">1) 난이도 "하"는 Vendor Drawing을 HEC Drawing으로 변환 Only
 - </t>
    </r>
    <r>
      <rPr>
        <b/>
        <sz val="10"/>
        <rFont val="현대하모니 L"/>
        <family val="1"/>
        <charset val="129"/>
      </rPr>
      <t xml:space="preserve">IFA / IFC / As-built 3회 check
 - </t>
    </r>
    <r>
      <rPr>
        <sz val="10"/>
        <rFont val="현대하모니 L"/>
        <family val="1"/>
        <charset val="129"/>
      </rPr>
      <t>Vendor Drawing (CAD)를 HEC drawing으로 Customize가 필요할 시 장당 0.2 M/H적용</t>
    </r>
  </si>
  <si>
    <r>
      <rPr>
        <b/>
        <sz val="10"/>
        <rFont val="현대하모니 L"/>
        <family val="1"/>
        <charset val="129"/>
      </rPr>
      <t>1) SPI 인력지원 수행 시 해당 성과품의 난이도는 "중" 적용</t>
    </r>
    <r>
      <rPr>
        <sz val="10"/>
        <rFont val="현대하모니 L"/>
        <family val="1"/>
        <charset val="129"/>
      </rPr>
      <t xml:space="preserve">
2) SPI 미적용시, ICSS Vendor Scope으로 적용
   HEC Dwg로 Customize 필요 시, Draft 역무만 외주M/H에 반영 
3) Total ICSS (DCS+ESD+F&amp;G)+MMS IO 수량적용</t>
    </r>
  </si>
  <si>
    <t>21)</t>
  </si>
  <si>
    <t>Logic Diagram</t>
  </si>
  <si>
    <t>1) 난이도 "하"는 Vendor Drawing을 HEC Drawing으로 변환 Only</t>
    <phoneticPr fontId="0" type="noConversion"/>
  </si>
  <si>
    <t>1) System Vendor 역무 처리, HEC Drawing 변환 시 난이도 "하" 적용
2) 협력업체에서 Logic Diagram을 신규로 작성하는 경우, 난이도 "중" 적용</t>
    <phoneticPr fontId="0" type="noConversion"/>
  </si>
  <si>
    <t>MTO</t>
    <phoneticPr fontId="0" type="noConversion"/>
  </si>
  <si>
    <t>BM take-off</t>
    <phoneticPr fontId="0" type="noConversion"/>
  </si>
  <si>
    <t xml:space="preserve">도면매수 산정
Guide 참조 </t>
    <phoneticPr fontId="0" type="noConversion"/>
  </si>
  <si>
    <r>
      <rPr>
        <b/>
        <sz val="10"/>
        <rFont val="현대하모니 L"/>
        <family val="1"/>
        <charset val="129"/>
      </rPr>
      <t>1) 최대 4차 MTO까지 산출</t>
    </r>
    <r>
      <rPr>
        <sz val="10"/>
        <rFont val="현대하모니 L"/>
        <family val="1"/>
        <charset val="129"/>
      </rPr>
      <t xml:space="preserve">
2) Cable은 Drum schedule 작성 후 산출
3) Ladder tray &amp; Fitting은 실 도면을 기준으로 산출
3) Perporate tray는 실도면 기준으로 산출
4) Cable gland는 cable Schedule에서 산출
5) JB, Air Pipe &amp; Fittings는 실 도면을 기준으로 산출
6) Tubing, Hook-up valve, Fitting, gasket &amp; bolt는 Hook-up물량 산출표 (Excel)를 작성하여 산출
7) 각 size, type별 2" stanchion은 3D Model에서 산출
</t>
    </r>
    <r>
      <rPr>
        <b/>
        <sz val="10"/>
        <rFont val="현대하모니 L"/>
        <family val="1"/>
        <charset val="129"/>
      </rPr>
      <t>8) 강재류 포함 Support는 Typical drawing 상의 Case 별 물량 산출</t>
    </r>
  </si>
  <si>
    <t>MTO</t>
  </si>
  <si>
    <t>1) 총 Cable 물량기준 
 - 20만 미만 : 400 M/H
 - 20만 이상~50만 미만 : 650 M/H
 - 50만 이상~100만 미만 : 900 M/H
 - 100만 이상~200만 미만 : 1,200 M/H
 - 200만 이상 : 1,500 M/H</t>
    <phoneticPr fontId="0" type="noConversion"/>
  </si>
  <si>
    <t>E-space 적용 고려하여 내부 M/H 조정</t>
    <phoneticPr fontId="0" type="noConversion"/>
  </si>
  <si>
    <t>3D Modeling &amp; IT Solution</t>
    <phoneticPr fontId="0" type="noConversion"/>
  </si>
  <si>
    <t>1)</t>
    <phoneticPr fontId="0" type="noConversion"/>
  </si>
  <si>
    <t>SPI Admin. &amp; SPF</t>
    <phoneticPr fontId="0" type="noConversion"/>
  </si>
  <si>
    <t>a) SPI Admin.</t>
    <phoneticPr fontId="0" type="noConversion"/>
  </si>
  <si>
    <t>1) SPI Admin.의 역무 수행</t>
    <phoneticPr fontId="0" type="noConversion"/>
  </si>
  <si>
    <t>1) I/O Point x 0.1</t>
    <phoneticPr fontId="0" type="noConversion"/>
  </si>
  <si>
    <t>b) SPI Publishing</t>
    <phoneticPr fontId="0" type="noConversion"/>
  </si>
  <si>
    <t>1) SPI Publish to SPF 적용하는 경우</t>
    <phoneticPr fontId="0" type="noConversion"/>
  </si>
  <si>
    <t>1) I/O Point x 0.05 (Discrepancy Error 해결 포함)</t>
    <phoneticPr fontId="0" type="noConversion"/>
  </si>
  <si>
    <t>c) SPI Input for Instrument Data Sheet (in 3rd party system)</t>
    <phoneticPr fontId="0" type="noConversion"/>
  </si>
  <si>
    <t>1) Package의 Inst. Data Sheet를 외주MH로 SPI 반영 시</t>
    <phoneticPr fontId="0" type="noConversion"/>
  </si>
  <si>
    <t>1) Data Sheet 당 0.3MH</t>
    <phoneticPr fontId="0" type="noConversion"/>
  </si>
  <si>
    <t>d) S3D Publishing</t>
    <phoneticPr fontId="0" type="noConversion"/>
  </si>
  <si>
    <t>Ea.</t>
    <phoneticPr fontId="0" type="noConversion"/>
  </si>
  <si>
    <t>1) S3D Publish to SPF 적용하는 경우</t>
    <phoneticPr fontId="0" type="noConversion"/>
  </si>
  <si>
    <t>1) Inst. 수량 x 0.01 (Discrepancy Error 해결 포함)</t>
    <phoneticPr fontId="0" type="noConversion"/>
  </si>
  <si>
    <t>2)</t>
    <phoneticPr fontId="0" type="noConversion"/>
  </si>
  <si>
    <t>3D MODELING 인력지원</t>
    <phoneticPr fontId="0" type="noConversion"/>
  </si>
  <si>
    <t>a) 3D Modeling</t>
    <phoneticPr fontId="0" type="noConversion"/>
  </si>
  <si>
    <t xml:space="preserve">도면매수 산정 Guide 참조 </t>
    <phoneticPr fontId="0" type="noConversion"/>
  </si>
  <si>
    <t xml:space="preserve">1) 30%, 60%, 90%,  As built
2) All off-line Inst., JB, LCP, Ladder tray
3) Perforated tray는 200w 이상
4) Analyzer shelter, Metering Skid </t>
    <phoneticPr fontId="0" type="noConversion"/>
  </si>
  <si>
    <t>인력지원</t>
    <phoneticPr fontId="0" type="noConversion"/>
  </si>
  <si>
    <t xml:space="preserve">1) 내부 M/H 산출지침
 - ICSS I/O수량 (MMS포함) 기준
 - 기본투입 M/H (Default) : 200M/H 
 - 5,000 Point 이하 구간 : I/O 당 0.04M/H 적용
 - 5,000 ~ 15,000 Point 구간 : I/O 당 0.03M/H 적용
 - 15,000 Point 초과 구간 : I/O 당 0.02M/H 적용 
2) 외부 M/H 산출지침
 - ICSS I/O수량 (MMS포함) 기준 
 - 기본투입 M/H (Default) : 2,000M/H 
 - 5,000 Point 이하 구간 : I/O 당 0.5M/H 적용
 - 5,000 ~ 15,000 Point 구간 : I/O 당 0.4M/H 적용
 - 15,000 Point 초과 구간 : I/O 당 0.3M/H 적용 </t>
    <phoneticPr fontId="0" type="noConversion"/>
  </si>
  <si>
    <t>b) Extension Work for 3D Modeling</t>
    <phoneticPr fontId="0" type="noConversion"/>
  </si>
  <si>
    <r>
      <t xml:space="preserve">1) Secondary Cable Route
2) All equipment in Building
</t>
    </r>
    <r>
      <rPr>
        <b/>
        <sz val="10"/>
        <rFont val="현대하모니 L"/>
        <family val="1"/>
        <charset val="129"/>
      </rPr>
      <t>3) 90% 3D Modeling Review 이후 작업</t>
    </r>
  </si>
  <si>
    <t>1) Secondary cable routing : JB당 1 M/H</t>
    <phoneticPr fontId="0" type="noConversion"/>
  </si>
  <si>
    <t>3)</t>
    <phoneticPr fontId="0" type="noConversion"/>
  </si>
  <si>
    <t>SPI 인력지원</t>
    <phoneticPr fontId="0" type="noConversion"/>
  </si>
  <si>
    <r>
      <rPr>
        <b/>
        <sz val="10"/>
        <rFont val="현대하모니 L"/>
        <family val="1"/>
        <charset val="129"/>
      </rPr>
      <t xml:space="preserve">a) Case 1 </t>
    </r>
    <r>
      <rPr>
        <sz val="10"/>
        <rFont val="현대하모니 L"/>
        <family val="1"/>
        <charset val="129"/>
      </rPr>
      <t xml:space="preserve">
    설계 중 실시간 SPI 성과품 출도 (IFA / IFC)</t>
    </r>
  </si>
  <si>
    <t>1) Inst. Index (15%)
2) Inst. Data Sheets (25%)
3) Hook-up Drawings (5%)
4) Wiring Module (10%)
5) Loop Drawing (45%)</t>
    <phoneticPr fontId="0" type="noConversion"/>
  </si>
  <si>
    <t>N/A</t>
  </si>
  <si>
    <r>
      <t xml:space="preserve">1) SPI를 인력지원으로 작업하는 경우, ICSS I/O수량 (MMS포함) 기준
 - 상: 15,000이상 (초급 3명x14개월(42M/M), 8,400 M/H)
 - 중: 10,000이상~15,000미만 (초급 각2명x16개월(32M/M), 6,400 M/H)
 - 하: 10,000미만 (초급 1명x18개월(18M/M), 3,600 M/H)
</t>
    </r>
    <r>
      <rPr>
        <b/>
        <sz val="10"/>
        <rFont val="현대하모니 L"/>
        <family val="1"/>
        <charset val="129"/>
      </rPr>
      <t>2) SPI 인력지원 수행 시 해당 성과품의 난이도는 "중" 적용
3) Note 4, 5, 6 참조</t>
    </r>
  </si>
  <si>
    <r>
      <rPr>
        <b/>
        <sz val="10"/>
        <rFont val="현대하모니 L"/>
        <family val="1"/>
        <charset val="129"/>
      </rPr>
      <t>b) Case 2</t>
    </r>
    <r>
      <rPr>
        <sz val="10"/>
        <rFont val="현대하모니 L"/>
        <family val="1"/>
        <charset val="129"/>
      </rPr>
      <t xml:space="preserve">
    설계기간에는 Excel/CAD로 수행하고 As_Built 시에만
    한번에 SPI로 DB 구축</t>
    </r>
  </si>
  <si>
    <t>1) Inst. Index (5%)
2) Inst. Data Sheets (10%)
3) Hook-up Drawings (5%)
4) Wiring Module (10%)
5) Loop Drawing (70%)</t>
    <phoneticPr fontId="0" type="noConversion"/>
  </si>
  <si>
    <r>
      <t xml:space="preserve">1) SPI를 인력지원으로 작업하는 경우, ICSS I/O수량 (MMS포함) 기준
 - 상: 15,000이상 (초급 4명x6개월(24M/M), 4,800 M/H)
 - 중: 10,000이상~15,000미만 (초급 3명x6개월(18 M/M), 3,600 M/H)
 - 하: 10,000미만 (초급 2명x5개월(10M/M), 2,000 M/H)
</t>
    </r>
    <r>
      <rPr>
        <b/>
        <sz val="10"/>
        <rFont val="현대하모니 L"/>
        <family val="1"/>
        <charset val="129"/>
      </rPr>
      <t>2) SPI 인력지원 수행 시 해당 성과품의 난이도는 "중" 적용
3) Note 4, 5, 6 참조</t>
    </r>
  </si>
  <si>
    <t>4)</t>
    <phoneticPr fontId="0" type="noConversion"/>
  </si>
  <si>
    <t>인력지원 (경력별)</t>
    <phoneticPr fontId="0" type="noConversion"/>
  </si>
  <si>
    <t>DELETED</t>
    <phoneticPr fontId="0" type="noConversion"/>
  </si>
  <si>
    <t>a) 인력지원 (초급)</t>
    <phoneticPr fontId="0" type="noConversion"/>
  </si>
  <si>
    <t>경력 : 2년 이상 ~ 5년 미만, 일반적으로 적용하지 않으며 프로젝트에서 특별히 요구될 때만 선택적으로 적용함</t>
    <phoneticPr fontId="0" type="noConversion"/>
  </si>
  <si>
    <t>b) 인력지원 (중급)</t>
    <phoneticPr fontId="0" type="noConversion"/>
  </si>
  <si>
    <t>경력 : 5년 이상 ~ 10년 미만, 일반적으로 적용하지 않으며 프로젝트에서 특별히 요구될 때만 선택적으로 적용함</t>
    <phoneticPr fontId="0" type="noConversion"/>
  </si>
  <si>
    <t>c) 인력지원 (고급)</t>
    <phoneticPr fontId="0" type="noConversion"/>
  </si>
  <si>
    <t>경력 : 10년 이상 ~ 15년 미만, 일반적으로 적용하지 않으며 프로젝트에서 특별히 요구될 때만 선택적으로 적용함</t>
    <phoneticPr fontId="0" type="noConversion"/>
  </si>
  <si>
    <t>d) 인력지원 (특급)</t>
    <phoneticPr fontId="0" type="noConversion"/>
  </si>
  <si>
    <t>경력 : 15년 이상, 일반적으로 적용하지 않으며 프로젝트에서 특별히 요구될 때만 선택적으로 적용함</t>
    <phoneticPr fontId="0" type="noConversion"/>
  </si>
  <si>
    <t>GEC Coordination</t>
    <phoneticPr fontId="0" type="noConversion"/>
  </si>
  <si>
    <t>a) GEC 지원 및 Coordination</t>
    <phoneticPr fontId="0" type="noConversion"/>
  </si>
  <si>
    <t>M/M</t>
    <phoneticPr fontId="0" type="noConversion"/>
  </si>
  <si>
    <t>GEC-Case에만 적용, 투입 MH는 GEC와 협의하여 반영</t>
    <phoneticPr fontId="0" type="noConversion"/>
  </si>
  <si>
    <t>GEC-Case에만 적용, 투입 MH는 GEC와 협의하여 반영</t>
    <phoneticPr fontId="0" type="noConversion"/>
  </si>
  <si>
    <t>P</t>
    <phoneticPr fontId="0" type="noConversion"/>
  </si>
  <si>
    <t>PROCUREMENT SUPPORT (구매 관련)</t>
    <phoneticPr fontId="0" type="noConversion"/>
  </si>
  <si>
    <t>Datasheet</t>
    <phoneticPr fontId="0" type="noConversion"/>
  </si>
  <si>
    <t>Instrument Data Sheets</t>
    <phoneticPr fontId="0" type="noConversion"/>
  </si>
  <si>
    <t>1) 최대 4차까지 Revision 기준
2) 난이도 "SPI"는 SPI로 작업할 경우</t>
    <phoneticPr fontId="0" type="noConversion"/>
  </si>
  <si>
    <t>1) SPI 인력지원 시, 외주 M/H는 "0"로 반영</t>
    <phoneticPr fontId="0" type="noConversion"/>
  </si>
  <si>
    <t>- Tagged Valves (Valve류)</t>
    <phoneticPr fontId="0" type="noConversion"/>
  </si>
  <si>
    <t>- Tagged Instrument (Valve류 제외)</t>
    <phoneticPr fontId="0" type="noConversion"/>
  </si>
  <si>
    <t>MR</t>
    <phoneticPr fontId="0" type="noConversion"/>
  </si>
  <si>
    <t>Material Requisition</t>
    <phoneticPr fontId="0" type="noConversion"/>
  </si>
  <si>
    <t>1) Purchase Specification 포함
2) Pre-fabricated Building 포함인 경우 난이도 "상" 적용</t>
    <phoneticPr fontId="0" type="noConversion"/>
  </si>
  <si>
    <t xml:space="preserve"> - ICSS + Pre-fabricated Building : 200 MH
 - ICSS : 120 MH</t>
    <phoneticPr fontId="0" type="noConversion"/>
  </si>
  <si>
    <t>1) Purchase Specification 포함</t>
    <phoneticPr fontId="0" type="noConversion"/>
  </si>
  <si>
    <t>- Tagged Valve</t>
    <phoneticPr fontId="0" type="noConversion"/>
  </si>
  <si>
    <t>- Tagged Instrument</t>
    <phoneticPr fontId="0" type="noConversion"/>
  </si>
  <si>
    <t>- Bulk Material</t>
    <phoneticPr fontId="0" type="noConversion"/>
  </si>
  <si>
    <t>TBE</t>
    <phoneticPr fontId="0" type="noConversion"/>
  </si>
  <si>
    <t>Technical Bid Evaluation</t>
    <phoneticPr fontId="0" type="noConversion"/>
  </si>
  <si>
    <t>각 MR 별 TBE 대상 Vendor 는 5개사 이하 기준임.</t>
    <phoneticPr fontId="0" type="noConversion"/>
  </si>
  <si>
    <t>1) 난이도 산정 기준
 - 상: Pre-fabricated Building 포함
 - 중: ICSS
 - 하: 그 외 System (MMS, CCS &amp; etc.)</t>
    <phoneticPr fontId="0" type="noConversion"/>
  </si>
  <si>
    <t>1) 내부M/H 산출 지침
 - ICSS + Pre-fabricated Building : 500 MH
 - ICSS : 400 MH
 - 그 외 System : 200 MH</t>
    <phoneticPr fontId="0" type="noConversion"/>
  </si>
  <si>
    <t>1) 건 별 Skid, Shelter, Rack 등의 수량에 따라 M/H 반영</t>
    <phoneticPr fontId="0" type="noConversion"/>
  </si>
  <si>
    <t>1) 내부M/H 산출 지침 (Skid 및 Shelter 수량)
 - MR 당 평균 2sets 이하 : 200 MH
 - MR 당 평균 3sets 이상 : 200+((n-2)x20) MH</t>
    <phoneticPr fontId="0" type="noConversion"/>
  </si>
  <si>
    <t>1) 건 별 Valve 수량에 따라 M/H 반영</t>
    <phoneticPr fontId="0" type="noConversion"/>
  </si>
  <si>
    <t>1) 내부M/H 산출 지침 (Valve 수량)
 - MR 당 평균 100ea 이하 : 180 MH
 - MR 당 평균 100ea 초과 : 180+((n-100)x0.3) MH</t>
    <phoneticPr fontId="0" type="noConversion"/>
  </si>
  <si>
    <t>1) 건 별 Instrument 수량에 따라 M/H 반영</t>
    <phoneticPr fontId="0" type="noConversion"/>
  </si>
  <si>
    <t>1) 내부M/H 산출 지침 (Instrument 수량)
 - MR 당 평균 200ea 이하 : 120 MH
 - MR 당 평균 200ea 초과 : 120+((n-200)x0.1) MH
 - F&amp;G Device MR 당 평균 400ea 이하: 120 MH
 - F&amp;G Device MR 당 평균 400ea 초과: 120+((n-400)x0.02) MH</t>
    <phoneticPr fontId="0" type="noConversion"/>
  </si>
  <si>
    <t>Instrument Check List for 3rd Party System</t>
    <phoneticPr fontId="0" type="noConversion"/>
  </si>
  <si>
    <t>- Major 3rd Party System</t>
    <phoneticPr fontId="0" type="noConversion"/>
  </si>
  <si>
    <t>1) Package 별 Instrument Check List 작성
2) TBE 회의 참석</t>
    <phoneticPr fontId="0" type="noConversion"/>
  </si>
  <si>
    <t>1) Compressor, Boiler, Metering, MMS, Analyzer System, IRP (MCC), FACP 등</t>
    <phoneticPr fontId="0" type="noConversion"/>
  </si>
  <si>
    <t>- 3rd Party System</t>
    <phoneticPr fontId="0" type="noConversion"/>
  </si>
  <si>
    <t>2) Pump, Chemical Injection Package, TGS, PAGA, ECMS, HVAC, NOVAC 등</t>
    <phoneticPr fontId="0" type="noConversion"/>
  </si>
  <si>
    <t>VD Review</t>
    <phoneticPr fontId="0" type="noConversion"/>
  </si>
  <si>
    <t>Vendor Data Review</t>
    <phoneticPr fontId="0" type="noConversion"/>
  </si>
  <si>
    <t>1) System 별 Hardwired I/O 수량에 따라 M/H 반영</t>
    <phoneticPr fontId="0" type="noConversion"/>
  </si>
  <si>
    <t>1) 내부M/H 산출 지침 (Hardwired I/O 수량)
 - 2,000 Points 이하 : 150 MH
 - 2,000 Points 초과 : 150+((n-2,000)x0.04) MH
2) Pre-fabricated Building 포함인 경우, 100 MH 추가 반영</t>
    <phoneticPr fontId="0" type="noConversion"/>
  </si>
  <si>
    <t>1) 내부M/H 산출 지침 (Skid 및 Shelter 수량)
 - MR 당 평균 2sets 이하 : 150 MH
 - MR 당 평균 3sets 이상 : 150+((n-2)x10) MH</t>
    <phoneticPr fontId="0" type="noConversion"/>
  </si>
  <si>
    <t>1) 내부M/H 산출 지침 (Valve 수량)
 - MR 당 평균 100ea 이하 : 100 MH
 - MR 당 평균 100ea 초과 : 100+((n-100)x0.3) MH</t>
    <phoneticPr fontId="0" type="noConversion"/>
  </si>
  <si>
    <t>1) 내부M/H 산출 지침 (Instrument 수량)
 - MR 당 평균 200ea 이하 : 50 MH
 - MR 당 평균 200ea 초과 : 50+((n-200)x0.1) MH /
 - F&amp;G Device MR 당 평균 400ea 이하: 50 MH
 - F&amp;G Device MR 당 평균 400ea 초과 : 50+((n-400)x0.02) MH</t>
    <phoneticPr fontId="0" type="noConversion"/>
  </si>
  <si>
    <t>3'rd Party System Cable Block Diagram</t>
    <phoneticPr fontId="0" type="noConversion"/>
  </si>
  <si>
    <t>1) Skid JB , LCP, LCS, Loosed Instrument inform
2) HEC Scope Cable에 대한 Cable informs
3) Vendor Data 검토</t>
    <phoneticPr fontId="0" type="noConversion"/>
  </si>
  <si>
    <t>FAT</t>
    <phoneticPr fontId="0" type="noConversion"/>
  </si>
  <si>
    <t>Control system FAT 지원 (IFAT 포함)</t>
    <phoneticPr fontId="0" type="noConversion"/>
  </si>
  <si>
    <t>1) ICSS I/O (MMS포함) 수량에 따라 M/H 반영
2) 난이도 ‘중’ M/H를 기준으로, ‘상’은 15%를 증가, ‘하’는 15%를 차감</t>
    <phoneticPr fontId="0" type="noConversion"/>
  </si>
  <si>
    <t>1) 내부 M/H 산출지침
 - ICSS I/O (MMS포함) 수량 기준
 - 기본투입 M/H (Default) : 330M/H 
 - 5,000 Point 이하 구간 : I/O 당 0.20M/H 적용
 - 5,000 ~ 15,000 Point 구간 : I/O 당 0.19M/H 적용
 - 15,000 Point 초과 구간 : I/O 당 0.18M/H 적용
 - 난이도 ‘중’ M/H를 기준, ‘상’ : 15% 증가, ‘하’ : 15% 차감</t>
    <phoneticPr fontId="0" type="noConversion"/>
  </si>
  <si>
    <t>그 외 FAT 지원</t>
    <phoneticPr fontId="0" type="noConversion"/>
  </si>
  <si>
    <t>C</t>
    <phoneticPr fontId="0" type="noConversion"/>
  </si>
  <si>
    <t>CONSTRUCTION SUPPORT (시공 관련)</t>
    <phoneticPr fontId="0" type="noConversion"/>
  </si>
  <si>
    <t>As Built Drawing</t>
    <phoneticPr fontId="0" type="noConversion"/>
  </si>
  <si>
    <t xml:space="preserve">1) </t>
    <phoneticPr fontId="0" type="noConversion"/>
  </si>
  <si>
    <t>As-Built</t>
    <phoneticPr fontId="0" type="noConversion"/>
  </si>
  <si>
    <t xml:space="preserve">M/H 산정 Guide 참조 </t>
    <phoneticPr fontId="0" type="noConversion"/>
  </si>
  <si>
    <t>1) As-built 대상 도면 전체 M/H 기준
 - M/H 50,000 미만 : 5% 적용
 - M/H 50,000 이상 : 4% 적용
2) SPI As-built 필요 시 500MH 추가 반영</t>
    <phoneticPr fontId="0" type="noConversion"/>
  </si>
  <si>
    <t xml:space="preserve">제도 </t>
  </si>
  <si>
    <t>C&amp;I Man Hour Key Factor Input Table (Rev.3)</t>
    <phoneticPr fontId="2" type="noConversion"/>
  </si>
  <si>
    <t>INPUT</t>
    <phoneticPr fontId="0" type="noConversion"/>
  </si>
  <si>
    <t>KEY INPUT</t>
    <phoneticPr fontId="0" type="noConversion"/>
  </si>
  <si>
    <t>필수 입력 항목</t>
    <phoneticPr fontId="0" type="noConversion"/>
  </si>
  <si>
    <t>외주최소화 적용 유무</t>
    <phoneticPr fontId="0" type="noConversion"/>
  </si>
  <si>
    <t>No</t>
  </si>
  <si>
    <t>자동 산출 항목</t>
    <phoneticPr fontId="0" type="noConversion"/>
  </si>
  <si>
    <t>숨김처리</t>
    <phoneticPr fontId="0" type="noConversion"/>
  </si>
  <si>
    <t>GEC 입력 항목</t>
    <phoneticPr fontId="0" type="noConversion"/>
  </si>
  <si>
    <t>삭제 금지</t>
    <phoneticPr fontId="0" type="noConversion"/>
  </si>
  <si>
    <t>PROJECT: Promigas CPF Project</t>
    <phoneticPr fontId="0" type="noConversion"/>
  </si>
  <si>
    <t>Rev.1</t>
    <phoneticPr fontId="0" type="noConversion"/>
  </si>
  <si>
    <t>Control &amp; Instrumentation - Material, General &amp; 인력지원 (A)</t>
    <phoneticPr fontId="0" type="noConversion"/>
  </si>
  <si>
    <t>Control &amp; Instrumentation - Design, Deliverable &amp; 내-외부 업무 수행 비율 (B)</t>
    <phoneticPr fontId="0" type="noConversion"/>
  </si>
  <si>
    <t>Control &amp; Instrumentation - Project Condition &amp; Information (C)</t>
    <phoneticPr fontId="0" type="noConversion"/>
  </si>
  <si>
    <t>S/N</t>
    <phoneticPr fontId="0" type="noConversion"/>
  </si>
  <si>
    <t>Item (대분류)</t>
    <phoneticPr fontId="0" type="noConversion"/>
  </si>
  <si>
    <t>Item (중분류)</t>
    <phoneticPr fontId="0" type="noConversion"/>
  </si>
  <si>
    <t>Item 상세 (소분류)</t>
    <phoneticPr fontId="0" type="noConversion"/>
  </si>
  <si>
    <t>내부 업무
중 GEC 수행 비율 (%)</t>
    <phoneticPr fontId="0" type="noConversion"/>
  </si>
  <si>
    <t>내부 업무
중 외주-종합 수행 비율 (%)</t>
    <phoneticPr fontId="0" type="noConversion"/>
  </si>
  <si>
    <t>외부 업무 중 GEC 수행 비율 (%)</t>
    <phoneticPr fontId="0" type="noConversion"/>
  </si>
  <si>
    <t>Quantity 
of Item</t>
    <phoneticPr fontId="0" type="noConversion"/>
  </si>
  <si>
    <t>Quantity 
of MR Set</t>
    <phoneticPr fontId="0" type="noConversion"/>
  </si>
  <si>
    <t>Material Requisition
(Unit M/H)</t>
    <phoneticPr fontId="0" type="noConversion"/>
  </si>
  <si>
    <t>Material Requisition
(Total M/H)</t>
    <phoneticPr fontId="0" type="noConversion"/>
  </si>
  <si>
    <t>Technical Bid Evaluation
(Unit M/H)</t>
    <phoneticPr fontId="0" type="noConversion"/>
  </si>
  <si>
    <t>Technical Bid Evaluation
(Total M/H)</t>
    <phoneticPr fontId="0" type="noConversion"/>
  </si>
  <si>
    <t>Vendor Data Review
(Unit M/H)</t>
    <phoneticPr fontId="0" type="noConversion"/>
  </si>
  <si>
    <t>Vendor Data Review
(Total M/H)</t>
    <phoneticPr fontId="0" type="noConversion"/>
  </si>
  <si>
    <t>Note</t>
    <phoneticPr fontId="0" type="noConversion"/>
  </si>
  <si>
    <t>Quantity</t>
    <phoneticPr fontId="0" type="noConversion"/>
  </si>
  <si>
    <t>입력</t>
    <phoneticPr fontId="0" type="noConversion"/>
  </si>
  <si>
    <t>Factor</t>
    <phoneticPr fontId="0" type="noConversion"/>
  </si>
  <si>
    <t>난이도</t>
    <phoneticPr fontId="0" type="noConversion"/>
  </si>
  <si>
    <t>A01</t>
    <phoneticPr fontId="0" type="noConversion"/>
  </si>
  <si>
    <t>Control System</t>
    <phoneticPr fontId="0" type="noConversion"/>
  </si>
  <si>
    <t>ICSS (DCS+ESD+F&amp;G)</t>
    <phoneticPr fontId="0" type="noConversion"/>
  </si>
  <si>
    <t>B01</t>
    <phoneticPr fontId="0" type="noConversion"/>
  </si>
  <si>
    <t>Specification / Design Basis</t>
    <phoneticPr fontId="0" type="noConversion"/>
  </si>
  <si>
    <t>C01</t>
    <phoneticPr fontId="0" type="noConversion"/>
  </si>
  <si>
    <t>Project 표준 난이도
(General)</t>
    <phoneticPr fontId="0" type="noConversion"/>
  </si>
  <si>
    <t xml:space="preserve">발주처/PMC 성향, 난이도, 기술력 </t>
    <phoneticPr fontId="0" type="noConversion"/>
  </si>
  <si>
    <t>1) 국내 발주처 : 표준 M/H x 1.0 (증가 량 없음)</t>
    <phoneticPr fontId="0" type="noConversion"/>
  </si>
  <si>
    <t xml:space="preserve">발주처/PMC 성향 및 승인 절차 까다로움을 고려하여 난이도 Factor 1.0~1.25 (0~25%)를 표준 Man-Hour에 증가하거나, MH 산출기준 상에서 난이도 산정기준에 따라 선정된 난이도(상, 중, 하)에 따른 Unit MH를 적용한다. </t>
    <phoneticPr fontId="0" type="noConversion"/>
  </si>
  <si>
    <t>A02</t>
    <phoneticPr fontId="0" type="noConversion"/>
  </si>
  <si>
    <t>ICSS + Pre-fabricated Building</t>
    <phoneticPr fontId="0" type="noConversion"/>
  </si>
  <si>
    <t>B02</t>
  </si>
  <si>
    <t>Packaged Instrument (Metering, Analzyer, TGS &amp; etc.)</t>
    <phoneticPr fontId="0" type="noConversion"/>
  </si>
  <si>
    <t>C02</t>
  </si>
  <si>
    <t>2) 국내 발주처(PMC가 있는 경우) : 표준 M/H x 1.05 (5% 증가)</t>
    <phoneticPr fontId="0" type="noConversion"/>
  </si>
  <si>
    <t>A03</t>
  </si>
  <si>
    <t>Machinery Monitoring System</t>
    <phoneticPr fontId="0" type="noConversion"/>
  </si>
  <si>
    <t>B03</t>
  </si>
  <si>
    <t>Field Instrument</t>
    <phoneticPr fontId="0" type="noConversion"/>
  </si>
  <si>
    <t>C03</t>
  </si>
  <si>
    <t>3) 동남아, 중앙아시아, 동유럽 국가 (PMC가 없는 경우): 표준 M/H x 1.1(10% 증가)</t>
    <phoneticPr fontId="0" type="noConversion"/>
  </si>
  <si>
    <t>A04</t>
  </si>
  <si>
    <t>Other Control System</t>
    <phoneticPr fontId="0" type="noConversion"/>
  </si>
  <si>
    <t>HIPS, Corrosion, SCS</t>
  </si>
  <si>
    <t>B04</t>
  </si>
  <si>
    <t>Others</t>
    <phoneticPr fontId="0" type="noConversion"/>
  </si>
  <si>
    <t>C04</t>
  </si>
  <si>
    <t>4) 동남아, 중앙아시아, 동유럽 국가 (PMC가 있는 경우): 표준 M/H x 1.15(15% 증가)</t>
    <phoneticPr fontId="0" type="noConversion"/>
  </si>
  <si>
    <t>A05</t>
  </si>
  <si>
    <t>Packaged Instrument</t>
    <phoneticPr fontId="0" type="noConversion"/>
  </si>
  <si>
    <t>Flow Metering System</t>
    <phoneticPr fontId="0" type="noConversion"/>
  </si>
  <si>
    <t>Set</t>
    <phoneticPr fontId="0" type="noConversion"/>
  </si>
  <si>
    <t>B05</t>
  </si>
  <si>
    <t>Design Basis</t>
    <phoneticPr fontId="0" type="noConversion"/>
  </si>
  <si>
    <t>C05</t>
  </si>
  <si>
    <t>5) 중동, 아프리카 국가 (PMC가 없는 경우): 표준 M/H x 1.2(20% 증가)</t>
    <phoneticPr fontId="0" type="noConversion"/>
  </si>
  <si>
    <t>A06</t>
  </si>
  <si>
    <t>Analzyer System</t>
    <phoneticPr fontId="0" type="noConversion"/>
  </si>
  <si>
    <t>B06</t>
  </si>
  <si>
    <t>Instrument Index</t>
    <phoneticPr fontId="0" type="noConversion"/>
  </si>
  <si>
    <t>ea.</t>
    <phoneticPr fontId="0" type="noConversion"/>
  </si>
  <si>
    <t>외주 최소화 적용시 '내부 업무 중 외주-종합 수행 비율 (%)'은 0을 입력 할 것.</t>
    <phoneticPr fontId="0" type="noConversion"/>
  </si>
  <si>
    <t>C06</t>
  </si>
  <si>
    <t>6) 중동, 아프리카 국가 (PMC가 있을 경우): 표준 M/H x 1.25(25% 증가)</t>
    <phoneticPr fontId="0" type="noConversion"/>
  </si>
  <si>
    <t>A07</t>
  </si>
  <si>
    <t>Ship Shore Link System</t>
    <phoneticPr fontId="0" type="noConversion"/>
  </si>
  <si>
    <t>B07</t>
  </si>
  <si>
    <t>C07</t>
  </si>
  <si>
    <t>7) 기타 국가 (PMC가 없는 경우): 표준 M/H x 1.15(15% 증가)</t>
    <phoneticPr fontId="0" type="noConversion"/>
  </si>
  <si>
    <t>A08</t>
  </si>
  <si>
    <t>Tank Gauging System</t>
    <phoneticPr fontId="0" type="noConversion"/>
  </si>
  <si>
    <t>B08</t>
  </si>
  <si>
    <t>장</t>
    <phoneticPr fontId="0" type="noConversion"/>
  </si>
  <si>
    <t>C08</t>
  </si>
  <si>
    <t>8) 기타 국가 (PMC가 있는 경우): 표준 M/H x 1.2(20% 증가)</t>
    <phoneticPr fontId="0" type="noConversion"/>
  </si>
  <si>
    <t>A09</t>
  </si>
  <si>
    <t>Fibre Optic Monitoring System</t>
    <phoneticPr fontId="0" type="noConversion"/>
  </si>
  <si>
    <t>B09</t>
  </si>
  <si>
    <t>타부서 Information</t>
    <phoneticPr fontId="0" type="noConversion"/>
  </si>
  <si>
    <t>C09</t>
  </si>
  <si>
    <t>Licensor Unit 포함 유무</t>
  </si>
  <si>
    <t>1) Licensor 없음 : 표준 M/H x 1.0 (증가 량 없음)</t>
    <phoneticPr fontId="0" type="noConversion"/>
  </si>
  <si>
    <t>1)</t>
  </si>
  <si>
    <t xml:space="preserve">Licensor Unit에 대한 추가 Requirement Study 및 상이한 Design Philosophy 적용에 대한 Work Volume 증가를 고려하여 난이도 Factor 1.0~1.1 (0~10%)를 표준 Man-Hour에 증가하거나, MH 산출기준 상에서 난이도 산정기준에 따라 선정된 난이도(상, 중, 하)에 따른 Unit MH를 적용한다. </t>
    <phoneticPr fontId="0" type="noConversion"/>
  </si>
  <si>
    <t>A10</t>
  </si>
  <si>
    <t>Pipeline Leak Detection System</t>
    <phoneticPr fontId="0" type="noConversion"/>
  </si>
  <si>
    <t>B10</t>
  </si>
  <si>
    <t>C10</t>
  </si>
  <si>
    <t>2) Case 1: 표준 M/H x 1.05 (5% 증가) 
   *Licensor 1개인 경우</t>
    <phoneticPr fontId="0" type="noConversion"/>
  </si>
  <si>
    <t>A11</t>
  </si>
  <si>
    <t>Air Quality Monitoring System</t>
    <phoneticPr fontId="0" type="noConversion"/>
  </si>
  <si>
    <t>B11</t>
  </si>
  <si>
    <t>C11</t>
  </si>
  <si>
    <t>3) Case 2: 표준 M/H x 1.1 (10% 증가) 
   *Licensor 2개 이상인 경우</t>
    <phoneticPr fontId="0" type="noConversion"/>
  </si>
  <si>
    <t>A12</t>
  </si>
  <si>
    <t>Weather Monitoring System</t>
    <phoneticPr fontId="0" type="noConversion"/>
  </si>
  <si>
    <t>B12</t>
  </si>
  <si>
    <t>3D Library Data</t>
    <phoneticPr fontId="0" type="noConversion"/>
  </si>
  <si>
    <t>C12</t>
  </si>
  <si>
    <t>Project 수행 Condition 고려</t>
  </si>
  <si>
    <t>1) JV / Consortium 사업 유무 (HEC가 계장팀 Leading이 아닐 경우): 
     표준 M/H x 1.10 (10% 증가)</t>
    <phoneticPr fontId="0" type="noConversion"/>
  </si>
  <si>
    <t>Project 수행 Condition 에 따라 난이도 Factor 1.0~1.15 (0~15%)를 표준 Man-Hour에 증가하거나, MH 산출기준 상에서 난이도 산정기준에 따라 선정된 난이도(상, 중, 하)에 따른 Unit MH를 적용한다.</t>
    <phoneticPr fontId="0" type="noConversion"/>
  </si>
  <si>
    <t>A13</t>
  </si>
  <si>
    <t>Other Package System</t>
    <phoneticPr fontId="0" type="noConversion"/>
  </si>
  <si>
    <t>B13</t>
  </si>
  <si>
    <t>Cable Tray/Duct Loading Data</t>
    <phoneticPr fontId="0" type="noConversion"/>
  </si>
  <si>
    <t>C13</t>
  </si>
  <si>
    <t>2) JV / Consortium 사업 유무 (HEC가 계장팀 Leading인 경우): 
     표준 M/H x 1.15 (15% 증가)</t>
    <phoneticPr fontId="0" type="noConversion"/>
  </si>
  <si>
    <t>A14</t>
  </si>
  <si>
    <t>Tagged Valves</t>
    <phoneticPr fontId="0" type="noConversion"/>
  </si>
  <si>
    <t>Control Valve + Self-regulating Valve</t>
    <phoneticPr fontId="0" type="noConversion"/>
  </si>
  <si>
    <t>B14</t>
  </si>
  <si>
    <t>Other 타부서 Information</t>
  </si>
  <si>
    <t>C14</t>
  </si>
  <si>
    <t>Design Basis / Specification 난이도</t>
    <phoneticPr fontId="0" type="noConversion"/>
  </si>
  <si>
    <t>1) New Generation</t>
    <phoneticPr fontId="0" type="noConversion"/>
  </si>
  <si>
    <t>2)</t>
  </si>
  <si>
    <t>A15</t>
  </si>
  <si>
    <t>Self-regulating Valve</t>
    <phoneticPr fontId="0" type="noConversion"/>
  </si>
  <si>
    <t>B15</t>
  </si>
  <si>
    <t>On-line Thermowell 수량</t>
    <phoneticPr fontId="0" type="noConversion"/>
  </si>
  <si>
    <t>대상 Item Q'ty</t>
    <phoneticPr fontId="0" type="noConversion"/>
  </si>
  <si>
    <t>C15</t>
  </si>
  <si>
    <t>2) Feed 에 포함되어 Minor Modification or Updating</t>
    <phoneticPr fontId="0" type="noConversion"/>
  </si>
  <si>
    <t>A16</t>
  </si>
  <si>
    <t>On-Off Valve</t>
    <phoneticPr fontId="0" type="noConversion"/>
  </si>
  <si>
    <t>B16</t>
  </si>
  <si>
    <t>C16</t>
  </si>
  <si>
    <t>3) HEC Standard Specification 적용</t>
    <phoneticPr fontId="0" type="noConversion"/>
  </si>
  <si>
    <t>A17</t>
  </si>
  <si>
    <t>Motor Operated Valve</t>
    <phoneticPr fontId="0" type="noConversion"/>
  </si>
  <si>
    <t>B17</t>
  </si>
  <si>
    <t>PSV Orificice Calculation for Sizing</t>
  </si>
  <si>
    <t>C17</t>
  </si>
  <si>
    <t>A18</t>
  </si>
  <si>
    <t>HIPPS Valve</t>
    <phoneticPr fontId="0" type="noConversion"/>
  </si>
  <si>
    <t>B18</t>
  </si>
  <si>
    <t>Flow Element Calculation</t>
  </si>
  <si>
    <t>C18</t>
  </si>
  <si>
    <t>A19</t>
  </si>
  <si>
    <t>Safety Relief Valve</t>
    <phoneticPr fontId="0" type="noConversion"/>
  </si>
  <si>
    <t>B19</t>
  </si>
  <si>
    <t>SIL or IPF Calculation, SRS</t>
    <phoneticPr fontId="0" type="noConversion"/>
  </si>
  <si>
    <t>C19</t>
  </si>
  <si>
    <t>A20</t>
  </si>
  <si>
    <t>Rupture Disc</t>
    <phoneticPr fontId="0" type="noConversion"/>
  </si>
  <si>
    <t>B20</t>
  </si>
  <si>
    <t>Instrinsical Safety Entity Calculation</t>
    <phoneticPr fontId="0" type="noConversion"/>
  </si>
  <si>
    <t>C20</t>
  </si>
  <si>
    <t>A21</t>
  </si>
  <si>
    <t>Deluge Valve</t>
    <phoneticPr fontId="0" type="noConversion"/>
  </si>
  <si>
    <t>B21</t>
  </si>
  <si>
    <t>FF Entity Caculation for Segment Design</t>
  </si>
  <si>
    <t>C21</t>
  </si>
  <si>
    <t>A22</t>
  </si>
  <si>
    <t>Other Tagged Valve</t>
    <phoneticPr fontId="0" type="noConversion"/>
  </si>
  <si>
    <t>B22</t>
  </si>
  <si>
    <t>Control System Architecture</t>
    <phoneticPr fontId="0" type="noConversion"/>
  </si>
  <si>
    <t>C22</t>
  </si>
  <si>
    <t>A23</t>
  </si>
  <si>
    <t>Tagged Instrument</t>
    <phoneticPr fontId="0" type="noConversion"/>
  </si>
  <si>
    <t>Electronic Instrument</t>
    <phoneticPr fontId="0" type="noConversion"/>
  </si>
  <si>
    <t>Flow Instrument</t>
    <phoneticPr fontId="0" type="noConversion"/>
  </si>
  <si>
    <t>B23</t>
  </si>
  <si>
    <t>C23</t>
  </si>
  <si>
    <t>A24</t>
  </si>
  <si>
    <t>Level Instrument</t>
    <phoneticPr fontId="0" type="noConversion"/>
  </si>
  <si>
    <t>B24</t>
  </si>
  <si>
    <t>Layout Drawings</t>
    <phoneticPr fontId="0" type="noConversion"/>
  </si>
  <si>
    <t>Instrument Key Plan for Layout Drawings</t>
    <phoneticPr fontId="0" type="noConversion"/>
  </si>
  <si>
    <t>C24</t>
  </si>
  <si>
    <t>A25</t>
  </si>
  <si>
    <t>Field Transmitter (PT, TT, DPT &amp; Indicator)</t>
    <phoneticPr fontId="0" type="noConversion"/>
  </si>
  <si>
    <t>B25</t>
  </si>
  <si>
    <t>최대 2장</t>
    <phoneticPr fontId="0" type="noConversion"/>
  </si>
  <si>
    <t>C25</t>
  </si>
  <si>
    <t>A26</t>
  </si>
  <si>
    <t>Load Cell Transmitter</t>
    <phoneticPr fontId="0" type="noConversion"/>
  </si>
  <si>
    <t>B26</t>
  </si>
  <si>
    <t>Instrument Location Plan</t>
    <phoneticPr fontId="0" type="noConversion"/>
  </si>
  <si>
    <t>C26</t>
  </si>
  <si>
    <t>자동생성</t>
    <phoneticPr fontId="0" type="noConversion"/>
  </si>
  <si>
    <t>Project 표준 난이도 적용</t>
    <phoneticPr fontId="0" type="noConversion"/>
  </si>
  <si>
    <t>A27</t>
  </si>
  <si>
    <t>Other Electronic Instrument</t>
    <phoneticPr fontId="0" type="noConversion"/>
  </si>
  <si>
    <t>B27</t>
  </si>
  <si>
    <t>C27</t>
  </si>
  <si>
    <t>Summary / List / Table 난이도</t>
    <phoneticPr fontId="0" type="noConversion"/>
  </si>
  <si>
    <t>Instrument Index</t>
    <phoneticPr fontId="0" type="noConversion"/>
  </si>
  <si>
    <t>1) SPI 적용-내부</t>
    <phoneticPr fontId="0" type="noConversion"/>
  </si>
  <si>
    <t>A28</t>
  </si>
  <si>
    <t>Non-Electronic Instrument</t>
    <phoneticPr fontId="0" type="noConversion"/>
  </si>
  <si>
    <t>Flow Element</t>
    <phoneticPr fontId="0" type="noConversion"/>
  </si>
  <si>
    <t>B28</t>
  </si>
  <si>
    <t>C28</t>
  </si>
  <si>
    <t>2) SPI 적용-외부</t>
    <phoneticPr fontId="0" type="noConversion"/>
  </si>
  <si>
    <t>A29</t>
  </si>
  <si>
    <t>Rotameter</t>
    <phoneticPr fontId="0" type="noConversion"/>
  </si>
  <si>
    <t>B29</t>
  </si>
  <si>
    <t>Instrument Wiring Layout</t>
    <phoneticPr fontId="0" type="noConversion"/>
  </si>
  <si>
    <t>C29</t>
  </si>
  <si>
    <t>3) SPI 미적용</t>
    <phoneticPr fontId="0" type="noConversion"/>
  </si>
  <si>
    <t>A30</t>
  </si>
  <si>
    <t>Level Gauge + Sight Glass</t>
    <phoneticPr fontId="0" type="noConversion"/>
  </si>
  <si>
    <t>B30</t>
  </si>
  <si>
    <t>F&amp;G Wiring Layout</t>
  </si>
  <si>
    <t>C30</t>
  </si>
  <si>
    <t>ICSS IO database (IODB)</t>
    <phoneticPr fontId="0" type="noConversion"/>
  </si>
  <si>
    <t>A31</t>
  </si>
  <si>
    <t>Local Gauge &amp; Element</t>
    <phoneticPr fontId="0" type="noConversion"/>
  </si>
  <si>
    <t>B31</t>
  </si>
  <si>
    <t>C31</t>
  </si>
  <si>
    <t>A32</t>
  </si>
  <si>
    <t>Other Non-Electronic Instrument</t>
    <phoneticPr fontId="0" type="noConversion"/>
  </si>
  <si>
    <t>B32</t>
  </si>
  <si>
    <t>Control Room / PIB Rack Room / Equipment &amp; Engineering room 수량</t>
    <phoneticPr fontId="0" type="noConversion"/>
  </si>
  <si>
    <t>C32</t>
  </si>
  <si>
    <t>A33</t>
  </si>
  <si>
    <t>F&amp;G Devices</t>
    <phoneticPr fontId="0" type="noConversion"/>
  </si>
  <si>
    <t>Gas Detector &amp; Alarm</t>
    <phoneticPr fontId="0" type="noConversion"/>
  </si>
  <si>
    <t>B33</t>
  </si>
  <si>
    <t>Control Room / PIB Equipment layout, Cable Tray Layout &amp; Earthing Layout</t>
    <phoneticPr fontId="0" type="noConversion"/>
  </si>
  <si>
    <t>C33</t>
  </si>
  <si>
    <t>A34</t>
  </si>
  <si>
    <t>Fire Detection Device</t>
    <phoneticPr fontId="0" type="noConversion"/>
  </si>
  <si>
    <t>B34</t>
  </si>
  <si>
    <t>Control Room / PIB Cable Tray Layout</t>
    <phoneticPr fontId="0" type="noConversion"/>
  </si>
  <si>
    <t>C34</t>
  </si>
  <si>
    <t>Calculation 난이도</t>
    <phoneticPr fontId="0" type="noConversion"/>
  </si>
  <si>
    <t>SPI 적용 / 미적용</t>
    <phoneticPr fontId="0" type="noConversion"/>
  </si>
  <si>
    <t>A35</t>
  </si>
  <si>
    <t>Other F&amp;G device</t>
    <phoneticPr fontId="0" type="noConversion"/>
  </si>
  <si>
    <t>B35</t>
  </si>
  <si>
    <t>C35</t>
  </si>
  <si>
    <t>A36</t>
  </si>
  <si>
    <t>Bulk Material</t>
    <phoneticPr fontId="0" type="noConversion"/>
  </si>
  <si>
    <t>Bulk Material (Total)</t>
    <phoneticPr fontId="0" type="noConversion"/>
  </si>
  <si>
    <t>B36</t>
  </si>
  <si>
    <t>Detail Drawings</t>
    <phoneticPr fontId="0" type="noConversion"/>
  </si>
  <si>
    <t xml:space="preserve">Process Hook-up drawings </t>
    <phoneticPr fontId="0" type="noConversion"/>
  </si>
  <si>
    <t>C36</t>
  </si>
  <si>
    <t>A37</t>
  </si>
  <si>
    <t>총 Cable 수량</t>
    <phoneticPr fontId="0" type="noConversion"/>
  </si>
  <si>
    <t>m</t>
    <phoneticPr fontId="0" type="noConversion"/>
  </si>
  <si>
    <t>B37</t>
  </si>
  <si>
    <t xml:space="preserve">Pneumatic Hook-up drawings </t>
    <phoneticPr fontId="0" type="noConversion"/>
  </si>
  <si>
    <t>C37</t>
  </si>
  <si>
    <t>Drawing 난이도</t>
    <phoneticPr fontId="0" type="noConversion"/>
  </si>
  <si>
    <t>Control System Configuration</t>
    <phoneticPr fontId="0" type="noConversion"/>
  </si>
  <si>
    <t>1) Remote Control Room이 다수이며, DCS/ESD/F&amp;G가 포함된 Integrated Configuration</t>
    <phoneticPr fontId="0" type="noConversion"/>
  </si>
  <si>
    <t>Draft only, design은 HEC Engineer가 수행</t>
    <phoneticPr fontId="0" type="noConversion"/>
  </si>
  <si>
    <t>A38</t>
  </si>
  <si>
    <t>Junction Box 수량</t>
    <phoneticPr fontId="0" type="noConversion"/>
  </si>
  <si>
    <t>HEC 직 구매분</t>
    <phoneticPr fontId="0" type="noConversion"/>
  </si>
  <si>
    <t>B38</t>
  </si>
  <si>
    <t>C38</t>
  </si>
  <si>
    <t>2) DCS/ESD/F&amp;G가 포함된 Integrated Configuration</t>
    <phoneticPr fontId="0" type="noConversion"/>
  </si>
  <si>
    <t>A39</t>
  </si>
  <si>
    <t>ST + ET Tracing 대상 계기수량</t>
    <phoneticPr fontId="0" type="noConversion"/>
  </si>
  <si>
    <t>B39</t>
  </si>
  <si>
    <t>C39</t>
  </si>
  <si>
    <t>3) 개별 System만 존재하는 Simple Configuration</t>
    <phoneticPr fontId="0" type="noConversion"/>
  </si>
  <si>
    <t>A40</t>
  </si>
  <si>
    <t>마일스톤 연계 미팅</t>
    <phoneticPr fontId="0" type="noConversion"/>
  </si>
  <si>
    <t>B40</t>
  </si>
  <si>
    <t>Level instrument가 설치되는 Vessel/Drum/Column수량 (for Level Sketch)</t>
    <phoneticPr fontId="0" type="noConversion"/>
  </si>
  <si>
    <t>C40</t>
  </si>
  <si>
    <t>A41</t>
  </si>
  <si>
    <t>Design Review (30%, 60%, 90%)</t>
    <phoneticPr fontId="0" type="noConversion"/>
  </si>
  <si>
    <t>B41</t>
  </si>
  <si>
    <t>C41</t>
  </si>
  <si>
    <t>A42</t>
  </si>
  <si>
    <t>Workshop</t>
    <phoneticPr fontId="0" type="noConversion"/>
  </si>
  <si>
    <t>Workshop (ITB, Package, VELL)</t>
    <phoneticPr fontId="0" type="noConversion"/>
  </si>
  <si>
    <t>B42</t>
  </si>
  <si>
    <t>C42</t>
  </si>
  <si>
    <t>Layout Drawings</t>
    <phoneticPr fontId="0" type="noConversion"/>
  </si>
  <si>
    <t>All LAYOUT DRAWINGS</t>
    <phoneticPr fontId="0" type="noConversion"/>
  </si>
  <si>
    <t>A43</t>
  </si>
  <si>
    <t>ITB Review / FEED Verification</t>
    <phoneticPr fontId="0" type="noConversion"/>
  </si>
  <si>
    <t>B43</t>
  </si>
  <si>
    <t>C43</t>
  </si>
  <si>
    <t>Process Hook-up drawings</t>
    <phoneticPr fontId="0" type="noConversion"/>
  </si>
  <si>
    <t>Yes</t>
  </si>
  <si>
    <t>미적용시, Project 표준 난이도 적용</t>
    <phoneticPr fontId="0" type="noConversion"/>
  </si>
  <si>
    <t>A44</t>
  </si>
  <si>
    <t>C&amp;I 설계 '발주처 협의' 참여 인원</t>
    <phoneticPr fontId="0" type="noConversion"/>
  </si>
  <si>
    <t>인원수: 외주-단종 시, 내부 HEC 인원</t>
    <phoneticPr fontId="0" type="noConversion"/>
  </si>
  <si>
    <t>B44</t>
  </si>
  <si>
    <t>MTO</t>
    <phoneticPr fontId="0" type="noConversion"/>
  </si>
  <si>
    <t>C44</t>
  </si>
  <si>
    <t>A45</t>
  </si>
  <si>
    <t>C&amp;I 설계 'Feed Verification' 참여 인원</t>
    <phoneticPr fontId="0" type="noConversion"/>
  </si>
  <si>
    <t>B45</t>
  </si>
  <si>
    <t>구매관련</t>
    <phoneticPr fontId="0" type="noConversion"/>
  </si>
  <si>
    <t>Inst. Data Sheets</t>
    <phoneticPr fontId="0" type="noConversion"/>
  </si>
  <si>
    <t>C45</t>
  </si>
  <si>
    <t>A46</t>
  </si>
  <si>
    <t>C&amp;I 설계 'Early Work' 참여 인원</t>
    <phoneticPr fontId="0" type="noConversion"/>
  </si>
  <si>
    <t>B46</t>
  </si>
  <si>
    <t>Tagged Valve</t>
    <phoneticPr fontId="0" type="noConversion"/>
  </si>
  <si>
    <t>C46</t>
  </si>
  <si>
    <t>A47</t>
  </si>
  <si>
    <t>Cold Eye Review</t>
    <phoneticPr fontId="0" type="noConversion"/>
  </si>
  <si>
    <t>C&amp;I 설계 'CER' 참여 인원</t>
    <phoneticPr fontId="0" type="noConversion"/>
  </si>
  <si>
    <t>B47</t>
  </si>
  <si>
    <t>C47</t>
  </si>
  <si>
    <t>A48</t>
  </si>
  <si>
    <t>3D Modeling &amp; IT Solution</t>
    <phoneticPr fontId="0" type="noConversion"/>
  </si>
  <si>
    <t>SPI Admin.</t>
    <phoneticPr fontId="0" type="noConversion"/>
  </si>
  <si>
    <t>B48</t>
  </si>
  <si>
    <t>MR / TBE / VD Review</t>
    <phoneticPr fontId="0" type="noConversion"/>
  </si>
  <si>
    <t>C48</t>
  </si>
  <si>
    <t>Logic Diagram</t>
    <phoneticPr fontId="0" type="noConversion"/>
  </si>
  <si>
    <t>A49</t>
  </si>
  <si>
    <t>SPI Publishing</t>
    <phoneticPr fontId="0" type="noConversion"/>
  </si>
  <si>
    <t>B49</t>
  </si>
  <si>
    <t>C49</t>
  </si>
  <si>
    <t>2) Vendor Drawing (CAD)를 HEC Drawing으로 변환 Only</t>
    <phoneticPr fontId="0" type="noConversion"/>
  </si>
  <si>
    <t>A50</t>
  </si>
  <si>
    <t>SPI Input for 3rd Party Instrument Data Sheet</t>
    <phoneticPr fontId="0" type="noConversion"/>
  </si>
  <si>
    <t>B50</t>
  </si>
  <si>
    <t>C50</t>
  </si>
  <si>
    <t>3D Modeling &amp; IT Solution 난이도</t>
    <phoneticPr fontId="0" type="noConversion"/>
  </si>
  <si>
    <t>SPI Admin</t>
    <phoneticPr fontId="0" type="noConversion"/>
  </si>
  <si>
    <t>SPI Admin. 역무 수행 / 미수행</t>
    <phoneticPr fontId="0" type="noConversion"/>
  </si>
  <si>
    <t>A51</t>
  </si>
  <si>
    <t>S3D Publishing</t>
    <phoneticPr fontId="0" type="noConversion"/>
  </si>
  <si>
    <t>B51</t>
  </si>
  <si>
    <t>C51</t>
  </si>
  <si>
    <t>SPI Publishing</t>
    <phoneticPr fontId="0" type="noConversion"/>
  </si>
  <si>
    <t>SPI Publish to SPF 적용 / 미적용</t>
    <phoneticPr fontId="0" type="noConversion"/>
  </si>
  <si>
    <t>A52</t>
  </si>
  <si>
    <t>3D Modeling 인력지원</t>
  </si>
  <si>
    <t>3D Modeling</t>
    <phoneticPr fontId="0" type="noConversion"/>
  </si>
  <si>
    <t>B52</t>
  </si>
  <si>
    <t>C52</t>
  </si>
  <si>
    <t>SPI Input for 3rd Party Inst. D/S</t>
    <phoneticPr fontId="0" type="noConversion"/>
  </si>
  <si>
    <t>A53</t>
  </si>
  <si>
    <t>Extension Work for 3D Modeling</t>
    <phoneticPr fontId="0" type="noConversion"/>
  </si>
  <si>
    <t>B53</t>
  </si>
  <si>
    <t>Instrument Check List 
&amp; Cable Block Diagram 
for Major 3rd Party System 공통</t>
    <phoneticPr fontId="0" type="noConversion"/>
  </si>
  <si>
    <t>Instrument Check List for Major 3rd Party System</t>
    <phoneticPr fontId="0" type="noConversion"/>
  </si>
  <si>
    <t>C53</t>
  </si>
  <si>
    <t>S3D Publishing</t>
    <phoneticPr fontId="0" type="noConversion"/>
  </si>
  <si>
    <t>S3D Publish to SPF 적용 / 미적용</t>
    <phoneticPr fontId="0" type="noConversion"/>
  </si>
  <si>
    <t>A54</t>
  </si>
  <si>
    <r>
      <rPr>
        <u/>
        <sz val="10"/>
        <rFont val="현대하모니 L"/>
        <family val="1"/>
        <charset val="129"/>
      </rPr>
      <t>Case1:</t>
    </r>
    <r>
      <rPr>
        <sz val="10"/>
        <rFont val="현대하모니 L"/>
        <family val="1"/>
        <charset val="129"/>
      </rPr>
      <t xml:space="preserve"> 설계 중 실시간 SPI 성과품 출도 (IFA / IFC)</t>
    </r>
  </si>
  <si>
    <t>B54</t>
  </si>
  <si>
    <t>Cable Block Diagram for Major 3rd Party System</t>
    <phoneticPr fontId="0" type="noConversion"/>
  </si>
  <si>
    <t>C54</t>
  </si>
  <si>
    <t>3D Modeling</t>
    <phoneticPr fontId="0" type="noConversion"/>
  </si>
  <si>
    <t>ICSS I/O수량 (MMS포함)에 따라 M/H 자동 적용</t>
    <phoneticPr fontId="0" type="noConversion"/>
  </si>
  <si>
    <t>A55</t>
  </si>
  <si>
    <r>
      <rPr>
        <u/>
        <sz val="10"/>
        <rFont val="현대하모니 L"/>
        <family val="1"/>
        <charset val="129"/>
      </rPr>
      <t>Case2:</t>
    </r>
    <r>
      <rPr>
        <sz val="10"/>
        <rFont val="현대하모니 L"/>
        <family val="1"/>
        <charset val="129"/>
      </rPr>
      <t xml:space="preserve"> 설계기간에는 Excel/CAD로 수행하고 As-Built 시에만  한번에 SPI로 DB 구축</t>
    </r>
  </si>
  <si>
    <t>B55</t>
  </si>
  <si>
    <t>1) Compressor</t>
    <phoneticPr fontId="0" type="noConversion"/>
  </si>
  <si>
    <t>C55</t>
  </si>
  <si>
    <t>Extension Work for 3D Modeling</t>
    <phoneticPr fontId="0" type="noConversion"/>
  </si>
  <si>
    <t>적용 / 미적용</t>
    <phoneticPr fontId="0" type="noConversion"/>
  </si>
  <si>
    <t>A56</t>
  </si>
  <si>
    <t>인력 지원</t>
    <phoneticPr fontId="0" type="noConversion"/>
  </si>
  <si>
    <t>인력지원 (초급)</t>
    <phoneticPr fontId="0" type="noConversion"/>
  </si>
  <si>
    <t>DELETED</t>
    <phoneticPr fontId="0" type="noConversion"/>
  </si>
  <si>
    <t>B56</t>
  </si>
  <si>
    <t>2) Boiler</t>
    <phoneticPr fontId="0" type="noConversion"/>
  </si>
  <si>
    <t>C56</t>
  </si>
  <si>
    <t>Case 1. 설계 중 실시간 SPI 성과품 출도 (IFA / IFC)</t>
    <phoneticPr fontId="0" type="noConversion"/>
  </si>
  <si>
    <t>인력지원 적용 / 미적용</t>
    <phoneticPr fontId="0" type="noConversion"/>
  </si>
  <si>
    <t>미적용시, ICSS I/O수량에 따라 난이도 적용</t>
    <phoneticPr fontId="0" type="noConversion"/>
  </si>
  <si>
    <t>A57</t>
  </si>
  <si>
    <t>인력지원 (중급)</t>
    <phoneticPr fontId="0" type="noConversion"/>
  </si>
  <si>
    <t>B57</t>
  </si>
  <si>
    <t>3) Metering</t>
    <phoneticPr fontId="0" type="noConversion"/>
  </si>
  <si>
    <t>C57</t>
  </si>
  <si>
    <t>Case 2. 설계기간에는 Excel/CAD로 수행하고 As-Built 시에만  한번에 SPI로 DB 구축</t>
    <phoneticPr fontId="0" type="noConversion"/>
  </si>
  <si>
    <t>A58</t>
  </si>
  <si>
    <t>인력지원 (고급)</t>
    <phoneticPr fontId="0" type="noConversion"/>
  </si>
  <si>
    <t>B58</t>
  </si>
  <si>
    <t>4) MMS</t>
    <phoneticPr fontId="0" type="noConversion"/>
  </si>
  <si>
    <t>C58</t>
  </si>
  <si>
    <t>외주 인력지원 (초급)</t>
    <phoneticPr fontId="0" type="noConversion"/>
  </si>
  <si>
    <t>외주 인력지원 (초급) M/M</t>
    <phoneticPr fontId="0" type="noConversion"/>
  </si>
  <si>
    <t>A59</t>
  </si>
  <si>
    <t>인력지원 (특급)</t>
    <phoneticPr fontId="0" type="noConversion"/>
  </si>
  <si>
    <t>B59</t>
  </si>
  <si>
    <t>5) Analyzer System</t>
    <phoneticPr fontId="0" type="noConversion"/>
  </si>
  <si>
    <t>C59</t>
  </si>
  <si>
    <t>외주 인력지원 (중급)</t>
    <phoneticPr fontId="0" type="noConversion"/>
  </si>
  <si>
    <t>외주 인력지원 (중급) M/M</t>
    <phoneticPr fontId="0" type="noConversion"/>
  </si>
  <si>
    <t>A60</t>
  </si>
  <si>
    <t>B60</t>
  </si>
  <si>
    <t>6) IRP (MCC)</t>
    <phoneticPr fontId="0" type="noConversion"/>
  </si>
  <si>
    <t>C60</t>
  </si>
  <si>
    <t>외주 인력지원 (고급)</t>
    <phoneticPr fontId="0" type="noConversion"/>
  </si>
  <si>
    <t>외주 인력지원 (고급) M/M</t>
    <phoneticPr fontId="0" type="noConversion"/>
  </si>
  <si>
    <t>A61</t>
  </si>
  <si>
    <t>B61</t>
  </si>
  <si>
    <t>7) FACP</t>
    <phoneticPr fontId="0" type="noConversion"/>
  </si>
  <si>
    <t>C61</t>
  </si>
  <si>
    <t>외주 인력지원 (특급)</t>
    <phoneticPr fontId="0" type="noConversion"/>
  </si>
  <si>
    <t>외주 인력지원 (특급) M/M</t>
    <phoneticPr fontId="0" type="noConversion"/>
  </si>
  <si>
    <t>A62</t>
  </si>
  <si>
    <t>B62</t>
  </si>
  <si>
    <t>8) Other Major 3rd Party System</t>
    <phoneticPr fontId="0" type="noConversion"/>
  </si>
  <si>
    <t>C62</t>
  </si>
  <si>
    <t>Instrument Data Sheets 난이도</t>
    <phoneticPr fontId="0" type="noConversion"/>
  </si>
  <si>
    <t>All Instruments</t>
    <phoneticPr fontId="0" type="noConversion"/>
  </si>
  <si>
    <t>A63</t>
  </si>
  <si>
    <t>B63</t>
  </si>
  <si>
    <t>Instrument Check List 
&amp; Cable Block Diagram 
for Minor 3rd Party System 공통</t>
    <phoneticPr fontId="0" type="noConversion"/>
  </si>
  <si>
    <t>C63</t>
  </si>
  <si>
    <t>A64</t>
  </si>
  <si>
    <t>B64</t>
  </si>
  <si>
    <t>Cable Block Diagram for 3rd Party System</t>
    <phoneticPr fontId="0" type="noConversion"/>
  </si>
  <si>
    <t>C64</t>
  </si>
  <si>
    <t>A65</t>
  </si>
  <si>
    <t>B65</t>
  </si>
  <si>
    <t>1) Pump</t>
    <phoneticPr fontId="0" type="noConversion"/>
  </si>
  <si>
    <t>C65</t>
  </si>
  <si>
    <t>FAT</t>
    <phoneticPr fontId="0" type="noConversion"/>
  </si>
  <si>
    <t>System FAT 출장 지원</t>
    <phoneticPr fontId="0" type="noConversion"/>
  </si>
  <si>
    <t xml:space="preserve"> - 상 : System I/O Q'ty : 20,000 pts 이상
 - 중 : System I/O Q'ty : 10,000 ~ 20,000 pts
 - 하 : System I/O Q'ty : 10,000 pts 미만</t>
    <phoneticPr fontId="0" type="noConversion"/>
  </si>
  <si>
    <t>A66</t>
  </si>
  <si>
    <t>B66</t>
  </si>
  <si>
    <t>2) Chemical Injection Package</t>
    <phoneticPr fontId="0" type="noConversion"/>
  </si>
  <si>
    <t>C66</t>
  </si>
  <si>
    <t>그 외 FAT 출장 지원</t>
    <phoneticPr fontId="0" type="noConversion"/>
  </si>
  <si>
    <t>Control system 외 FAT 참석 필요한 PO 수</t>
    <phoneticPr fontId="0" type="noConversion"/>
  </si>
  <si>
    <t>A67</t>
  </si>
  <si>
    <t>B67</t>
  </si>
  <si>
    <t>3) TGS</t>
    <phoneticPr fontId="0" type="noConversion"/>
  </si>
  <si>
    <t>C67</t>
  </si>
  <si>
    <t>AS-BUILT 난이도</t>
    <phoneticPr fontId="0" type="noConversion"/>
  </si>
  <si>
    <t>A68</t>
  </si>
  <si>
    <t>B68</t>
  </si>
  <si>
    <t>4) PAGA</t>
    <phoneticPr fontId="0" type="noConversion"/>
  </si>
  <si>
    <t>C68</t>
  </si>
  <si>
    <t>외주정보</t>
    <phoneticPr fontId="0" type="noConversion"/>
  </si>
  <si>
    <t>외주-GEC Capability</t>
    <phoneticPr fontId="0" type="noConversion"/>
  </si>
  <si>
    <t>외주-GEC 의 경우, HEC 대비 Capability</t>
    <phoneticPr fontId="0" type="noConversion"/>
  </si>
  <si>
    <t>HEC 의 내부 인력 대비 GEC 의 CAPABILITY
(입력 범위: 60~100%)</t>
    <phoneticPr fontId="0" type="noConversion"/>
  </si>
  <si>
    <t>A69</t>
  </si>
  <si>
    <t>B69</t>
  </si>
  <si>
    <t>5) ECMS</t>
    <phoneticPr fontId="0" type="noConversion"/>
  </si>
  <si>
    <t>C69</t>
  </si>
  <si>
    <t>외주-종합 Capability</t>
    <phoneticPr fontId="0" type="noConversion"/>
  </si>
  <si>
    <t>외주-종합 의 경우, HEC 대비 Capability</t>
    <phoneticPr fontId="0" type="noConversion"/>
  </si>
  <si>
    <t>HEC 의 내부 인력 대비 외주-종합 의 CAPABILITY
(입력 범위: 60~100%)</t>
    <phoneticPr fontId="0" type="noConversion"/>
  </si>
  <si>
    <t>A70</t>
  </si>
  <si>
    <t>B70</t>
  </si>
  <si>
    <t>6) HVAC</t>
    <phoneticPr fontId="0" type="noConversion"/>
  </si>
  <si>
    <t>C70</t>
  </si>
  <si>
    <t>M/H 산출 General</t>
    <phoneticPr fontId="0" type="noConversion"/>
  </si>
  <si>
    <t>Base M/H</t>
    <phoneticPr fontId="0" type="noConversion"/>
  </si>
  <si>
    <t>Base M/H (per 1M/M)</t>
    <phoneticPr fontId="0" type="noConversion"/>
  </si>
  <si>
    <t>PM팀에서 접수</t>
    <phoneticPr fontId="0" type="noConversion"/>
  </si>
  <si>
    <t>A71</t>
    <phoneticPr fontId="0" type="noConversion"/>
  </si>
  <si>
    <t>B71</t>
  </si>
  <si>
    <t>7) NOVAC</t>
    <phoneticPr fontId="0" type="noConversion"/>
  </si>
  <si>
    <t>C71</t>
  </si>
  <si>
    <t>설계기간</t>
    <phoneticPr fontId="0" type="noConversion"/>
  </si>
  <si>
    <t>총 설계기간 (개월)</t>
    <phoneticPr fontId="0" type="noConversion"/>
  </si>
  <si>
    <t>프로젝트 Schedule 확인</t>
    <phoneticPr fontId="0" type="noConversion"/>
  </si>
  <si>
    <t>A72</t>
  </si>
  <si>
    <t>B72</t>
  </si>
  <si>
    <t>8) Other 3rd Party System</t>
    <phoneticPr fontId="0" type="noConversion"/>
  </si>
  <si>
    <t>C72</t>
  </si>
  <si>
    <t>외주 적용단가</t>
    <phoneticPr fontId="0" type="noConversion"/>
  </si>
  <si>
    <t>외주-단종 적용단가 (원)</t>
    <phoneticPr fontId="0" type="noConversion"/>
  </si>
  <si>
    <t>A73</t>
  </si>
  <si>
    <t>B73</t>
  </si>
  <si>
    <t>FAT 지원</t>
    <phoneticPr fontId="0" type="noConversion"/>
  </si>
  <si>
    <t>Control System FAT 지원 (IFAT 포함)</t>
    <phoneticPr fontId="0" type="noConversion"/>
  </si>
  <si>
    <t>C73</t>
  </si>
  <si>
    <t>외주-종합 적용단가 (원)</t>
    <phoneticPr fontId="0" type="noConversion"/>
  </si>
  <si>
    <t>A74</t>
  </si>
  <si>
    <t>B74</t>
  </si>
  <si>
    <t>C74</t>
  </si>
  <si>
    <t>외주-GEC 적용단가 (원)</t>
    <phoneticPr fontId="0" type="noConversion"/>
  </si>
  <si>
    <t>A75</t>
  </si>
  <si>
    <t>B75</t>
  </si>
  <si>
    <t>시공관련</t>
    <phoneticPr fontId="0" type="noConversion"/>
  </si>
  <si>
    <t>As-built Drawing</t>
    <phoneticPr fontId="0" type="noConversion"/>
  </si>
  <si>
    <t>C75</t>
  </si>
  <si>
    <t>Study/Analysis 난이도</t>
    <phoneticPr fontId="0" type="noConversion"/>
  </si>
  <si>
    <t xml:space="preserve"> - 중 : 직접 Calculation을 수행 (직접수행)
 - 하 : 전문외주/Vendor 등을 통해 수행 (외부수행)</t>
    <phoneticPr fontId="0" type="noConversion"/>
  </si>
  <si>
    <t>직접수행</t>
  </si>
  <si>
    <t>미수행 시, 직접수행으로 선택하고 대상 수량을 0으로 입력</t>
    <phoneticPr fontId="0" type="noConversion"/>
  </si>
  <si>
    <t>A76</t>
  </si>
  <si>
    <t>B76</t>
  </si>
  <si>
    <t>GEC 관련</t>
    <phoneticPr fontId="0" type="noConversion"/>
  </si>
  <si>
    <t>GEC Coordination</t>
    <phoneticPr fontId="0" type="noConversion"/>
  </si>
  <si>
    <t>GEC 지원 및 Coordination</t>
    <phoneticPr fontId="0" type="noConversion"/>
  </si>
  <si>
    <t>Month</t>
    <phoneticPr fontId="0" type="noConversion"/>
  </si>
  <si>
    <t>GEC와 협의</t>
    <phoneticPr fontId="0" type="noConversion"/>
  </si>
  <si>
    <t>C76</t>
  </si>
  <si>
    <t>A77</t>
  </si>
  <si>
    <t>B77</t>
  </si>
  <si>
    <t>C77</t>
  </si>
  <si>
    <t>외부수행</t>
  </si>
  <si>
    <t>A78</t>
  </si>
  <si>
    <t>B78</t>
  </si>
  <si>
    <t>C78</t>
  </si>
  <si>
    <t>A79</t>
  </si>
  <si>
    <t>B79</t>
  </si>
  <si>
    <t>C79</t>
  </si>
  <si>
    <t>A80</t>
    <phoneticPr fontId="0" type="noConversion"/>
  </si>
  <si>
    <t>B80</t>
  </si>
  <si>
    <t>C80</t>
    <phoneticPr fontId="0" type="noConversion"/>
  </si>
  <si>
    <t>E4</t>
    <phoneticPr fontId="0" type="noConversion"/>
  </si>
  <si>
    <t>Total ICSS (DCS+ESD+F&amp;G)+MMS IO 수량</t>
    <phoneticPr fontId="0" type="noConversion"/>
  </si>
  <si>
    <t xml:space="preserve">Actual수량만 기입 </t>
    <phoneticPr fontId="0" type="noConversion"/>
  </si>
  <si>
    <t>E5</t>
  </si>
  <si>
    <t>Total F&amp;G 계기 수량</t>
    <phoneticPr fontId="0" type="noConversion"/>
  </si>
  <si>
    <t>Detectors and Alarms</t>
    <phoneticPr fontId="0" type="noConversion"/>
  </si>
  <si>
    <t>E6</t>
  </si>
  <si>
    <t>Total Electronic 계기 수량</t>
    <phoneticPr fontId="0" type="noConversion"/>
  </si>
  <si>
    <t>F&amp;G, CV, On-off, MOV 제외</t>
    <phoneticPr fontId="0" type="noConversion"/>
  </si>
  <si>
    <t>E7</t>
  </si>
  <si>
    <t>Total Non-Electronic 계기 수량</t>
    <phoneticPr fontId="0" type="noConversion"/>
  </si>
  <si>
    <t>PSV 제외</t>
    <phoneticPr fontId="0" type="noConversion"/>
  </si>
  <si>
    <t>E8</t>
  </si>
  <si>
    <t>Total Control Valve 수량</t>
    <phoneticPr fontId="0" type="noConversion"/>
  </si>
  <si>
    <t>E9</t>
  </si>
  <si>
    <t>Total On-off &amp; S/D Valve 수량</t>
    <phoneticPr fontId="0" type="noConversion"/>
  </si>
  <si>
    <t>Deluge Vavle 포함</t>
    <phoneticPr fontId="0" type="noConversion"/>
  </si>
  <si>
    <t>E10</t>
  </si>
  <si>
    <t>Total MOV 수량</t>
    <phoneticPr fontId="0" type="noConversion"/>
  </si>
  <si>
    <t>E11</t>
  </si>
  <si>
    <t>Total PSV 수량</t>
    <phoneticPr fontId="0" type="noConversion"/>
  </si>
  <si>
    <t xml:space="preserve">HEC 직 구매분만 </t>
    <phoneticPr fontId="0" type="noConversion"/>
  </si>
  <si>
    <t>3)</t>
  </si>
  <si>
    <t>E12</t>
  </si>
  <si>
    <t>Total Junction Boxes 수량</t>
    <phoneticPr fontId="0" type="noConversion"/>
  </si>
  <si>
    <t>E13</t>
    <phoneticPr fontId="0" type="noConversion"/>
  </si>
  <si>
    <t>Total ST + ET Tracing 계기수량</t>
    <phoneticPr fontId="0" type="noConversion"/>
  </si>
  <si>
    <t>Yes</t>
    <phoneticPr fontId="0" type="noConversion"/>
  </si>
  <si>
    <t>No</t>
    <phoneticPr fontId="0" type="noConversion"/>
  </si>
  <si>
    <t>직접수행</t>
    <phoneticPr fontId="0" type="noConversion"/>
  </si>
  <si>
    <t>외부수행</t>
    <phoneticPr fontId="0" type="noConversion"/>
  </si>
  <si>
    <t>C&amp;I설계 화공 실행사업 M/H 산출서 (Rev.3)</t>
    <phoneticPr fontId="0" type="noConversion"/>
  </si>
  <si>
    <t>OUTPUT1_내부-산출</t>
    <phoneticPr fontId="0" type="noConversion"/>
  </si>
  <si>
    <t>산출 Base Data Summary</t>
    <phoneticPr fontId="0" type="noConversion"/>
  </si>
  <si>
    <t>G4</t>
    <phoneticPr fontId="0" type="noConversion"/>
  </si>
  <si>
    <t>G5</t>
    <phoneticPr fontId="0" type="noConversion"/>
  </si>
  <si>
    <t>Unit M/H 난이도는 도면 별 특성이나 PJT 특성 (발주처 성향, PMC 개입여부, 승인 Level 및 절차 등) 및 Condition 등을 고려하여 결정 됨</t>
    <phoneticPr fontId="0" type="noConversion"/>
  </si>
  <si>
    <t>G6</t>
    <phoneticPr fontId="0" type="noConversion"/>
  </si>
  <si>
    <t>UT/OS등 Package위주이거나 모든 Package를 ICSS Control시는 PKG Cable에 관련된 도면과 SPI는 추가 M/H 반영</t>
    <phoneticPr fontId="0" type="noConversion"/>
  </si>
  <si>
    <t>G7</t>
  </si>
  <si>
    <t>PSV, Rupture Disk 제외</t>
    <phoneticPr fontId="0" type="noConversion"/>
  </si>
  <si>
    <t>Hook-up에서 Unit별로 중복도면 출도시는 장당 0.5 M/H를 적용</t>
    <phoneticPr fontId="0" type="noConversion"/>
  </si>
  <si>
    <t>G8</t>
  </si>
  <si>
    <t>SPI로 부분역무만 시행하면 전체 M/H에서 ( )에 적용된 %만큼만 적용한다 (난이도별 M/H 참조)</t>
    <phoneticPr fontId="0" type="noConversion"/>
  </si>
  <si>
    <t>G9</t>
  </si>
  <si>
    <t>SPI Calulation module등이 적용 될 시는 별도 추가 M/H 반영</t>
    <phoneticPr fontId="0" type="noConversion"/>
  </si>
  <si>
    <t>G10</t>
  </si>
  <si>
    <t>SPI Spec.에서 기계 Package UCP/LCP, Fire Alarm등 ICSS와는 관련없는 부분까지 반영 요구시 추가 M/H 반영</t>
    <phoneticPr fontId="0" type="noConversion"/>
  </si>
  <si>
    <t>G11</t>
  </si>
  <si>
    <t xml:space="preserve">Rupture Disk 포함, HEC 직 구매분만 </t>
    <phoneticPr fontId="0" type="noConversion"/>
  </si>
  <si>
    <t>G12</t>
  </si>
  <si>
    <t>G13</t>
  </si>
  <si>
    <t>G14</t>
    <phoneticPr fontId="0" type="noConversion"/>
  </si>
  <si>
    <t>Total Flow &amp; Level 계기 수량</t>
    <phoneticPr fontId="0" type="noConversion"/>
  </si>
  <si>
    <t>포함 수량 in G6 &amp; G7 (for 3D Library)</t>
    <phoneticPr fontId="0" type="noConversion"/>
  </si>
  <si>
    <t>FOR GEC</t>
    <phoneticPr fontId="0" type="noConversion"/>
  </si>
  <si>
    <t>Rev.3</t>
    <phoneticPr fontId="0" type="noConversion"/>
  </si>
  <si>
    <t>MAN-HOUR 산출 TABLE</t>
    <phoneticPr fontId="0" type="noConversion"/>
  </si>
  <si>
    <t>대분류
(G, E, P, C)</t>
    <phoneticPr fontId="0" type="noConversion"/>
  </si>
  <si>
    <t>중분류 (Activity)</t>
    <phoneticPr fontId="0" type="noConversion"/>
  </si>
  <si>
    <t>CATEGORY</t>
    <phoneticPr fontId="0" type="noConversion"/>
  </si>
  <si>
    <t>MH 산출 항목</t>
    <phoneticPr fontId="0" type="noConversion"/>
  </si>
  <si>
    <t>수량</t>
    <phoneticPr fontId="0" type="noConversion"/>
  </si>
  <si>
    <t>내부 M/H
(HEC M/H)</t>
    <phoneticPr fontId="0" type="noConversion"/>
  </si>
  <si>
    <t>GEC M/H</t>
    <phoneticPr fontId="0" type="noConversion"/>
  </si>
  <si>
    <t>GEC M/H 세부내역_내부
(내부 M/H 대체 부분)</t>
    <phoneticPr fontId="0" type="noConversion"/>
  </si>
  <si>
    <t>GEC M/H 세부내역_외부
(외부 M/H 대체 부분)</t>
    <phoneticPr fontId="0" type="noConversion"/>
  </si>
  <si>
    <t>외부 M/H</t>
    <phoneticPr fontId="0" type="noConversion"/>
  </si>
  <si>
    <t>Total M/H</t>
    <phoneticPr fontId="0" type="noConversion"/>
  </si>
  <si>
    <t>Remarks</t>
    <phoneticPr fontId="0" type="noConversion"/>
  </si>
  <si>
    <t>Case1</t>
    <phoneticPr fontId="0" type="noConversion"/>
  </si>
  <si>
    <t>Case2</t>
    <phoneticPr fontId="0" type="noConversion"/>
  </si>
  <si>
    <t>Case3</t>
    <phoneticPr fontId="0" type="noConversion"/>
  </si>
  <si>
    <t>Case2 &amp; Case3</t>
    <phoneticPr fontId="0" type="noConversion"/>
  </si>
  <si>
    <t>외주-단종 Case</t>
    <phoneticPr fontId="0" type="noConversion"/>
  </si>
  <si>
    <t>'GEC &amp; 외주-단종' Case</t>
    <phoneticPr fontId="0" type="noConversion"/>
  </si>
  <si>
    <t>'GEC &amp; 외주-종합' Case</t>
    <phoneticPr fontId="0" type="noConversion"/>
  </si>
  <si>
    <t>'GEC &amp; 외주-단종' Case / 'GEC &amp; 외주-종합' Case</t>
    <phoneticPr fontId="0" type="noConversion"/>
  </si>
  <si>
    <t>외주-단종 Case
(외주-단종)</t>
    <phoneticPr fontId="0" type="noConversion"/>
  </si>
  <si>
    <t>'GEC &amp; 외주-단종' Case
(외주-단종)</t>
    <phoneticPr fontId="0" type="noConversion"/>
  </si>
  <si>
    <t>'GEC &amp; 외주-종합' Case
(외주-종합)</t>
    <phoneticPr fontId="0" type="noConversion"/>
  </si>
  <si>
    <t>외주-단종
Case</t>
  </si>
  <si>
    <t>GEC &amp; 외주-단종 Case</t>
    <phoneticPr fontId="0" type="noConversion"/>
  </si>
  <si>
    <t>GEC &amp; 외주-종합 Case</t>
    <phoneticPr fontId="0" type="noConversion"/>
  </si>
  <si>
    <t>Unit M/H</t>
    <phoneticPr fontId="0" type="noConversion"/>
  </si>
  <si>
    <t>G (General)</t>
    <phoneticPr fontId="0" type="noConversion"/>
  </si>
  <si>
    <t>G1</t>
    <phoneticPr fontId="0" type="noConversion"/>
  </si>
  <si>
    <t>ITB Review / FEED Verifi. / CER</t>
    <phoneticPr fontId="0" type="noConversion"/>
  </si>
  <si>
    <t>G2</t>
    <phoneticPr fontId="0" type="noConversion"/>
  </si>
  <si>
    <t>5)</t>
    <phoneticPr fontId="0" type="noConversion"/>
  </si>
  <si>
    <t>Cold Eye Review (Project Team)</t>
    <phoneticPr fontId="0" type="noConversion"/>
  </si>
  <si>
    <t>Subtotal (G)</t>
    <phoneticPr fontId="0" type="noConversion"/>
  </si>
  <si>
    <t>E (설계관련)</t>
    <phoneticPr fontId="0" type="noConversion"/>
  </si>
  <si>
    <t>Design Basis / Specification</t>
  </si>
  <si>
    <t>E1</t>
    <phoneticPr fontId="0" type="noConversion"/>
  </si>
  <si>
    <t>- Packaged Instrument</t>
    <phoneticPr fontId="0" type="noConversion"/>
  </si>
  <si>
    <t>Summary / List / Table</t>
  </si>
  <si>
    <t>E2</t>
  </si>
  <si>
    <t>*SPI</t>
    <phoneticPr fontId="0" type="noConversion"/>
  </si>
  <si>
    <t>UPS / Normal Power Load List</t>
  </si>
  <si>
    <t>Heat Dissipation List</t>
  </si>
  <si>
    <t>6)</t>
    <phoneticPr fontId="0" type="noConversion"/>
  </si>
  <si>
    <t>Electrical / Steam Tracing List</t>
  </si>
  <si>
    <t>7)</t>
    <phoneticPr fontId="0" type="noConversion"/>
  </si>
  <si>
    <t>8)</t>
    <phoneticPr fontId="0" type="noConversion"/>
  </si>
  <si>
    <t>9)</t>
    <phoneticPr fontId="0" type="noConversion"/>
  </si>
  <si>
    <t>타부서 Information_Others</t>
    <phoneticPr fontId="0" type="noConversion"/>
  </si>
  <si>
    <t>E3</t>
    <phoneticPr fontId="0" type="noConversion"/>
  </si>
  <si>
    <t>Wake Frequency Calculation for Thermowell</t>
    <phoneticPr fontId="0" type="noConversion"/>
  </si>
  <si>
    <t>Study / Analysis</t>
  </si>
  <si>
    <t>Drawing</t>
    <phoneticPr fontId="0" type="noConversion"/>
  </si>
  <si>
    <t>E5</t>
    <phoneticPr fontId="0" type="noConversion"/>
  </si>
  <si>
    <t>Instrument Air Piping Layout</t>
  </si>
  <si>
    <t>Control Room / PIB Equipment layout</t>
    <phoneticPr fontId="0" type="noConversion"/>
  </si>
  <si>
    <t>일부 Project에서는 200장을 넘긴 경우도 있음</t>
    <phoneticPr fontId="0" type="noConversion"/>
  </si>
  <si>
    <t>Instrument JB &amp; Connection Diagram</t>
  </si>
  <si>
    <t>Instrument Loop Diagram</t>
  </si>
  <si>
    <t>21)</t>
    <phoneticPr fontId="0" type="noConversion"/>
  </si>
  <si>
    <t>E6</t>
    <phoneticPr fontId="0" type="noConversion"/>
  </si>
  <si>
    <t>BM take-off</t>
  </si>
  <si>
    <t xml:space="preserve">도면매수
산정 Guide 참조 </t>
    <phoneticPr fontId="0" type="noConversion"/>
  </si>
  <si>
    <t>3D Modeling &amp; IT Solution</t>
  </si>
  <si>
    <t>E7</t>
    <phoneticPr fontId="0" type="noConversion"/>
  </si>
  <si>
    <t>1)</t>
    <phoneticPr fontId="7" type="noConversion"/>
  </si>
  <si>
    <t>SPI Admin.</t>
    <phoneticPr fontId="0" type="noConversion"/>
  </si>
  <si>
    <t>2)</t>
    <phoneticPr fontId="7" type="noConversion"/>
  </si>
  <si>
    <t>SPI Input for Instrument Data Sheet (in 3rd party system)</t>
    <phoneticPr fontId="0" type="noConversion"/>
  </si>
  <si>
    <t>Ea</t>
  </si>
  <si>
    <t>3D Modeling 인력지원</t>
    <phoneticPr fontId="0" type="noConversion"/>
  </si>
  <si>
    <t>SPI 인력지원</t>
    <phoneticPr fontId="0" type="noConversion"/>
  </si>
  <si>
    <r>
      <rPr>
        <b/>
        <u/>
        <sz val="10"/>
        <rFont val="현대하모니 L"/>
        <family val="1"/>
        <charset val="129"/>
      </rPr>
      <t>Case 1</t>
    </r>
    <r>
      <rPr>
        <sz val="10"/>
        <rFont val="현대하모니 L"/>
        <family val="1"/>
        <charset val="129"/>
      </rPr>
      <t xml:space="preserve">
설계 중 실시간 SPI 성과품 출도 (IFA / IFC)</t>
    </r>
  </si>
  <si>
    <r>
      <rPr>
        <b/>
        <u/>
        <sz val="10"/>
        <rFont val="현대하모니 L"/>
        <family val="1"/>
        <charset val="129"/>
      </rPr>
      <t>Case2</t>
    </r>
    <r>
      <rPr>
        <sz val="10"/>
        <rFont val="현대하모니 L"/>
        <family val="1"/>
        <charset val="129"/>
      </rPr>
      <t xml:space="preserve">
설계기간에는 Excel/CAD로 수행하고 As-Built 시에만  한번에 SPI로 DB 구축</t>
    </r>
  </si>
  <si>
    <t>인력 지원</t>
    <phoneticPr fontId="0" type="noConversion"/>
  </si>
  <si>
    <t>인력지원 (초급)</t>
  </si>
  <si>
    <t>인력지원 (중급)</t>
  </si>
  <si>
    <t>인력지원 (고급)</t>
  </si>
  <si>
    <t>인력지원 (특급)</t>
  </si>
  <si>
    <t>E8</t>
    <phoneticPr fontId="0" type="noConversion"/>
  </si>
  <si>
    <t>GEC 지원 및 Coordination</t>
    <phoneticPr fontId="0" type="noConversion"/>
  </si>
  <si>
    <t>GEC 적용 시 추가 역무</t>
    <phoneticPr fontId="0" type="noConversion"/>
  </si>
  <si>
    <t>Subtotal (E)</t>
    <phoneticPr fontId="0" type="noConversion"/>
  </si>
  <si>
    <t>P (구매관련)</t>
    <phoneticPr fontId="0" type="noConversion"/>
  </si>
  <si>
    <t>Datasheet</t>
  </si>
  <si>
    <t>P1</t>
    <phoneticPr fontId="0" type="noConversion"/>
  </si>
  <si>
    <t>P2</t>
    <phoneticPr fontId="0" type="noConversion"/>
  </si>
  <si>
    <t xml:space="preserve">도면매수 
산정 Guide 참조 </t>
    <phoneticPr fontId="0" type="noConversion"/>
  </si>
  <si>
    <t>P3</t>
    <phoneticPr fontId="0" type="noConversion"/>
  </si>
  <si>
    <t>P4</t>
    <phoneticPr fontId="0" type="noConversion"/>
  </si>
  <si>
    <t>P5</t>
    <phoneticPr fontId="0" type="noConversion"/>
  </si>
  <si>
    <t>Control system FAT 지원 (IFAT 포함)</t>
  </si>
  <si>
    <t>그 외 FAT 지원</t>
  </si>
  <si>
    <t>EA</t>
    <phoneticPr fontId="0" type="noConversion"/>
  </si>
  <si>
    <t>Subtotal (P)</t>
    <phoneticPr fontId="0" type="noConversion"/>
  </si>
  <si>
    <t>C (시공관련)</t>
  </si>
  <si>
    <t>As Built Drawing</t>
  </si>
  <si>
    <t>C1</t>
  </si>
  <si>
    <t>4%~5%</t>
    <phoneticPr fontId="0" type="noConversion"/>
  </si>
  <si>
    <t xml:space="preserve"> </t>
    <phoneticPr fontId="0" type="noConversion"/>
  </si>
  <si>
    <t>Subtotal (C)</t>
    <phoneticPr fontId="0" type="noConversion"/>
  </si>
  <si>
    <t>Descoping MH_내부</t>
    <phoneticPr fontId="0" type="noConversion"/>
  </si>
  <si>
    <t>Performance Index_내부</t>
    <phoneticPr fontId="0" type="noConversion"/>
  </si>
  <si>
    <t>Descoping MH_외부</t>
    <phoneticPr fontId="0" type="noConversion"/>
  </si>
  <si>
    <t>Performance Index_외부</t>
    <phoneticPr fontId="0" type="noConversion"/>
  </si>
  <si>
    <t>내부
(외주-단종)</t>
    <phoneticPr fontId="0" type="noConversion"/>
  </si>
  <si>
    <t>내부
(GEC/외주-단종)</t>
    <phoneticPr fontId="0" type="noConversion"/>
  </si>
  <si>
    <t>내부
(GEC/외주-종합)</t>
    <phoneticPr fontId="0" type="noConversion"/>
  </si>
  <si>
    <t>GEC
(GEC/외주-단종)
(GEC/외주-종합)</t>
    <phoneticPr fontId="0" type="noConversion"/>
  </si>
  <si>
    <t>외부:외주-단종
(외주-단종)</t>
    <phoneticPr fontId="0" type="noConversion"/>
  </si>
  <si>
    <t>외부:외주-단종
(GEC/외주-단종)</t>
    <phoneticPr fontId="0" type="noConversion"/>
  </si>
  <si>
    <t>외부:외주-종합
(GEC/외주-종합)</t>
    <phoneticPr fontId="0" type="noConversion"/>
  </si>
  <si>
    <t>TOTAL
(외주-단종)</t>
    <phoneticPr fontId="0" type="noConversion"/>
  </si>
  <si>
    <t>TOTAL
(GEC/외주-단종)</t>
    <phoneticPr fontId="0" type="noConversion"/>
  </si>
  <si>
    <t>TOTAL 
(GEC/외주-종합)</t>
    <phoneticPr fontId="0" type="noConversion"/>
  </si>
  <si>
    <t>TOTAL</t>
    <phoneticPr fontId="0" type="noConversion"/>
  </si>
  <si>
    <t>Base M/H (1 M/M) =</t>
    <phoneticPr fontId="0" type="noConversion"/>
  </si>
  <si>
    <r>
      <rPr>
        <b/>
        <sz val="10"/>
        <rFont val="현대하모니 L"/>
        <family val="1"/>
        <charset val="129"/>
      </rPr>
      <t>합계 (M/H)</t>
    </r>
    <r>
      <rPr>
        <sz val="10"/>
        <rFont val="현대하모니 L"/>
        <family val="1"/>
        <charset val="129"/>
      </rPr>
      <t xml:space="preserve"> =</t>
    </r>
  </si>
  <si>
    <t>설계기간 =</t>
    <phoneticPr fontId="0" type="noConversion"/>
  </si>
  <si>
    <t>개월</t>
    <phoneticPr fontId="0" type="noConversion"/>
  </si>
  <si>
    <r>
      <rPr>
        <b/>
        <sz val="10"/>
        <rFont val="현대하모니 L"/>
        <family val="1"/>
        <charset val="129"/>
      </rPr>
      <t>합계 (M/M)</t>
    </r>
    <r>
      <rPr>
        <sz val="10"/>
        <rFont val="현대하모니 L"/>
        <family val="1"/>
        <charset val="129"/>
      </rPr>
      <t xml:space="preserve"> = </t>
    </r>
  </si>
  <si>
    <t>외주-단종 적용단가  =</t>
    <phoneticPr fontId="0" type="noConversion"/>
  </si>
  <si>
    <t>원</t>
    <phoneticPr fontId="0" type="noConversion"/>
  </si>
  <si>
    <r>
      <rPr>
        <b/>
        <sz val="10"/>
        <rFont val="현대하모니 L"/>
        <family val="1"/>
        <charset val="129"/>
      </rPr>
      <t>평균 투입 인원수 (명/M)</t>
    </r>
    <r>
      <rPr>
        <sz val="10"/>
        <rFont val="현대하모니 L"/>
        <family val="1"/>
        <charset val="129"/>
      </rPr>
      <t xml:space="preserve"> =</t>
    </r>
  </si>
  <si>
    <t>명/Month</t>
    <phoneticPr fontId="0" type="noConversion"/>
  </si>
  <si>
    <t>외주-종합 적용단가  =</t>
    <phoneticPr fontId="0" type="noConversion"/>
  </si>
  <si>
    <t>GEC 예가 (Case2 &amp; Case3)</t>
    <phoneticPr fontId="0" type="noConversion"/>
  </si>
  <si>
    <t>외주-단종 예가 (Case1)</t>
    <phoneticPr fontId="0" type="noConversion"/>
  </si>
  <si>
    <t>외주-단종 예가 (Case2)</t>
    <phoneticPr fontId="0" type="noConversion"/>
  </si>
  <si>
    <t>외주-종합 예가 (Case3)</t>
    <phoneticPr fontId="0" type="noConversion"/>
  </si>
  <si>
    <t>GEC 적용단가  =</t>
    <phoneticPr fontId="0" type="noConversion"/>
  </si>
  <si>
    <r>
      <rPr>
        <b/>
        <sz val="10"/>
        <rFont val="현대하모니 L"/>
        <family val="1"/>
        <charset val="129"/>
      </rPr>
      <t>외주비용 예가</t>
    </r>
    <r>
      <rPr>
        <sz val="10"/>
        <rFont val="현대하모니 L"/>
        <family val="1"/>
        <charset val="129"/>
      </rPr>
      <t xml:space="preserve"> =</t>
    </r>
  </si>
  <si>
    <t>설계소요 M/H 내역 (C&amp;I) - 실행</t>
    <phoneticPr fontId="0" type="noConversion"/>
  </si>
  <si>
    <t>OUTPUT2-1_외부-보고: 외주-단종</t>
    <phoneticPr fontId="0" type="noConversion"/>
  </si>
  <si>
    <t>REV.3</t>
    <phoneticPr fontId="0" type="noConversion"/>
  </si>
  <si>
    <t>구    분</t>
    <phoneticPr fontId="0" type="noConversion"/>
  </si>
  <si>
    <t>Activity</t>
    <phoneticPr fontId="0" type="noConversion"/>
  </si>
  <si>
    <t>Size</t>
    <phoneticPr fontId="0" type="noConversion"/>
  </si>
  <si>
    <t>내  부</t>
  </si>
  <si>
    <t>외  주 - 단  종</t>
    <phoneticPr fontId="0" type="noConversion"/>
  </si>
  <si>
    <t>비 고</t>
  </si>
  <si>
    <t>No.</t>
    <phoneticPr fontId="0" type="noConversion"/>
  </si>
  <si>
    <t>Quantity</t>
    <phoneticPr fontId="0" type="noConversion"/>
  </si>
  <si>
    <t>M/H</t>
  </si>
  <si>
    <t>G</t>
    <phoneticPr fontId="0" type="noConversion"/>
  </si>
  <si>
    <t>GENERAL</t>
    <phoneticPr fontId="0" type="noConversion"/>
  </si>
  <si>
    <t>Meeting &amp; Coordination</t>
  </si>
  <si>
    <t>Lot</t>
    <phoneticPr fontId="0" type="noConversion"/>
  </si>
  <si>
    <t>ITB Review &amp; Interface work.</t>
    <phoneticPr fontId="0" type="noConversion"/>
  </si>
  <si>
    <t>명</t>
    <phoneticPr fontId="0" type="noConversion"/>
  </si>
  <si>
    <t>Feed Verification</t>
  </si>
  <si>
    <t>Early Work</t>
  </si>
  <si>
    <t>SUB-TOTAL (G. GENERAL M/H)</t>
    <phoneticPr fontId="0" type="noConversion"/>
  </si>
  <si>
    <t>E</t>
    <phoneticPr fontId="0" type="noConversion"/>
  </si>
  <si>
    <t>설계 관련</t>
    <phoneticPr fontId="0" type="noConversion"/>
  </si>
  <si>
    <t>Design Basis / Specification</t>
    <phoneticPr fontId="0" type="noConversion"/>
  </si>
  <si>
    <t>Technical Specification</t>
    <phoneticPr fontId="0" type="noConversion"/>
  </si>
  <si>
    <t>Set</t>
    <phoneticPr fontId="0" type="noConversion"/>
  </si>
  <si>
    <t>Summary / List / Table</t>
    <phoneticPr fontId="0" type="noConversion"/>
  </si>
  <si>
    <t>Ea</t>
    <phoneticPr fontId="0" type="noConversion"/>
  </si>
  <si>
    <t>ICSS IO database (IODB)</t>
  </si>
  <si>
    <t>Point</t>
    <phoneticPr fontId="0" type="noConversion"/>
  </si>
  <si>
    <t>Instrument Cable Schedule</t>
  </si>
  <si>
    <t>A4</t>
    <phoneticPr fontId="0" type="noConversion"/>
  </si>
  <si>
    <t>타부서 Information_Others</t>
    <phoneticPr fontId="0" type="noConversion"/>
  </si>
  <si>
    <t>Calculation</t>
    <phoneticPr fontId="0" type="noConversion"/>
  </si>
  <si>
    <t>Weak Frequency Calculation for Thermowell</t>
  </si>
  <si>
    <t>Study / Analysis</t>
    <phoneticPr fontId="0" type="noConversion"/>
  </si>
  <si>
    <t>Drawing</t>
    <phoneticPr fontId="0" type="noConversion"/>
  </si>
  <si>
    <t>Control System Configuration</t>
    <phoneticPr fontId="0" type="noConversion"/>
  </si>
  <si>
    <t>A3</t>
    <phoneticPr fontId="0" type="noConversion"/>
  </si>
  <si>
    <t>Instrument Earthing Philosophy</t>
    <phoneticPr fontId="0" type="noConversion"/>
  </si>
  <si>
    <t>A1</t>
    <phoneticPr fontId="0" type="noConversion"/>
  </si>
  <si>
    <t>Symbol &amp; Legends for Inst. Layout Drawings</t>
  </si>
  <si>
    <t>Main Cable Routing layout</t>
  </si>
  <si>
    <t>Cable (Duct) Tray Layout</t>
  </si>
  <si>
    <t>Instrument Wiring Layout</t>
  </si>
  <si>
    <t>Control Room / PIB Earthing Layout</t>
  </si>
  <si>
    <t xml:space="preserve">Process Hook-up drawings </t>
  </si>
  <si>
    <t xml:space="preserve">Steam and/or Electric Tracing Hook-up drawings </t>
  </si>
  <si>
    <t>Typical Installation Detail Drawings</t>
  </si>
  <si>
    <t>Level Sketch Drawings</t>
  </si>
  <si>
    <t>MTO</t>
    <phoneticPr fontId="0" type="noConversion"/>
  </si>
  <si>
    <t>3D Modeling &amp; IT Solution</t>
    <phoneticPr fontId="0" type="noConversion"/>
  </si>
  <si>
    <t>SPI Admin. &amp; SPF</t>
    <phoneticPr fontId="0" type="noConversion"/>
  </si>
  <si>
    <t>7.1.1</t>
    <phoneticPr fontId="0" type="noConversion"/>
  </si>
  <si>
    <t>SPI Admin.</t>
    <phoneticPr fontId="0" type="noConversion"/>
  </si>
  <si>
    <t>7.1.2</t>
  </si>
  <si>
    <t>SPI Publishing</t>
    <phoneticPr fontId="0" type="noConversion"/>
  </si>
  <si>
    <t>7.1.3</t>
  </si>
  <si>
    <t>SPI Input for Instrument Data Sheets (in 3rd party system)</t>
    <phoneticPr fontId="0" type="noConversion"/>
  </si>
  <si>
    <t>7.1.4</t>
  </si>
  <si>
    <t>3D Modelling 인력지원</t>
    <phoneticPr fontId="0" type="noConversion"/>
  </si>
  <si>
    <t>7.2.1</t>
    <phoneticPr fontId="0" type="noConversion"/>
  </si>
  <si>
    <t>3D Modelling</t>
    <phoneticPr fontId="0" type="noConversion"/>
  </si>
  <si>
    <t>7.2.2</t>
    <phoneticPr fontId="0" type="noConversion"/>
  </si>
  <si>
    <t>SPI 인력지원</t>
    <phoneticPr fontId="0" type="noConversion"/>
  </si>
  <si>
    <t>Month</t>
    <phoneticPr fontId="0" type="noConversion"/>
  </si>
  <si>
    <t>SUB-TOTAL (E. 설계관련 M/H)</t>
    <phoneticPr fontId="0" type="noConversion"/>
  </si>
  <si>
    <t>P</t>
    <phoneticPr fontId="0" type="noConversion"/>
  </si>
  <si>
    <t>구매 관련</t>
    <phoneticPr fontId="0" type="noConversion"/>
  </si>
  <si>
    <t>Datasheet</t>
    <phoneticPr fontId="0" type="noConversion"/>
  </si>
  <si>
    <t>Instrument Data Sheet</t>
    <phoneticPr fontId="0" type="noConversion"/>
  </si>
  <si>
    <t>- Tagged Valves</t>
    <phoneticPr fontId="0" type="noConversion"/>
  </si>
  <si>
    <t>- Tagged Instruments</t>
    <phoneticPr fontId="0" type="noConversion"/>
  </si>
  <si>
    <t>MR</t>
    <phoneticPr fontId="0" type="noConversion"/>
  </si>
  <si>
    <t>TBE</t>
    <phoneticPr fontId="0" type="noConversion"/>
  </si>
  <si>
    <t>- Major 3rd Party System</t>
  </si>
  <si>
    <t>- 3rd Party System</t>
  </si>
  <si>
    <t>VD Review</t>
    <phoneticPr fontId="0" type="noConversion"/>
  </si>
  <si>
    <t>3rd Party System Cable Block Diagram</t>
    <phoneticPr fontId="0" type="noConversion"/>
  </si>
  <si>
    <t>FAT</t>
    <phoneticPr fontId="0" type="noConversion"/>
  </si>
  <si>
    <t>Control system FAT 출장 지원</t>
    <phoneticPr fontId="0" type="noConversion"/>
  </si>
  <si>
    <t>SUB-TOTAL (P. 구매관련 M/H)</t>
    <phoneticPr fontId="0" type="noConversion"/>
  </si>
  <si>
    <t>C</t>
    <phoneticPr fontId="0" type="noConversion"/>
  </si>
  <si>
    <t>시공관련</t>
    <phoneticPr fontId="0" type="noConversion"/>
  </si>
  <si>
    <t>As Built Drawing</t>
    <phoneticPr fontId="0" type="noConversion"/>
  </si>
  <si>
    <t>As-Built</t>
    <phoneticPr fontId="0" type="noConversion"/>
  </si>
  <si>
    <t>SUB-TOTAL (C. 시공관련 M/H)</t>
    <phoneticPr fontId="0" type="noConversion"/>
  </si>
  <si>
    <t>GRAND TOTAL (C&amp;I설계 합계)</t>
    <phoneticPr fontId="0" type="noConversion"/>
  </si>
  <si>
    <t>Note :</t>
    <phoneticPr fontId="0" type="noConversion"/>
  </si>
  <si>
    <t xml:space="preserve">     1. Field Enginering Service : 별도</t>
    <phoneticPr fontId="0" type="noConversion"/>
  </si>
  <si>
    <t>Base M/H :</t>
    <phoneticPr fontId="0" type="noConversion"/>
  </si>
  <si>
    <t>내부 Total M/M :</t>
    <phoneticPr fontId="0" type="noConversion"/>
  </si>
  <si>
    <t>외주 Total M/M :</t>
    <phoneticPr fontId="0" type="noConversion"/>
  </si>
  <si>
    <t>설계기간 :</t>
    <phoneticPr fontId="0" type="noConversion"/>
  </si>
  <si>
    <t>M</t>
    <phoneticPr fontId="0" type="noConversion"/>
  </si>
  <si>
    <t>외주 적용단가 :</t>
    <phoneticPr fontId="0" type="noConversion"/>
  </si>
  <si>
    <t>평균 투입인원 :</t>
    <phoneticPr fontId="0" type="noConversion"/>
  </si>
  <si>
    <t>외주비용 예가 :</t>
    <phoneticPr fontId="0" type="noConversion"/>
  </si>
  <si>
    <t>*타부서 Man-Hour 비교</t>
    <phoneticPr fontId="0" type="noConversion"/>
  </si>
  <si>
    <t>부서</t>
    <phoneticPr fontId="0" type="noConversion"/>
  </si>
  <si>
    <t>내부</t>
    <phoneticPr fontId="0" type="noConversion"/>
  </si>
  <si>
    <t>외부</t>
    <phoneticPr fontId="0" type="noConversion"/>
  </si>
  <si>
    <t>계장</t>
    <phoneticPr fontId="0" type="noConversion"/>
  </si>
  <si>
    <t>전기</t>
    <phoneticPr fontId="0" type="noConversion"/>
  </si>
  <si>
    <t>배관</t>
    <phoneticPr fontId="0" type="noConversion"/>
  </si>
  <si>
    <t>MS</t>
    <phoneticPr fontId="0" type="noConversion"/>
  </si>
  <si>
    <t>PR</t>
    <phoneticPr fontId="0" type="noConversion"/>
  </si>
  <si>
    <t>CV</t>
    <phoneticPr fontId="0" type="noConversion"/>
  </si>
  <si>
    <t>OUTPUT2-2_외부-보고: GEC + 외주-단종</t>
    <phoneticPr fontId="0" type="noConversion"/>
  </si>
  <si>
    <t>G E C</t>
    <phoneticPr fontId="0" type="noConversion"/>
  </si>
  <si>
    <t>외 주 - 단 종</t>
    <phoneticPr fontId="0" type="noConversion"/>
  </si>
  <si>
    <t>Cv (Valve Coefficient) Calculation for Sizing</t>
  </si>
  <si>
    <t>SPI 인력지원 (초급)</t>
    <phoneticPr fontId="0" type="noConversion"/>
  </si>
  <si>
    <t>GEC Coordination</t>
    <phoneticPr fontId="0" type="noConversion"/>
  </si>
  <si>
    <t>GEC 지원 &amp; Coordination</t>
    <phoneticPr fontId="0" type="noConversion"/>
  </si>
  <si>
    <t>GEC Total M/M :</t>
    <phoneticPr fontId="0" type="noConversion"/>
  </si>
  <si>
    <t>GEC 적용단가 :</t>
    <phoneticPr fontId="0" type="noConversion"/>
  </si>
  <si>
    <t>GEC비용 예가 :</t>
    <phoneticPr fontId="0" type="noConversion"/>
  </si>
  <si>
    <t>OUTPUT2-3_외부-보고: GEC + 외주-종합</t>
    <phoneticPr fontId="0" type="noConversion"/>
  </si>
  <si>
    <t>외 주 - 종 합</t>
    <phoneticPr fontId="0" type="noConversion"/>
  </si>
  <si>
    <t>통신 설계 화공 실행사업 MH 산출기준 (Rev.3)</t>
    <phoneticPr fontId="0" type="noConversion"/>
  </si>
  <si>
    <t>표준 Unit M/H 난이도 '상, 중, 하'는 PJT 특성 (발주처 성향, PMC 개입여부, 승인 Level 및 절차 등) 및 Condition 등을 고려 결정</t>
    <phoneticPr fontId="0" type="noConversion"/>
  </si>
  <si>
    <t>Category Code</t>
    <phoneticPr fontId="0" type="noConversion"/>
  </si>
  <si>
    <t>GENERAL</t>
    <phoneticPr fontId="0" type="noConversion"/>
  </si>
  <si>
    <t>G1</t>
    <phoneticPr fontId="0" type="noConversion"/>
  </si>
  <si>
    <t>LE 미팅, 설계 정보 전달</t>
    <phoneticPr fontId="0" type="noConversion"/>
  </si>
  <si>
    <t>각 단계별 3D Model Review 참석</t>
    <phoneticPr fontId="0" type="noConversion"/>
  </si>
  <si>
    <t>난이도 "중" 기준 Instrument Review 시 10 Working Day 참석
(30% : 2일, 60% : 4일, 90% : 4일)</t>
    <phoneticPr fontId="0" type="noConversion"/>
  </si>
  <si>
    <t>G2</t>
    <phoneticPr fontId="0" type="noConversion"/>
  </si>
  <si>
    <t>인허가 지원 업무</t>
    <phoneticPr fontId="0" type="noConversion"/>
  </si>
  <si>
    <t>Radio Frequency/장비 License 관련 인허가 Support</t>
    <phoneticPr fontId="0" type="noConversion"/>
  </si>
  <si>
    <t>Marine 있을 경우 2ea</t>
    <phoneticPr fontId="0" type="noConversion"/>
  </si>
  <si>
    <t>Security Plan (Marine)</t>
    <phoneticPr fontId="0" type="noConversion"/>
  </si>
  <si>
    <t>1) 통신 주관 : 상 (EGAT)
2) PM/EM 주관 : 중 (KLNG)</t>
  </si>
  <si>
    <t xml:space="preserve">Global/Local Regulation </t>
    <phoneticPr fontId="0" type="noConversion"/>
  </si>
  <si>
    <r>
      <t>1. HCIS (</t>
    </r>
    <r>
      <rPr>
        <strike/>
        <sz val="10"/>
        <rFont val="현대하모니 L"/>
        <family val="1"/>
        <charset val="129"/>
      </rPr>
      <t>Safety/FireFighting/</t>
    </r>
    <r>
      <rPr>
        <sz val="10"/>
        <rFont val="현대하모니 L"/>
        <family val="1"/>
        <charset val="129"/>
      </rPr>
      <t>Security - 사우디), 
2. CNBOP (</t>
    </r>
    <r>
      <rPr>
        <strike/>
        <sz val="10"/>
        <rFont val="현대하모니 L"/>
        <family val="1"/>
        <charset val="129"/>
      </rPr>
      <t>FA/FireFighting/</t>
    </r>
    <r>
      <rPr>
        <sz val="10"/>
        <rFont val="현대하모니 L"/>
        <family val="1"/>
        <charset val="129"/>
      </rPr>
      <t>Security/PAGA - 폴란드), 
3. BICSI (통신, - 미국,사우디), 
4. KIIS (통신 - 우즈벡), 
5. KITSO (Secuirty - 우즈벡), 
6. ROP(오만), 
7. CICPA(UAE), 
8. 국정원, 정통부 (통신 - 국내)</t>
    </r>
  </si>
  <si>
    <t>1) 통신, Security 한정, 그 외 EM 주관
2) 여러 항목 해당할 경우는 수량으로 처리</t>
    <phoneticPr fontId="0" type="noConversion"/>
  </si>
  <si>
    <t>GSM</t>
    <phoneticPr fontId="0" type="noConversion"/>
  </si>
  <si>
    <t>국내 - 통신설비 건축인허가</t>
    <phoneticPr fontId="0" type="noConversion"/>
  </si>
  <si>
    <t>Backbone, Telephone - 계통도, 평면도 (Wiring 포함)</t>
    <phoneticPr fontId="0" type="noConversion"/>
  </si>
  <si>
    <t>Backbone, Telephone - 계통도, 평면도 (Wiring 포함) - Layout * 0.5로MH 적용함.</t>
    <phoneticPr fontId="0" type="noConversion"/>
  </si>
  <si>
    <t>국내 - 비상방송설비 소방인허가</t>
    <phoneticPr fontId="0" type="noConversion"/>
  </si>
  <si>
    <t>PA, Paging - 계통도, 평면도 (Wiring 포함) : 연면적 3500sqmm 이상 건축물</t>
    <phoneticPr fontId="0" type="noConversion"/>
  </si>
  <si>
    <t>PA, Paging - 계통도, 평면도 (Wiring 포함) : 연면적 3500sqmm 이상 건축물 - Layout * 0.5로MH 적용함.</t>
    <phoneticPr fontId="0" type="noConversion"/>
  </si>
  <si>
    <t>G3</t>
    <phoneticPr fontId="0" type="noConversion"/>
  </si>
  <si>
    <t>난이도 "중" 기준 150 M/H 고려</t>
    <phoneticPr fontId="0" type="noConversion"/>
  </si>
  <si>
    <t>발주처 협의</t>
    <phoneticPr fontId="0" type="noConversion"/>
  </si>
  <si>
    <t>난이도 "중" 기준 프로젝트 수행 초기 2개월 (3명 x 1.5MH/Day)</t>
    <phoneticPr fontId="0" type="noConversion"/>
  </si>
  <si>
    <t>난이도 "중" 기준프로젝트 수행 초기 2개월 (3명 x 1.5MH/Day)</t>
    <phoneticPr fontId="0" type="noConversion"/>
  </si>
  <si>
    <t>난이도 "중" 기준프로젝트 수행 초기 2개월 (1명 x 4MH/Day)</t>
    <phoneticPr fontId="0" type="noConversion"/>
  </si>
  <si>
    <t>ENGINEERING (설계 관련)</t>
    <phoneticPr fontId="0" type="noConversion"/>
  </si>
  <si>
    <t>E1</t>
    <phoneticPr fontId="0" type="noConversion"/>
  </si>
  <si>
    <t>Techincal Specification</t>
  </si>
  <si>
    <t>1) ITB Develop 개념
2) 협력사 : 도서 당 8 M/H (도서 양식(4MH), Revision 변경(4MH))</t>
  </si>
  <si>
    <t>Telecommunication System</t>
  </si>
  <si>
    <t>- Telephone System (TEL)</t>
  </si>
  <si>
    <t>Set</t>
  </si>
  <si>
    <t>- Data Transmission System (LAN)</t>
  </si>
  <si>
    <t>- Network Management System (NMS)</t>
  </si>
  <si>
    <t>- Wireless LAN</t>
  </si>
  <si>
    <t>- Industrial WIFI System</t>
  </si>
  <si>
    <t>- Plant Radio System</t>
  </si>
  <si>
    <t>- Marine Radio System</t>
  </si>
  <si>
    <t>- Process CCTV System</t>
  </si>
  <si>
    <t>- Public Address/General Alarm System (PAGA)</t>
  </si>
  <si>
    <t>PAGA/PAGING이 별도일 경우, 수량으로 대체
예시1) Aramco의 경우 ISP, Process용 PAGA가 각각 있는 경우,
예시2) PA, PAGING 각각 있는 경우</t>
    <phoneticPr fontId="0" type="noConversion"/>
  </si>
  <si>
    <t>- Siren System</t>
  </si>
  <si>
    <t>- Structured Cabling System (SCS)</t>
  </si>
  <si>
    <t>- OutSide Plant (OSP)</t>
  </si>
  <si>
    <t>- Others</t>
  </si>
  <si>
    <t>그 외 System은 수량으로 대체</t>
    <phoneticPr fontId="0" type="noConversion"/>
  </si>
  <si>
    <t>Security System</t>
  </si>
  <si>
    <t>- Access Control System (ACS)</t>
  </si>
  <si>
    <t>ACS 별도일 경우, 수량으로 대체
예시1) Aramco의 경우 OSP, Process용 ACS 가 각각 있는 경우,</t>
    <phoneticPr fontId="0" type="noConversion"/>
  </si>
  <si>
    <t>- Intrusion Detection System (IDS)</t>
  </si>
  <si>
    <t>- Security CCTV System</t>
  </si>
  <si>
    <t>- Physical Security Management System (PSIM)</t>
  </si>
  <si>
    <t>그 외 System은 수량으로 대체
예시) Fire Trainee Monitoring System
Long Range Dection Asssement System</t>
    <phoneticPr fontId="0" type="noConversion"/>
  </si>
  <si>
    <t>Block Diagram</t>
    <phoneticPr fontId="0" type="noConversion"/>
  </si>
  <si>
    <t>1) 1장 기준이므로, System 별, Project 규모를 고려할 것
예시, EGAT - PAGA Block의 경우 5UNIT, 총 7 PAGE 작성함)
2) Site 규모가 작은 경우 병합 고려
예시, 1) TEL/LAN/Radio, 2) PAGA/Siren, 3) ACS/IDS/PSIM/Security CCTV</t>
    <phoneticPr fontId="0" type="noConversion"/>
  </si>
  <si>
    <t>E2</t>
    <phoneticPr fontId="0" type="noConversion"/>
  </si>
  <si>
    <t>Cable Tray &amp; Duct Loading Data</t>
    <phoneticPr fontId="0" type="noConversion"/>
  </si>
  <si>
    <t>Lot</t>
  </si>
  <si>
    <t>Cable Trench (including Duct Bank) Data,
Foundation Data, Manhole</t>
    <phoneticPr fontId="0" type="noConversion"/>
  </si>
  <si>
    <t>통신용 Foundation (Pole, Pedestal, outdoor JB or cabinet)</t>
    <phoneticPr fontId="0" type="noConversion"/>
  </si>
  <si>
    <t>통신용 Foundation (Pole, Pedestal, outdoor JB or cabinet)</t>
  </si>
  <si>
    <t>Building Roof 에 설치되는 통신 Item Inform (AR)</t>
    <phoneticPr fontId="0" type="noConversion"/>
  </si>
  <si>
    <t>통신 Item on roof : Antenna, Siren, Speaker, CCTV 등</t>
    <phoneticPr fontId="0" type="noConversion"/>
  </si>
  <si>
    <t>통신 Item on roof : Antenna, Siren, Speaker, CCTV 등</t>
  </si>
  <si>
    <t>Security Gate Information (AR(Indoor), CCTV(Outdoor))</t>
    <phoneticPr fontId="0" type="noConversion"/>
  </si>
  <si>
    <t>1) Outdoor Main Security Gate : 수량 2로 반영
2) Outdoor Security Gate : 수량 1로 반영
3) Indoor Security Gate : 수량 1로 반영</t>
  </si>
  <si>
    <t xml:space="preserve">Room/Building (Floor and Wall) Opening </t>
    <phoneticPr fontId="0" type="noConversion"/>
  </si>
  <si>
    <t>모든 Room/Building 내 Opening 검토</t>
    <phoneticPr fontId="0" type="noConversion"/>
  </si>
  <si>
    <t>모든 Room/Building 내 Opening 검토</t>
  </si>
  <si>
    <t>UPS / Normal / Emergency Power Load List</t>
    <phoneticPr fontId="0" type="noConversion"/>
  </si>
  <si>
    <t>Process CCTV 위치 (발주처, 소방/안전, 공정, 기계)</t>
    <phoneticPr fontId="0" type="noConversion"/>
  </si>
  <si>
    <t>Siren, Speaker 위치 (안전)</t>
    <phoneticPr fontId="0" type="noConversion"/>
  </si>
  <si>
    <t>10)</t>
    <phoneticPr fontId="0" type="noConversion"/>
  </si>
  <si>
    <t>Siren/Radio Tower(10m 이상), Radio Shelter Foundation</t>
    <phoneticPr fontId="0" type="noConversion"/>
  </si>
  <si>
    <t>1) Tower, Shelter Engineering : Vendor Scope
2) CV, PI, Owner Coordination : HEC</t>
  </si>
  <si>
    <t>11)</t>
    <phoneticPr fontId="0" type="noConversion"/>
  </si>
  <si>
    <t>Cable / Drum Schedule</t>
    <phoneticPr fontId="0" type="noConversion"/>
  </si>
  <si>
    <t>1) 내부 : HEC구매분 (PKG 제외), 통신 Equipment 수량 x 1.2배 x UNIT MH
2) 외부 : 통신 Equipment 수량 x UNIT MH</t>
    <phoneticPr fontId="0" type="noConversion"/>
  </si>
  <si>
    <t>1) 통신 Equipment 수량 x 1.2배 x 0.2MH</t>
    <phoneticPr fontId="0" type="noConversion"/>
  </si>
  <si>
    <t>E4</t>
    <phoneticPr fontId="0" type="noConversion"/>
  </si>
  <si>
    <t>Sound Coverage Report</t>
    <phoneticPr fontId="0" type="noConversion"/>
  </si>
  <si>
    <t>Wifi Coverage Report</t>
    <phoneticPr fontId="0" type="noConversion"/>
  </si>
  <si>
    <t>Data Bandwidth (Link budget) Calculation</t>
    <phoneticPr fontId="0" type="noConversion"/>
  </si>
  <si>
    <t>CCTV Stoarge Calculation</t>
    <phoneticPr fontId="0" type="noConversion"/>
  </si>
  <si>
    <t>CCTV Coverage Report</t>
    <phoneticPr fontId="0" type="noConversion"/>
  </si>
  <si>
    <t>Radio Coverage Report</t>
    <phoneticPr fontId="0" type="noConversion"/>
  </si>
  <si>
    <t>E6</t>
    <phoneticPr fontId="0" type="noConversion"/>
  </si>
  <si>
    <t>Symbol &amp; Legends</t>
    <phoneticPr fontId="0" type="noConversion"/>
  </si>
  <si>
    <t>1) Project별 1장 또는 System별 출도</t>
  </si>
  <si>
    <t>Telecommunication System Layout</t>
    <phoneticPr fontId="0" type="noConversion"/>
  </si>
  <si>
    <t>A1</t>
    <phoneticPr fontId="0" type="noConversion"/>
  </si>
  <si>
    <t>1) 장비 위치 및 Cabling 표현
2) 1장 기준이므로, Project 규모 및 축척을 고려할 것
3) TEL/LAN/Radio 포함함 (Process CCTV 병합하는 것도 고려할 것)
Site 규모가 큰 경우는 system 별 분기 고려할 것
4) Key Plan 고려 요</t>
    <phoneticPr fontId="0" type="noConversion"/>
  </si>
  <si>
    <t>1) 장비 위치 및 Cabling 표현
2) 1장 기준이므로, Project 규모 및 축척을 고려할 것
3) TEL/LAN/Radio 포함함 (Process CCTV 병합하는 것도 고려할 것)
Site 규모가 큰 경우는 system 별 분기 고려할 것
4) Key Plan 고려 요</t>
  </si>
  <si>
    <t>PAGA System Layout</t>
    <phoneticPr fontId="0" type="noConversion"/>
  </si>
  <si>
    <t>1) 장비 위치 및 Cabling 표현
2) 1장 기준이므로, Project 규모 및 축척을 고려할 것
3) PAGA/Siren 포함함
Site 규모가 큰 경우는 system 별 분기 고려할 것
4) Key Plan 고려 요</t>
    <phoneticPr fontId="0" type="noConversion"/>
  </si>
  <si>
    <t>1) 장비 위치 및 Cabling 표현
2) 1장 기준이므로, Project 규모 및 축척을 고려할 것
3) PAGA/Siren 포함함
Site 규모가 큰 경우는 system 별 분기 고려할 것
4) Key Plan 고려 요</t>
  </si>
  <si>
    <t>Process CCTV Layout</t>
    <phoneticPr fontId="0" type="noConversion"/>
  </si>
  <si>
    <t>1) 장비 위치 및 Cabling 표현
2) 1장 기준이므로, Project 규모 및 축척을 고려할 것
3) Key Plan 고려 요</t>
    <phoneticPr fontId="0" type="noConversion"/>
  </si>
  <si>
    <t>1) 장비 위치 및 Cabling 표현
2) 1장 기준이므로, Project 규모 및 축척을 고려할 것
3) Key Plan 고려 요</t>
  </si>
  <si>
    <t>ACS Layout</t>
    <phoneticPr fontId="0" type="noConversion"/>
  </si>
  <si>
    <t>1) 장비 위치 및 Cabling 표현
2) 1장 기준이므로, Project 규모 및 축척을 고려할 것
3) ACS/Security Gate 포함함
Site 규모가 큰 경우는 system 별 분기 고려할 것
4) Key Plan 고려 요</t>
    <phoneticPr fontId="0" type="noConversion"/>
  </si>
  <si>
    <t>1) 장비 위치 및 Cabling 표현
2) 1장 기준이므로, Project 규모 및 축척을 고려할 것
3) ACS/Security Gate 포함함
Site 규모가 큰 경우는 system 별 분기 고려할 것
4) Key Plan 고려 요</t>
  </si>
  <si>
    <t>Security Layout</t>
    <phoneticPr fontId="0" type="noConversion"/>
  </si>
  <si>
    <t>1) 장비 위치 및 Cabling 표현
2) 1장 기준이므로, Project 규모 및 축척을 고려할 것
3) IDS/Security CCTV 포함함)
Site 규모가 큰 경우는 system 별 분기 고려할 것
4) Key Plan 고려 요</t>
  </si>
  <si>
    <t>1) 장비 위치 및 Cabling 표현
2) 1장 기준이므로, Project 규모 및 축척을 고려할 것
3) IDS/Security CCTV 포함함)
Site 규모가 큰 경우는 system 별 분기 고려할 것
4) Key Plan 고려 요</t>
    <phoneticPr fontId="0" type="noConversion"/>
  </si>
  <si>
    <t>Cable Trench/Tray layout (UG / AG) - OUTDOOR</t>
    <phoneticPr fontId="0" type="noConversion"/>
  </si>
  <si>
    <t>1) 발주처의 승인 하에 ‘C&amp;I설계’와 ‘통신설계’의 공통 Route에 대해서는 ‘C&amp;I설계’에 반영하고, 이 경우 산출지침에 따라 산출된 ‘외부M/H’의 70%만 적용
2) 협의 전 일 경우, 통신 단독으로 산정한다)
3) 발주처와 협의하여, Telecom/Security 포함하는 것으로 한다)
4) Area를 축적으로 나눈 수량 x 3 (Layout 1장 + section Detail 2장)
5) Key Plan 고려 요</t>
    <phoneticPr fontId="0" type="noConversion"/>
  </si>
  <si>
    <t>Cable Trench/Tray layout (UG / AG) - INDOOR</t>
    <phoneticPr fontId="0" type="noConversion"/>
  </si>
  <si>
    <t xml:space="preserve">1) 계장은 Indoor가 없으므로 반드시 별도 도면으로 포함한다)
2) 발주처와 협의하여, Telecom/Security 포함하는 것으로 한다)
3) 기본적으로 건축 도면 기준으로 수량 반영하고 도면 없을 경우 축척으로 나눌 것
</t>
  </si>
  <si>
    <t xml:space="preserve">1) 계장은 Indoor가 없으므로 반드시 별도 도면으로 포함한다)
2) 발주처와 협의하여, Telecom/Security 포함하는 것으로 한다)
3) 기본적으로 건축 도면 기준으로 수량 반영하고 도면 없을 경우 축척으로 나눌 것
</t>
    <phoneticPr fontId="0" type="noConversion"/>
  </si>
  <si>
    <t>Telecommunication Room Layout</t>
    <phoneticPr fontId="0" type="noConversion"/>
  </si>
  <si>
    <t>1) Project spec을 따라 작성 여부를 결정할 것(예시, 사우디의 경우 모든 TER,TR Layout 작성)
2) Telecommunication Equipment Room 정도만 별도 작성하며, 작은 규모는 별도 작성하지 않는 것으로 고려
3) Room 별 1장을 기본으로 하며, size가 작을 경우, 2~4 room 고려</t>
  </si>
  <si>
    <t>1) Project 특성에 따라 70~90장 산출
2) Telecom / Security / Bulk (Tray 등) 각각 별도 작성
3) incl. 타부서 system detail (Instrument general, lighting, fire alarm, power, raceway) 과의 cross-check</t>
    <phoneticPr fontId="0" type="noConversion"/>
  </si>
  <si>
    <t>1) Project 특성에 따라 70~90장 산출
2) Telecom / Security / Bulk (Tray 등) 각각 별도 작성
3) incl. 타부서 system detail (Instrument general, lighting, fire alarm, power, raceway) 과의 cross-check</t>
  </si>
  <si>
    <t>Rack Face Elevation</t>
    <phoneticPr fontId="0" type="noConversion"/>
  </si>
  <si>
    <t>E7</t>
    <phoneticPr fontId="0" type="noConversion"/>
  </si>
  <si>
    <t>우측 참조</t>
    <phoneticPr fontId="0" type="noConversion"/>
  </si>
  <si>
    <t xml:space="preserve">1) 총 Cable 물량기준 
</t>
    <phoneticPr fontId="0" type="noConversion"/>
  </si>
  <si>
    <t>E8</t>
    <phoneticPr fontId="0" type="noConversion"/>
  </si>
  <si>
    <r>
      <t xml:space="preserve">1) 발주처의 승인 하에 ‘C&amp;I설계’와 ‘통신설계’의 공통 Route에 대해서는 ‘C&amp;I설계’에 반영하고, 이 경우 산출지침에 따라 산출된 ‘외부M/H’의 80%만 적용
2) Cable Tray 수량 기준 
</t>
    </r>
    <r>
      <rPr>
        <sz val="11"/>
        <color theme="1"/>
        <rFont val="현대하모니 L"/>
        <family val="1"/>
        <charset val="129"/>
      </rPr>
      <t xml:space="preserve"> - 상: 15,000m이상 (중급/초급 각1명x18개월(36M/M), 1,500 M/H)
 - 중: 10,000m이상~15,000m미만 (중급/초급 각1명x14개월(28M/M), 1,200M/H)
 - 하: 10,000m미만 (중급 1명x</t>
    </r>
    <r>
      <rPr>
        <sz val="11"/>
        <rFont val="현대하모니 L"/>
        <family val="1"/>
        <charset val="129"/>
      </rPr>
      <t>18개월(18M/M), 1,000 M/H)</t>
    </r>
  </si>
  <si>
    <t>인력지원</t>
  </si>
  <si>
    <t>1) 발주처의 승인 하에 ‘C&amp;I설계’와 ‘통신설계’의 공통 Route에 대해서는 ‘C&amp;I설계’에 반영하고, 이 경우 산출지침에 따라 산출된 ‘외부M/H’의 80%만 적용
2) Cable Tray 수량 기준 
 - 상: 15,000m이상 (중급/초급 각1명x18개월(36M/M), 1,500 M/H)
 - 중: 10,000m이상~15,000m미만 (중급/초급 각1명x14개월(28M/M), 1,200M/H)
 - 하: 10,000m미만 (중급 1명x18개월(18M/M), 1,000 M/H)</t>
    <phoneticPr fontId="0" type="noConversion"/>
  </si>
  <si>
    <t>1) Outdoor secondary cable routing 당 1 M/H</t>
  </si>
  <si>
    <t>1) Outdoor secondary cable routing 당 1 M/H</t>
    <phoneticPr fontId="0" type="noConversion"/>
  </si>
  <si>
    <t>1) SPI 필요 시, 아래 기준으로 계장과 합산하여 계장에 포함될 수 있도록하고, HEC Coordination Work 목적으로 산정 요)</t>
    <phoneticPr fontId="0" type="noConversion"/>
  </si>
  <si>
    <t>1) SPI 필요 시, 아래 기준으로 계장과 합산하여 계장에 포함될 수 있도록하고, HEC Coordination Work 목적으로 산정 요)</t>
  </si>
  <si>
    <t>경력 : 2년 이상 ~ 5년 미만</t>
    <phoneticPr fontId="0" type="noConversion"/>
  </si>
  <si>
    <t xml:space="preserve">경력 : 5년 ~ 10년, 인력지원은 프로젝트에서 필수로 요구되는 경우만 적용함 </t>
    <phoneticPr fontId="0" type="noConversion"/>
  </si>
  <si>
    <t xml:space="preserve">경력 : 10년 ~ 15년, 인력지원은 프로젝트에서 필수로 요구되는 경우만 적용함 </t>
    <phoneticPr fontId="0" type="noConversion"/>
  </si>
  <si>
    <t xml:space="preserve">경력 : 15년 이상, 인력지원은 프로젝트에서 필수로 요구되는 경우만 적용함 </t>
    <phoneticPr fontId="0" type="noConversion"/>
  </si>
  <si>
    <t>PROCUREMENT SUPPORT (구매 관련)</t>
    <phoneticPr fontId="0" type="noConversion"/>
  </si>
  <si>
    <t>P2</t>
    <phoneticPr fontId="0" type="noConversion"/>
  </si>
  <si>
    <t>협력사 : 도서 당 8 M/H (도서 양식(4MH), Revision 변경(4MH))</t>
  </si>
  <si>
    <t>- Telecommunication System</t>
    <phoneticPr fontId="0" type="noConversion"/>
  </si>
  <si>
    <t>1) MR 수량 : 1
2) 난이도 : Project 규모, Integration 난이도 등을 고려하여 산정</t>
  </si>
  <si>
    <t>1) MR 수량 : 1
2) 난이도 : Project 규모, Integration 난이도 등을 고려하여 산정</t>
    <phoneticPr fontId="0" type="noConversion"/>
  </si>
  <si>
    <t>- Telecommunication을 System 별 분기 (Data Network / PAGA / Process CCTV 등)</t>
    <phoneticPr fontId="0" type="noConversion"/>
  </si>
  <si>
    <t>1) MR 수량 : System 수 기입
2) 난이도 : Project 규모, Integration 난이도 등을 고려하여 산정</t>
  </si>
  <si>
    <t>1) MR 수량 : System 수 기입
2) 난이도 : Project 규모, Integration 난이도 등을 고려하여 산정</t>
    <phoneticPr fontId="0" type="noConversion"/>
  </si>
  <si>
    <t>- Security System</t>
    <phoneticPr fontId="0" type="noConversion"/>
  </si>
  <si>
    <t>- Cable</t>
    <phoneticPr fontId="0" type="noConversion"/>
  </si>
  <si>
    <t>P3</t>
    <phoneticPr fontId="0" type="noConversion"/>
  </si>
  <si>
    <t>1) 협력사 : 도서 당 24 M/H (도서 양식, Revision 변경)</t>
  </si>
  <si>
    <t>P4</t>
    <phoneticPr fontId="0" type="noConversion"/>
  </si>
  <si>
    <t>P5</t>
    <phoneticPr fontId="0" type="noConversion"/>
  </si>
  <si>
    <t>C1</t>
    <phoneticPr fontId="0" type="noConversion"/>
  </si>
  <si>
    <t>통신 Man Hour Key Factor Input Table (Rev.3)</t>
    <phoneticPr fontId="2" type="noConversion"/>
  </si>
  <si>
    <t xml:space="preserve">PROJECT: </t>
    <phoneticPr fontId="0" type="noConversion"/>
  </si>
  <si>
    <t>숨김 처리</t>
    <phoneticPr fontId="0" type="noConversion"/>
  </si>
  <si>
    <t>Telecom&amp;Security - Material &amp; General (A)</t>
    <phoneticPr fontId="0" type="noConversion"/>
  </si>
  <si>
    <t>Telecom&amp;Security - Design &amp; Deliverable (B)</t>
    <phoneticPr fontId="0" type="noConversion"/>
  </si>
  <si>
    <t>Telecom&amp;Security - Project Condition &amp; Information (C)</t>
    <phoneticPr fontId="0" type="noConversion"/>
  </si>
  <si>
    <t>Material Requisition
Quantity 
/ 참여인원수</t>
    <phoneticPr fontId="0" type="noConversion"/>
  </si>
  <si>
    <t>선택 / Quantity</t>
    <phoneticPr fontId="0" type="noConversion"/>
  </si>
  <si>
    <t>Telecommunication System (택1)</t>
    <phoneticPr fontId="0" type="noConversion"/>
  </si>
  <si>
    <t>Telecommunication System (통합)</t>
    <phoneticPr fontId="0" type="noConversion"/>
  </si>
  <si>
    <t>SET</t>
    <phoneticPr fontId="0" type="noConversion"/>
  </si>
  <si>
    <t>Design Basis / Specification</t>
    <phoneticPr fontId="0" type="noConversion"/>
  </si>
  <si>
    <t>Technical Specification (Telecommunication)</t>
    <phoneticPr fontId="0" type="noConversion"/>
  </si>
  <si>
    <t>Telephone System (TEL)</t>
    <phoneticPr fontId="0" type="noConversion"/>
  </si>
  <si>
    <t>국내 발주처 : 표준 M/H x 1.0 (증가 량 없음)</t>
    <phoneticPr fontId="0" type="noConversion"/>
  </si>
  <si>
    <t xml:space="preserve">발주처/PMC 성향 및 승인 절차 까다로움을 고려하여 난이도 Factor 1.0~1.25 (0~25%)를 표준 Man-Hour에 반영 </t>
    <phoneticPr fontId="0" type="noConversion"/>
  </si>
  <si>
    <t>System 별 분기 (Data Network / PAGA / Process CCTV 등)</t>
    <phoneticPr fontId="0" type="noConversion"/>
  </si>
  <si>
    <t>Data Transmission System (LAN)</t>
  </si>
  <si>
    <t>국내 발주처(PMC가 있는 경우) : 표준 M/H x 1.05 (5% 증가)</t>
    <phoneticPr fontId="0" type="noConversion"/>
  </si>
  <si>
    <t>Security System</t>
    <phoneticPr fontId="0" type="noConversion"/>
  </si>
  <si>
    <t>Network Management System (NMS)</t>
  </si>
  <si>
    <t>동남아, 중앙아시아, 동유럽 국가 (PMC가 없는 경우): 표준 M/H x 1.1(10% 증가)</t>
    <phoneticPr fontId="0" type="noConversion"/>
  </si>
  <si>
    <t>Cable</t>
    <phoneticPr fontId="0" type="noConversion"/>
  </si>
  <si>
    <t>Wireless LAN</t>
  </si>
  <si>
    <t>동남아, 중앙아시아, 동유럽 국가 (PMC가 있는 경우): 표준 M/H x 1.15(15% 증가)</t>
    <phoneticPr fontId="0" type="noConversion"/>
  </si>
  <si>
    <t>Industrial WIFI System</t>
  </si>
  <si>
    <t>중동, 아프리카 국가 (PMC가 없는 경우): 표준 M/H x 1.2(20% 증가)</t>
    <phoneticPr fontId="0" type="noConversion"/>
  </si>
  <si>
    <t>Plant Radio System</t>
  </si>
  <si>
    <t>중동, 아프리카 국가 (PMC가 있을 경우): 표준 M/H x 1.25(25% 증가)</t>
    <phoneticPr fontId="0" type="noConversion"/>
  </si>
  <si>
    <t>통신 설계 참여 인원</t>
    <phoneticPr fontId="0" type="noConversion"/>
  </si>
  <si>
    <t>Marine Radio System</t>
  </si>
  <si>
    <t>기타 국가 (PMC가 없는 경우): 표준 M/H x 1.15(15% 증가)</t>
    <phoneticPr fontId="0" type="noConversion"/>
  </si>
  <si>
    <t>Process CCTV System</t>
  </si>
  <si>
    <t>기타 국가 (PMC가 있는 경우): 표준 M/H x 1.2(20% 증가)</t>
    <phoneticPr fontId="0" type="noConversion"/>
  </si>
  <si>
    <t>통신 설계 Early Work 참여 인원</t>
    <phoneticPr fontId="0" type="noConversion"/>
  </si>
  <si>
    <t>Public Address/General Alarm System (PAGA)</t>
  </si>
  <si>
    <t>Project 규모
(System 수)</t>
    <phoneticPr fontId="0" type="noConversion"/>
  </si>
  <si>
    <t>System 5개 이하 and 0.5km2 이하  : 표준 M/H X 1.0 (증가량 없음)</t>
    <phoneticPr fontId="0" type="noConversion"/>
  </si>
  <si>
    <t>Siren System</t>
  </si>
  <si>
    <t>System 6개 ~ 10개 or (0.5km2 초과 &amp; 1.5km2 이하) : 표준 M/H X 1.1 (10% 증가)</t>
    <phoneticPr fontId="0" type="noConversion"/>
  </si>
  <si>
    <t>Structured Cabling System (SCS)</t>
  </si>
  <si>
    <t>System 10개 초과 or 1.5km2 초과 : 표준 M/H X 1.2 (20% 증가)</t>
    <phoneticPr fontId="0" type="noConversion"/>
  </si>
  <si>
    <t>OutSide Plant (OSP)</t>
  </si>
  <si>
    <t>Project 수행 Condition 고려</t>
    <phoneticPr fontId="0" type="noConversion"/>
  </si>
  <si>
    <t>JV / Consortium 사업이 아닌 경우
     표준 M/H x 1.0 (증가량 없음)</t>
    <phoneticPr fontId="0" type="noConversion"/>
  </si>
  <si>
    <t>JV / Consortium 사업 유무 및 Telecom&amp;Securitiy Leader PKG 여부에 따라 난이도 Factor 1.0~1.5 (0~50%)를 표준 Man-Hour에 반영</t>
    <phoneticPr fontId="0" type="noConversion"/>
  </si>
  <si>
    <t>Others</t>
  </si>
  <si>
    <t>JV / Consortium 사업 유무 (HEC가 Telecom &amp; Security Leading이 아닐 경우): 
     표준 M/H x 1.1 (10% 증가)</t>
    <phoneticPr fontId="0" type="noConversion"/>
  </si>
  <si>
    <t>Technical Specification 
(Security)</t>
    <phoneticPr fontId="0" type="noConversion"/>
  </si>
  <si>
    <t>JV / Consortium 사업 유무 (HEC가 Telecom or Security Leading인 경우): 
     표준 M/H x 1.3 (30% 증가)</t>
    <phoneticPr fontId="0" type="noConversion"/>
  </si>
  <si>
    <t>Access Control System (ACS)</t>
  </si>
  <si>
    <t>JV / Consortium 사업 유무 (HEC가 Telecom and Security Leading인 경우): 
     표준 M/H x 1.5 (50% 증가)</t>
    <phoneticPr fontId="0" type="noConversion"/>
  </si>
  <si>
    <t>Intrusion Detection System (IDS)</t>
  </si>
  <si>
    <t>Security CCTV System</t>
  </si>
  <si>
    <t>Physical Security Management System (PSIM)</t>
  </si>
  <si>
    <t>Local Regulation
1. HCIS (Safety/FireFighting/Security - 사우디), 
2. CNBOP (FA/FireFighting/Security/PAGA - 폴란드), 
3. BICSI (통신, - 미국,사우디), 
4. KIIS (통신 - 우즈벡), 
5. KITSO (Secuirty - 우즈벡), 
6. ROP(오만), 
7. CICPA(UAE), 
8. 국정원, 정통부 (통신 - 국내)</t>
    <phoneticPr fontId="0" type="noConversion"/>
  </si>
  <si>
    <t>Block Diagram
 (Telecommunication)</t>
    <phoneticPr fontId="0" type="noConversion"/>
  </si>
  <si>
    <t>Telephone System (TEL)</t>
  </si>
  <si>
    <t>Site 규모</t>
    <phoneticPr fontId="0" type="noConversion"/>
  </si>
  <si>
    <t>Area (Unit: m2)</t>
    <phoneticPr fontId="0" type="noConversion"/>
  </si>
  <si>
    <t>Q'ty x 1:200 기준 (70m x 70m)</t>
    <phoneticPr fontId="0" type="noConversion"/>
  </si>
  <si>
    <t>Pipe Line (Unit: m)</t>
    <phoneticPr fontId="0" type="noConversion"/>
  </si>
  <si>
    <t>Q'ty x 1:300 기준</t>
    <phoneticPr fontId="0" type="noConversion"/>
  </si>
  <si>
    <t>Building No. (단층 기준, 800m2 초과, 예시) Control Building, Workshop Building, Lab Building, Admin Building)</t>
    <phoneticPr fontId="0" type="noConversion"/>
  </si>
  <si>
    <r>
      <t xml:space="preserve">Q'ty x 2sheets </t>
    </r>
    <r>
      <rPr>
        <sz val="11"/>
        <color rgb="FFFF0000"/>
        <rFont val="현대하모니 L"/>
        <family val="1"/>
        <charset val="129"/>
      </rPr>
      <t>(다층일 시 Qty 변경)</t>
    </r>
  </si>
  <si>
    <t>Building No. (단층, 800m2 이하)</t>
    <phoneticPr fontId="0" type="noConversion"/>
  </si>
  <si>
    <t>Q'ty x 1sheet</t>
    <phoneticPr fontId="0" type="noConversion"/>
  </si>
  <si>
    <t>Block Diagram 
(Security)</t>
    <phoneticPr fontId="0" type="noConversion"/>
  </si>
  <si>
    <t>Early Work 여부</t>
    <phoneticPr fontId="0" type="noConversion"/>
  </si>
  <si>
    <t>As-built</t>
    <phoneticPr fontId="0" type="noConversion"/>
  </si>
  <si>
    <t>SPI As-built</t>
    <phoneticPr fontId="0" type="noConversion"/>
  </si>
  <si>
    <t>SPI As-built 적용 여부</t>
    <phoneticPr fontId="0" type="noConversion"/>
  </si>
  <si>
    <t>Cable Tray &amp; Duct Loading Data</t>
  </si>
  <si>
    <t>Cable Trench (including Duct Bank) Data,
Foundation Data, Manhole</t>
  </si>
  <si>
    <t>Building Roof 에 설치되는 통신 Item Inform (AR)</t>
  </si>
  <si>
    <t>Security Gate Information (AR(Indoor), CCTV(Outdoor))</t>
  </si>
  <si>
    <t xml:space="preserve">Room/Building (Floor and Wall) Opening </t>
  </si>
  <si>
    <t>UPS / Normal / Emergency Power Load List</t>
  </si>
  <si>
    <t>Process CCTV 위치 (발주처, 소방/안전, 공정, 기계)</t>
  </si>
  <si>
    <t>Siren, Speaker 위치 (안전)</t>
  </si>
  <si>
    <t>Sound Coverage Report</t>
  </si>
  <si>
    <t>전문 외주 업체</t>
    <phoneticPr fontId="0" type="noConversion"/>
  </si>
  <si>
    <t>Wifi Coverage Report</t>
  </si>
  <si>
    <t>Data Bandwidth (Link budget) Calculation</t>
  </si>
  <si>
    <t>CCTV Stoarge Calculation</t>
  </si>
  <si>
    <t>CCTV Coverage Report</t>
  </si>
  <si>
    <t>Radio Coverage Report</t>
  </si>
  <si>
    <t>Symbol &amp; Legends</t>
  </si>
  <si>
    <t>Telecommunication System Layout</t>
  </si>
  <si>
    <t>PAGA System Layout</t>
  </si>
  <si>
    <t>Process CCTV Layout</t>
  </si>
  <si>
    <t>ACS Layout</t>
  </si>
  <si>
    <t>Security Layout</t>
  </si>
  <si>
    <t>Cable Trench/Tray layout (UG / AG) - OUTDOOR</t>
  </si>
  <si>
    <t>Cable Trench/Tray layout (UG / AG) - INDOOR</t>
  </si>
  <si>
    <t>Telecommunication Room Layout</t>
  </si>
  <si>
    <t>VD에 반영될 경우 제외</t>
    <phoneticPr fontId="0" type="noConversion"/>
  </si>
  <si>
    <t>3D Model MH 산출</t>
    <phoneticPr fontId="0" type="noConversion"/>
  </si>
  <si>
    <t xml:space="preserve">Telecom Primary Tray 총 길이 </t>
    <phoneticPr fontId="0" type="noConversion"/>
  </si>
  <si>
    <t>Telecom Primary Tray 총 길이 (m)</t>
    <phoneticPr fontId="0" type="noConversion"/>
  </si>
  <si>
    <t>Secondary Design</t>
    <phoneticPr fontId="0" type="noConversion"/>
  </si>
  <si>
    <t>Outdoor Equipment 총 수량</t>
    <phoneticPr fontId="0" type="noConversion"/>
  </si>
  <si>
    <t>Cable / Drum Schedule 산출</t>
    <phoneticPr fontId="0" type="noConversion"/>
  </si>
  <si>
    <r>
      <t>Equipment 총 수량</t>
    </r>
    <r>
      <rPr>
        <sz val="10"/>
        <color rgb="FFFF0000"/>
        <rFont val="현대하모니 L"/>
        <family val="1"/>
        <charset val="129"/>
      </rPr>
      <t xml:space="preserve"> (Outlet 포함)</t>
    </r>
  </si>
  <si>
    <t>Telecom Cable 총 길이</t>
    <phoneticPr fontId="0" type="noConversion"/>
  </si>
  <si>
    <r>
      <t xml:space="preserve">Telecom Cable 총 길이 (m) </t>
    </r>
    <r>
      <rPr>
        <sz val="10"/>
        <color rgb="FFFF0000"/>
        <rFont val="현대하모니 L"/>
        <family val="1"/>
        <charset val="129"/>
      </rPr>
      <t>(UTP 포함)</t>
    </r>
  </si>
  <si>
    <t>A71</t>
  </si>
  <si>
    <t>Security Cable 총 길이</t>
    <phoneticPr fontId="0" type="noConversion"/>
  </si>
  <si>
    <r>
      <t xml:space="preserve">Security Cable 총 길이 (m) </t>
    </r>
    <r>
      <rPr>
        <sz val="10"/>
        <color rgb="FFFF0000"/>
        <rFont val="현대하모니 L"/>
        <family val="1"/>
        <charset val="129"/>
      </rPr>
      <t>(UTP 포함)</t>
    </r>
  </si>
  <si>
    <t>LOT</t>
    <phoneticPr fontId="0" type="noConversion"/>
  </si>
  <si>
    <t>상중하</t>
    <phoneticPr fontId="0" type="noConversion"/>
  </si>
  <si>
    <t>인력지원 (초급)</t>
    <phoneticPr fontId="0" type="noConversion"/>
  </si>
  <si>
    <t>인력지원 (중급)</t>
    <phoneticPr fontId="0" type="noConversion"/>
  </si>
  <si>
    <t>인력지원 (고급)</t>
    <phoneticPr fontId="0" type="noConversion"/>
  </si>
  <si>
    <t>인력지원 (특급)</t>
    <phoneticPr fontId="0" type="noConversion"/>
  </si>
  <si>
    <t>A80</t>
  </si>
  <si>
    <t>B81</t>
  </si>
  <si>
    <t>A81</t>
  </si>
  <si>
    <t>B82</t>
  </si>
  <si>
    <t xml:space="preserve">Local Regulation
</t>
    <phoneticPr fontId="0" type="noConversion"/>
  </si>
  <si>
    <t>A82</t>
  </si>
  <si>
    <t>B83</t>
  </si>
  <si>
    <t>1. HCIS (Safety/FireFighting/Security - 사우디), 
2. CNBOP (FA/FireFighting/Security/PAGA - 폴란드), 
3. BICSI (통신, - 미국,사우디), 
4. KIIS (통신 - 우즈벡), 
5. KITSO (Secuirty - 우즈벡), 
6. ROP(오만), 
7. CICPA(UAE), 
8. 국정원, 정통부 (통신 - 국내)</t>
    <phoneticPr fontId="0" type="noConversion"/>
  </si>
  <si>
    <t>A83</t>
  </si>
  <si>
    <t>B84</t>
  </si>
  <si>
    <t>A84</t>
  </si>
  <si>
    <t>B85</t>
  </si>
  <si>
    <t>A85</t>
  </si>
  <si>
    <t>B86</t>
  </si>
  <si>
    <t>A86</t>
  </si>
  <si>
    <t>B87</t>
  </si>
  <si>
    <t>A87</t>
  </si>
  <si>
    <t>B88</t>
  </si>
  <si>
    <t>A88</t>
  </si>
  <si>
    <t>B89</t>
  </si>
  <si>
    <t>A89</t>
  </si>
  <si>
    <t>B90</t>
  </si>
  <si>
    <t>A90</t>
  </si>
  <si>
    <t>B91</t>
  </si>
  <si>
    <t>A91</t>
  </si>
  <si>
    <t>B92</t>
  </si>
  <si>
    <t>A92</t>
  </si>
  <si>
    <t>B93</t>
  </si>
  <si>
    <t>A93</t>
  </si>
  <si>
    <t>B94</t>
  </si>
  <si>
    <t>A94</t>
  </si>
  <si>
    <t>B95</t>
  </si>
  <si>
    <t>A95</t>
  </si>
  <si>
    <t>B96</t>
  </si>
  <si>
    <t>A96</t>
  </si>
  <si>
    <t>B97</t>
  </si>
  <si>
    <t>A97</t>
  </si>
  <si>
    <t>LAYOUT DRAWINGS</t>
    <phoneticPr fontId="0" type="noConversion"/>
  </si>
  <si>
    <t>ICSS I/O수량 (MMS포함)에 따라 난이도 자동 적용</t>
    <phoneticPr fontId="0" type="noConversion"/>
  </si>
  <si>
    <t>경력 : 5년 ~ 10년, 프로젝트에서 필수로 요구되는 경우만 적용</t>
    <phoneticPr fontId="0" type="noConversion"/>
  </si>
  <si>
    <t>경력 : 10년 ~ 15년, 프로젝트에서 필수로 요구되는 경우만 적용</t>
    <phoneticPr fontId="0" type="noConversion"/>
  </si>
  <si>
    <t>경력 : 15년 이상, 프로젝트에서 필수로 요구되는 경우만 적용</t>
    <phoneticPr fontId="0" type="noConversion"/>
  </si>
  <si>
    <t>외주-종합</t>
  </si>
  <si>
    <t>외주 형태 선택</t>
    <phoneticPr fontId="0" type="noConversion"/>
  </si>
  <si>
    <t>외주-단종일 경우 100% 기준. 외주-종합 / GEC 일 경우 단종 대비 HEC 내부 MH 투입비율 선택</t>
    <phoneticPr fontId="0" type="noConversion"/>
  </si>
  <si>
    <t>HEC 의 내부 인력 대비 종합외주 / GEC 의 CAPABILITY
(Capability 입력 범위: 50~90%)</t>
    <phoneticPr fontId="0" type="noConversion"/>
  </si>
  <si>
    <t>외주-종합/GEC</t>
    <phoneticPr fontId="0" type="noConversion"/>
  </si>
  <si>
    <t>통신설계 화공 실행사업 M/H 산출서 (Rev.3)</t>
    <phoneticPr fontId="0" type="noConversion"/>
  </si>
  <si>
    <t>OUTPUT1_내부-산출</t>
  </si>
  <si>
    <t>H4</t>
    <phoneticPr fontId="0" type="noConversion"/>
  </si>
  <si>
    <t>H5</t>
    <phoneticPr fontId="0" type="noConversion"/>
  </si>
  <si>
    <t>Unit M/H 난이도는 PJT특성 (발주처 성향, PMC 개입여부등)별 기준에 따름 (산출기준 Sheeet 참조)</t>
    <phoneticPr fontId="0" type="noConversion"/>
  </si>
  <si>
    <t>H6</t>
  </si>
  <si>
    <t>H7</t>
  </si>
  <si>
    <t>H8</t>
  </si>
  <si>
    <t>H9</t>
  </si>
  <si>
    <t>H10</t>
  </si>
  <si>
    <t>H11</t>
  </si>
  <si>
    <t>H12</t>
  </si>
  <si>
    <t>H13</t>
  </si>
  <si>
    <t>통신 MAN-HOUR 산출 TABLE</t>
    <phoneticPr fontId="0" type="noConversion"/>
  </si>
  <si>
    <t>Radio Frequency/장비 License 관련 인허가 Support</t>
  </si>
  <si>
    <t>Security Plan (Marine)</t>
  </si>
  <si>
    <t>GSM</t>
  </si>
  <si>
    <t>국내 - 통신설비 건축인허가</t>
  </si>
  <si>
    <t>ITB Review / FEED Verification</t>
  </si>
  <si>
    <t>G3</t>
    <phoneticPr fontId="0" type="noConversion"/>
  </si>
  <si>
    <t>- Telecommunication System</t>
  </si>
  <si>
    <t>산출기준참조</t>
    <phoneticPr fontId="0" type="noConversion"/>
  </si>
  <si>
    <t>-</t>
  </si>
  <si>
    <t>- Security System</t>
  </si>
  <si>
    <t>산출기준참조</t>
  </si>
  <si>
    <t>3D Modeling 인력지원</t>
    <phoneticPr fontId="0" type="noConversion"/>
  </si>
  <si>
    <r>
      <rPr>
        <b/>
        <u/>
        <sz val="11"/>
        <rFont val="현대하모니 L"/>
        <family val="1"/>
        <charset val="129"/>
      </rPr>
      <t>Case 1</t>
    </r>
    <r>
      <rPr>
        <sz val="11"/>
        <rFont val="현대하모니 L"/>
        <family val="1"/>
        <charset val="129"/>
      </rPr>
      <t xml:space="preserve">
설계 중 실시간 SPI 성과품 출도 (IFA / IFC)</t>
    </r>
  </si>
  <si>
    <r>
      <rPr>
        <b/>
        <u/>
        <sz val="11"/>
        <rFont val="현대하모니 L"/>
        <family val="1"/>
        <charset val="129"/>
      </rPr>
      <t>Case2</t>
    </r>
    <r>
      <rPr>
        <sz val="11"/>
        <rFont val="현대하모니 L"/>
        <family val="1"/>
        <charset val="129"/>
      </rPr>
      <t xml:space="preserve">
설계기간에는 Excel/CAD로 수행하고 As-Built 시에만  한번에 SPI로 DB 구축</t>
    </r>
  </si>
  <si>
    <t>Material Requisition</t>
  </si>
  <si>
    <t>- Cable</t>
  </si>
  <si>
    <t>- Bulk Material</t>
  </si>
  <si>
    <t>Technical Bid Evaluation</t>
  </si>
  <si>
    <t>- Telecommunication을 System 별 분기 (Data Network / PAGA / Process CCTV 등)</t>
  </si>
  <si>
    <t>설계소요 M/H 내역 (통신) - 실행</t>
    <phoneticPr fontId="0" type="noConversion"/>
  </si>
  <si>
    <t>DELETE (FEED SCOPE)</t>
  </si>
  <si>
    <t>ALL DOCUMENTS TO BE FINALIZED ON FEED PHASE. MANHOUR SHIFTED TO FEED PHASE</t>
  </si>
  <si>
    <t>2.10</t>
    <phoneticPr fontId="0" type="noConversion"/>
  </si>
  <si>
    <t>Siren/Radio Tower(10m 이상), Radio Shelter Foundation</t>
  </si>
  <si>
    <t>Cable / Drum Schedule</t>
  </si>
  <si>
    <t>6개월안에 제출 가능한지?</t>
  </si>
  <si>
    <t>IMMEDIATELY CONTRACT WITH VENDOR SPECIALIST AT THE BEGINNING OF DETAIL ENGINEERING.
PLOT PLAN AND BUILDING LAYOUT SHOULD BE AVAILABLE AT THAT TIME.</t>
  </si>
  <si>
    <t>Rack Face Elevation</t>
  </si>
  <si>
    <t>6.1.1</t>
  </si>
  <si>
    <t>6.1.2</t>
  </si>
  <si>
    <t>- Bulk Material</t>
    <phoneticPr fontId="0" type="noConversion"/>
  </si>
  <si>
    <t>DELETE</t>
  </si>
  <si>
    <t>DONE</t>
  </si>
  <si>
    <t>OUTPUT2-2_외부-보고: 외주-종합</t>
    <phoneticPr fontId="0" type="noConversion"/>
  </si>
  <si>
    <t>OUTPUT2-3_외부-보고: 외주-GEC</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</si>
</sst>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0_);[Red]\(#,##0.0\)"/>
    <numFmt numFmtId="165" formatCode="0&quot; MH&quot;"/>
    <numFmt numFmtId="166" formatCode="0.0_);[Red]\(0.0\)"/>
    <numFmt numFmtId="167" formatCode="0_);[Red]\(0\)"/>
    <numFmt numFmtId="168" formatCode="#,##0_ "/>
    <numFmt numFmtId="169" formatCode="_-* #,##0_-;\-* #,##0_-;_-* &quot;-&quot;_-;_-@_-"/>
    <numFmt numFmtId="170" formatCode="#,##0;\-#,##0;;@"/>
    <numFmt numFmtId="171" formatCode="#,##0.00_ "/>
    <numFmt numFmtId="172" formatCode="0.0_ "/>
    <numFmt numFmtId="173" formatCode="#,##0.00;\-#,##0.00;;@"/>
    <numFmt numFmtId="174" formatCode="#,##0.0_ "/>
    <numFmt numFmtId="175" formatCode="0.000_);[Red]\(0.000\)"/>
    <numFmt numFmtId="176" formatCode="0.00_);[Red]\(0.00\)"/>
    <numFmt numFmtId="177" formatCode="_-* #,##0.00\ [$€-1]_-;\-* #,##0.00\ [$€-1]_-;_-* &quot;-&quot;??\ [$€-1]_-"/>
    <numFmt numFmtId="178" formatCode="_-* #,##0.0_-;\-* #,##0.0_-;_-* &quot;-&quot;_-;_-@_-"/>
    <numFmt numFmtId="179" formatCode="_-&quot;₩&quot;* #,##0_-;\-&quot;₩&quot;* #,##0_-;_-&quot;₩&quot;* &quot;-&quot;_-;_-@_-"/>
    <numFmt numFmtId="180" formatCode="0_ "/>
    <numFmt numFmtId="181" formatCode="#"/>
  </numFmts>
  <fonts count="75" x14ac:knownFonts="1">
    <font>
      <sz val="11"/>
      <name val="돋움"/>
      <family val="3"/>
      <charset val="129"/>
    </font>
    <font>
      <sz val="11"/>
      <name val="돋움"/>
      <family val="3"/>
      <charset val="129"/>
    </font>
    <font>
      <b/>
      <u/>
      <sz val="20"/>
      <name val="현대하모니 L"/>
      <family val="1"/>
      <charset val="129"/>
    </font>
    <font>
      <sz val="11"/>
      <name val="현대하모니 L"/>
      <family val="1"/>
      <charset val="129"/>
    </font>
    <font>
      <b/>
      <sz val="16"/>
      <name val="현대하모니 L"/>
      <family val="1"/>
      <charset val="129"/>
    </font>
    <font>
      <b/>
      <sz val="11"/>
      <name val="현대하모니 L"/>
      <family val="1"/>
      <charset val="129"/>
    </font>
    <font>
      <sz val="11"/>
      <color rgb="FFFF0000"/>
      <name val="현대하모니 L"/>
      <family val="1"/>
      <charset val="129"/>
    </font>
    <font>
      <b/>
      <sz val="16"/>
      <color theme="0"/>
      <name val="현대하모니 L"/>
      <family val="1"/>
      <charset val="129"/>
    </font>
    <font>
      <b/>
      <sz val="14"/>
      <color theme="0"/>
      <name val="현대하모니 L"/>
      <family val="1"/>
      <charset val="129"/>
    </font>
    <font>
      <b/>
      <sz val="16"/>
      <color rgb="FFFFFF00"/>
      <name val="현대하모니 L"/>
      <family val="1"/>
      <charset val="129"/>
    </font>
    <font>
      <b/>
      <sz val="14"/>
      <color rgb="FFFFFF00"/>
      <name val="현대하모니 L"/>
      <family val="1"/>
      <charset val="129"/>
    </font>
    <font>
      <b/>
      <u/>
      <sz val="26"/>
      <name val="현대하모니 L"/>
      <family val="1"/>
      <charset val="129"/>
    </font>
    <font>
      <b/>
      <sz val="20"/>
      <color rgb="FFFF0000"/>
      <name val="현대하모니 L"/>
      <family val="1"/>
      <charset val="129"/>
    </font>
    <font>
      <b/>
      <sz val="14"/>
      <name val="현대하모니 L"/>
      <family val="1"/>
      <charset val="129"/>
    </font>
    <font>
      <b/>
      <u/>
      <sz val="14"/>
      <name val="현대하모니 L"/>
      <family val="1"/>
      <charset val="129"/>
    </font>
    <font>
      <sz val="14"/>
      <name val="현대하모니 L"/>
      <family val="1"/>
      <charset val="129"/>
    </font>
    <font>
      <sz val="12"/>
      <name val="현대하모니 L"/>
      <family val="1"/>
      <charset val="129"/>
    </font>
    <font>
      <b/>
      <sz val="12"/>
      <name val="현대하모니 L"/>
      <family val="1"/>
      <charset val="129"/>
    </font>
    <font>
      <b/>
      <sz val="16"/>
      <color theme="1"/>
      <name val="현대하모니 L"/>
      <family val="1"/>
      <charset val="129"/>
    </font>
    <font>
      <b/>
      <sz val="14"/>
      <color rgb="FFFF0000"/>
      <name val="현대하모니 L"/>
      <family val="1"/>
      <charset val="129"/>
    </font>
    <font>
      <sz val="10"/>
      <name val="굴림"/>
      <family val="3"/>
      <charset val="129"/>
    </font>
    <font>
      <b/>
      <u/>
      <sz val="22"/>
      <name val="현대하모니 L"/>
      <family val="1"/>
      <charset val="129"/>
    </font>
    <font>
      <sz val="22"/>
      <name val="현대하모니 L"/>
      <family val="1"/>
      <charset val="129"/>
    </font>
    <font>
      <sz val="22"/>
      <color rgb="FFFF0000"/>
      <name val="현대하모니 L"/>
      <family val="1"/>
      <charset val="129"/>
    </font>
    <font>
      <b/>
      <u/>
      <sz val="18"/>
      <name val="현대하모니 L"/>
      <family val="1"/>
      <charset val="129"/>
    </font>
    <font>
      <sz val="10"/>
      <name val="현대하모니 L"/>
      <family val="1"/>
      <charset val="129"/>
    </font>
    <font>
      <b/>
      <u/>
      <sz val="12"/>
      <name val="현대하모니 L"/>
      <family val="1"/>
      <charset val="129"/>
    </font>
    <font>
      <b/>
      <sz val="18"/>
      <color rgb="FFFF0000"/>
      <name val="현대하모니 L"/>
      <family val="1"/>
      <charset val="129"/>
    </font>
    <font>
      <sz val="11"/>
      <color theme="1"/>
      <name val="Aptos Narrow"/>
      <family val="2"/>
      <charset val="129"/>
      <scheme val="minor"/>
    </font>
    <font>
      <b/>
      <sz val="10"/>
      <color theme="1"/>
      <name val="현대하모니 L"/>
      <family val="1"/>
      <charset val="129"/>
    </font>
    <font>
      <b/>
      <sz val="10"/>
      <name val="현대하모니 L"/>
      <family val="1"/>
      <charset val="129"/>
    </font>
    <font>
      <sz val="12"/>
      <name val="바탕체"/>
      <family val="1"/>
      <charset val="129"/>
    </font>
    <font>
      <sz val="10"/>
      <color rgb="FFFF0000"/>
      <name val="현대하모니 L"/>
      <family val="1"/>
      <charset val="129"/>
    </font>
    <font>
      <b/>
      <sz val="10"/>
      <color rgb="FFFF0000"/>
      <name val="맑은 고딕"/>
      <family val="3"/>
      <charset val="129"/>
    </font>
    <font>
      <b/>
      <strike/>
      <sz val="11"/>
      <name val="현대하모니 L"/>
      <family val="1"/>
      <charset val="129"/>
    </font>
    <font>
      <strike/>
      <sz val="11"/>
      <name val="현대하모니 L"/>
      <family val="1"/>
      <charset val="129"/>
    </font>
    <font>
      <strike/>
      <sz val="10"/>
      <name val="현대하모니 L"/>
      <family val="1"/>
      <charset val="129"/>
    </font>
    <font>
      <b/>
      <u/>
      <sz val="36"/>
      <name val="현대하모니 L"/>
      <family val="1"/>
      <charset val="129"/>
    </font>
    <font>
      <sz val="28"/>
      <name val="현대하모니 L"/>
      <family val="1"/>
      <charset val="129"/>
    </font>
    <font>
      <sz val="14"/>
      <color rgb="FFFF0000"/>
      <name val="현대하모니 L"/>
      <family val="1"/>
      <charset val="129"/>
    </font>
    <font>
      <u/>
      <sz val="10"/>
      <name val="현대하모니 L"/>
      <family val="1"/>
      <charset val="129"/>
    </font>
    <font>
      <sz val="11"/>
      <color theme="1"/>
      <name val="현대하모니 L"/>
      <family val="1"/>
      <charset val="129"/>
    </font>
    <font>
      <b/>
      <sz val="12"/>
      <color rgb="FFFF0000"/>
      <name val="현대하모니 L"/>
      <family val="1"/>
      <charset val="129"/>
    </font>
    <font>
      <b/>
      <sz val="9"/>
      <color indexed="81"/>
      <name val="Tahoma"/>
      <family val="2"/>
    </font>
    <font>
      <sz val="9"/>
      <color indexed="81"/>
      <name val="Tahoma"/>
      <family val="2"/>
    </font>
    <font>
      <sz val="9"/>
      <color indexed="81"/>
      <name val="돋움"/>
      <family val="3"/>
      <charset val="129"/>
    </font>
    <font>
      <b/>
      <sz val="9"/>
      <color indexed="81"/>
      <name val="돋움"/>
      <family val="3"/>
      <charset val="129"/>
    </font>
    <font>
      <b/>
      <u/>
      <sz val="24"/>
      <name val="현대하모니 L"/>
      <family val="1"/>
      <charset val="129"/>
    </font>
    <font>
      <sz val="24"/>
      <name val="현대하모니 L"/>
      <family val="1"/>
      <charset val="129"/>
    </font>
    <font>
      <b/>
      <sz val="24"/>
      <color rgb="FFFF0000"/>
      <name val="현대하모니 L"/>
      <family val="1"/>
      <charset val="129"/>
    </font>
    <font>
      <b/>
      <sz val="22"/>
      <color rgb="FFFF0000"/>
      <name val="현대하모니 L"/>
      <family val="1"/>
      <charset val="129"/>
    </font>
    <font>
      <b/>
      <sz val="18"/>
      <name val="현대하모니 L"/>
      <family val="1"/>
      <charset val="129"/>
    </font>
    <font>
      <b/>
      <u/>
      <sz val="10"/>
      <name val="현대하모니 L"/>
      <family val="1"/>
      <charset val="129"/>
    </font>
    <font>
      <b/>
      <sz val="9"/>
      <name val="현대하모니 L"/>
      <family val="1"/>
      <charset val="129"/>
    </font>
    <font>
      <b/>
      <sz val="8"/>
      <name val="현대하모니 L"/>
      <family val="1"/>
      <charset val="129"/>
    </font>
    <font>
      <b/>
      <sz val="20"/>
      <name val="현대하모니 L"/>
      <family val="1"/>
      <charset val="129"/>
    </font>
    <font>
      <sz val="10"/>
      <color theme="1"/>
      <name val="현대하모니 L"/>
      <family val="1"/>
      <charset val="129"/>
    </font>
    <font>
      <b/>
      <u/>
      <sz val="11"/>
      <name val="현대하모니 L"/>
      <family val="1"/>
      <charset val="129"/>
    </font>
    <font>
      <strike/>
      <sz val="10"/>
      <color rgb="FFFF0000"/>
      <name val="현대하모니 L"/>
      <family val="1"/>
      <charset val="129"/>
    </font>
    <font>
      <sz val="9"/>
      <name val="현대하모니 L"/>
      <family val="1"/>
      <charset val="129"/>
    </font>
    <font>
      <sz val="11"/>
      <color indexed="8"/>
      <name val="맑은 고딕"/>
      <family val="3"/>
      <charset val="129"/>
    </font>
    <font>
      <b/>
      <sz val="16"/>
      <color rgb="FFFF0000"/>
      <name val="현대하모니 L"/>
      <family val="1"/>
      <charset val="129"/>
    </font>
    <font>
      <strike/>
      <sz val="10"/>
      <color theme="1"/>
      <name val="현대하모니 L"/>
      <family val="1"/>
      <charset val="129"/>
    </font>
    <font>
      <b/>
      <u/>
      <sz val="36"/>
      <color theme="1"/>
      <name val="현대하모니 L"/>
      <family val="1"/>
      <charset val="129"/>
    </font>
    <font>
      <u/>
      <sz val="36"/>
      <color theme="1"/>
      <name val="현대하모니 L"/>
      <family val="1"/>
      <charset val="129"/>
    </font>
    <font>
      <u/>
      <sz val="36"/>
      <name val="현대하모니 L"/>
      <family val="1"/>
      <charset val="129"/>
    </font>
    <font>
      <b/>
      <sz val="10"/>
      <color rgb="FFFF0000"/>
      <name val="현대하모니 L"/>
      <family val="1"/>
      <charset val="129"/>
    </font>
    <font>
      <b/>
      <sz val="11"/>
      <color rgb="FFFF0000"/>
      <name val="현대하모니 L"/>
      <family val="1"/>
      <charset val="129"/>
    </font>
    <font>
      <sz val="11"/>
      <color theme="0"/>
      <name val="현대하모니 L"/>
      <family val="1"/>
      <charset val="129"/>
    </font>
    <font>
      <strike/>
      <sz val="11"/>
      <color theme="1"/>
      <name val="현대하모니 L"/>
      <family val="1"/>
      <charset val="129"/>
    </font>
    <font>
      <sz val="11"/>
      <name val="현대하모니 L"/>
      <family val="1"/>
    </font>
    <font>
      <b/>
      <strike/>
      <sz val="12"/>
      <name val="현대하모니 L"/>
      <family val="1"/>
      <charset val="129"/>
    </font>
    <font>
      <sz val="8"/>
      <name val="현대하모니 L"/>
      <family val="1"/>
      <charset val="129"/>
    </font>
    <font>
      <sz val="8"/>
      <color theme="1"/>
      <name val="현대하모니 L"/>
      <family val="1"/>
      <charset val="129"/>
    </font>
    <font>
      <sz val="11"/>
      <name val="굴림"/>
      <family val="3"/>
      <charset val="129"/>
    </font>
  </fonts>
  <fills count="2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rgb="FFFFCC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99"/>
        <bgColor indexed="64"/>
      </patternFill>
    </fill>
    <fill>
      <patternFill patternType="solid">
        <fgColor rgb="FF66FFFF"/>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0000"/>
        <bgColor indexed="64"/>
      </patternFill>
    </fill>
    <fill>
      <patternFill patternType="solid">
        <fgColor rgb="FF00FF00"/>
        <bgColor indexed="64"/>
      </patternFill>
    </fill>
  </fills>
  <borders count="17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auto="1"/>
      </left>
      <right style="medium">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hair">
        <color indexed="64"/>
      </left>
      <right style="thin">
        <color indexed="64"/>
      </right>
      <top style="thin">
        <color indexed="64"/>
      </top>
      <bottom/>
      <diagonal/>
    </border>
    <border>
      <left style="medium">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thin">
        <color indexed="64"/>
      </left>
      <right/>
      <top/>
      <bottom style="thin">
        <color indexed="64"/>
      </bottom>
      <diagonal/>
    </border>
    <border>
      <left style="double">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right style="medium">
        <color indexed="64"/>
      </right>
      <top style="hair">
        <color indexed="64"/>
      </top>
      <bottom style="thin">
        <color indexed="64"/>
      </bottom>
      <diagonal/>
    </border>
    <border>
      <left style="double">
        <color indexed="64"/>
      </left>
      <right style="thin">
        <color auto="1"/>
      </right>
      <top/>
      <bottom/>
      <diagonal/>
    </border>
    <border>
      <left style="thin">
        <color auto="1"/>
      </left>
      <right style="double">
        <color indexed="64"/>
      </right>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double">
        <color indexed="64"/>
      </right>
      <top style="hair">
        <color indexed="64"/>
      </top>
      <bottom/>
      <diagonal/>
    </border>
    <border>
      <left style="double">
        <color indexed="64"/>
      </left>
      <right style="thin">
        <color indexed="64"/>
      </right>
      <top style="hair">
        <color indexed="64"/>
      </top>
      <bottom/>
      <diagonal/>
    </border>
    <border>
      <left style="double">
        <color indexed="64"/>
      </left>
      <right style="thin">
        <color indexed="64"/>
      </right>
      <top style="thin">
        <color indexed="64"/>
      </top>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top/>
      <bottom style="thin">
        <color indexed="64"/>
      </bottom>
      <diagonal/>
    </border>
    <border>
      <left/>
      <right/>
      <top style="thin">
        <color indexed="64"/>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top style="medium">
        <color auto="1"/>
      </top>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top style="double">
        <color indexed="64"/>
      </top>
      <bottom style="hair">
        <color indexed="64"/>
      </bottom>
      <diagonal/>
    </border>
    <border>
      <left style="thin">
        <color indexed="64"/>
      </left>
      <right style="hair">
        <color indexed="64"/>
      </right>
      <top style="double">
        <color indexed="64"/>
      </top>
      <bottom style="hair">
        <color indexed="64"/>
      </bottom>
      <diagonal/>
    </border>
    <border>
      <left style="hair">
        <color indexed="64"/>
      </left>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medium">
        <color indexed="64"/>
      </left>
      <right/>
      <top/>
      <bottom style="hair">
        <color indexed="64"/>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medium">
        <color indexed="64"/>
      </right>
      <top/>
      <bottom style="hair">
        <color indexed="64"/>
      </bottom>
      <diagonal/>
    </border>
    <border>
      <left style="hair">
        <color indexed="64"/>
      </left>
      <right/>
      <top style="thin">
        <color indexed="64"/>
      </top>
      <bottom style="medium">
        <color indexed="64"/>
      </bottom>
      <diagonal/>
    </border>
    <border>
      <left style="thin">
        <color auto="1"/>
      </left>
      <right style="hair">
        <color auto="1"/>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medium">
        <color indexed="64"/>
      </right>
      <top style="hair">
        <color indexed="64"/>
      </top>
      <bottom style="hair">
        <color indexed="64"/>
      </bottom>
      <diagonal/>
    </border>
    <border>
      <left style="medium">
        <color indexed="64"/>
      </left>
      <right/>
      <top/>
      <bottom style="medium">
        <color indexed="64"/>
      </bottom>
      <diagonal/>
    </border>
    <border>
      <left/>
      <right/>
      <top style="medium">
        <color indexed="64"/>
      </top>
      <bottom style="medium">
        <color indexed="64"/>
      </bottom>
      <diagonal/>
    </border>
    <border>
      <left style="thin">
        <color auto="1"/>
      </left>
      <right style="hair">
        <color auto="1"/>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hair">
        <color indexed="64"/>
      </left>
      <right/>
      <top style="thin">
        <color indexed="64"/>
      </top>
      <bottom style="double">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auto="1"/>
      </left>
      <right/>
      <top/>
      <bottom style="thin">
        <color indexed="64"/>
      </bottom>
      <diagonal/>
    </border>
    <border>
      <left/>
      <right style="hair">
        <color indexed="64"/>
      </right>
      <top style="thin">
        <color indexed="64"/>
      </top>
      <bottom style="medium">
        <color indexed="64"/>
      </bottom>
      <diagonal/>
    </border>
    <border>
      <left style="hair">
        <color indexed="64"/>
      </left>
      <right style="thin">
        <color indexed="64"/>
      </right>
      <top style="medium">
        <color indexed="64"/>
      </top>
      <bottom style="medium">
        <color indexed="64"/>
      </bottom>
      <diagonal/>
    </border>
    <border>
      <left/>
      <right style="hair">
        <color indexed="64"/>
      </right>
      <top/>
      <bottom style="medium">
        <color indexed="64"/>
      </bottom>
      <diagonal/>
    </border>
    <border>
      <left style="hair">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double">
        <color indexed="64"/>
      </left>
      <right/>
      <top style="thin">
        <color indexed="64"/>
      </top>
      <bottom style="hair">
        <color indexed="64"/>
      </bottom>
      <diagonal/>
    </border>
    <border>
      <left style="double">
        <color indexed="64"/>
      </left>
      <right/>
      <top style="hair">
        <color indexed="64"/>
      </top>
      <bottom style="thin">
        <color indexed="64"/>
      </bottom>
      <diagonal/>
    </border>
    <border>
      <left style="double">
        <color indexed="64"/>
      </left>
      <right/>
      <top style="hair">
        <color indexed="64"/>
      </top>
      <bottom style="hair">
        <color indexed="64"/>
      </bottom>
      <diagonal/>
    </border>
    <border>
      <left style="double">
        <color indexed="64"/>
      </left>
      <right/>
      <top/>
      <bottom/>
      <diagonal/>
    </border>
    <border>
      <left style="double">
        <color indexed="64"/>
      </left>
      <right/>
      <top style="hair">
        <color indexed="64"/>
      </top>
      <bottom/>
      <diagonal/>
    </border>
    <border>
      <left/>
      <right style="medium">
        <color indexed="64"/>
      </right>
      <top style="hair">
        <color indexed="64"/>
      </top>
      <bottom/>
      <diagonal/>
    </border>
    <border>
      <left style="double">
        <color indexed="64"/>
      </left>
      <right/>
      <top/>
      <bottom style="hair">
        <color indexed="64"/>
      </bottom>
      <diagonal/>
    </border>
  </borders>
  <cellStyleXfs count="38">
    <xf numFmtId="0" fontId="0" fillId="0" borderId="0"/>
    <xf numFmtId="169" fontId="1" fillId="0" borderId="0" applyFont="0" applyFill="0" applyBorder="0" applyAlignment="0" applyProtection="0">
      <alignment vertical="center"/>
    </xf>
    <xf numFmtId="179" fontId="1" fillId="0" borderId="0" applyFont="0" applyFill="0" applyBorder="0" applyAlignment="0" applyProtection="0">
      <alignment vertical="center"/>
    </xf>
    <xf numFmtId="9" fontId="1" fillId="0" borderId="0" applyFont="0" applyFill="0" applyBorder="0" applyAlignment="0" applyProtection="0">
      <alignment vertical="center"/>
    </xf>
    <xf numFmtId="0" fontId="2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1"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 fillId="0" borderId="0"/>
    <xf numFmtId="0" fontId="28" fillId="0" borderId="0">
      <alignment vertical="center"/>
    </xf>
    <xf numFmtId="0" fontId="28" fillId="0" borderId="0">
      <alignment vertical="center"/>
    </xf>
    <xf numFmtId="0" fontId="20" fillId="0" borderId="0"/>
    <xf numFmtId="169" fontId="20" fillId="0" borderId="0" applyFont="0" applyFill="0" applyBorder="0" applyAlignment="0" applyProtection="0"/>
    <xf numFmtId="0" fontId="1" fillId="0" borderId="0">
      <alignment vertical="center"/>
    </xf>
    <xf numFmtId="177" fontId="6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cellStyleXfs>
  <cellXfs count="2131">
    <xf numFmtId="0" fontId="0" fillId="0" borderId="0" xfId="0"/>
    <xf numFmtId="0" fontId="2" fillId="0" borderId="0" xfId="0" applyFont="1" applyAlignment="1">
      <alignment horizontal="center"/>
    </xf>
    <xf numFmtId="0" fontId="3" fillId="0" borderId="0" xfId="0" applyFont="1"/>
    <xf numFmtId="14" fontId="3" fillId="0" borderId="0" xfId="0" applyNumberFormat="1" applyFont="1"/>
    <xf numFmtId="0" fontId="4" fillId="0" borderId="0" xfId="0" applyFont="1"/>
    <xf numFmtId="0" fontId="5" fillId="0" borderId="0" xfId="0" applyFont="1"/>
    <xf numFmtId="0" fontId="3" fillId="0" borderId="0" xfId="0" quotePrefix="1" applyFont="1"/>
    <xf numFmtId="0" fontId="6" fillId="0" borderId="0" xfId="0" quotePrefix="1" applyFont="1"/>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8" fillId="0" borderId="1" xfId="0" applyFont="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10" fillId="0" borderId="0" xfId="0" applyFont="1" applyAlignment="1">
      <alignment vertical="center"/>
    </xf>
    <xf numFmtId="0" fontId="11" fillId="0" borderId="0" xfId="0" applyFont="1" applyAlignment="1">
      <alignment horizontal="center" vertical="center"/>
    </xf>
    <xf numFmtId="0" fontId="3" fillId="0" borderId="0" xfId="0" applyFont="1" applyAlignment="1">
      <alignment horizontal="centerContinuous"/>
    </xf>
    <xf numFmtId="0" fontId="12" fillId="0" borderId="0" xfId="0" applyFont="1" applyAlignment="1">
      <alignment horizontal="center" vertical="center"/>
    </xf>
    <xf numFmtId="0" fontId="13" fillId="0" borderId="0" xfId="0" applyFont="1" applyAlignment="1">
      <alignment horizontal="left"/>
    </xf>
    <xf numFmtId="0" fontId="14" fillId="0" borderId="0" xfId="0" applyFont="1" applyAlignment="1">
      <alignment horizontal="center"/>
    </xf>
    <xf numFmtId="14" fontId="13" fillId="0" borderId="0" xfId="0" applyNumberFormat="1" applyFont="1" applyAlignment="1">
      <alignment horizontal="right"/>
    </xf>
    <xf numFmtId="0" fontId="15" fillId="0" borderId="0" xfId="0" applyFont="1" applyAlignment="1">
      <alignment horizontal="centerContinuous"/>
    </xf>
    <xf numFmtId="0" fontId="15" fillId="0" borderId="0" xfId="0" applyFont="1"/>
    <xf numFmtId="0" fontId="16" fillId="0" borderId="0" xfId="0" applyFont="1"/>
    <xf numFmtId="0" fontId="4" fillId="0" borderId="0" xfId="0" applyFont="1" applyAlignment="1">
      <alignment vertical="center"/>
    </xf>
    <xf numFmtId="0" fontId="17" fillId="0" borderId="0" xfId="0" applyFont="1"/>
    <xf numFmtId="0" fontId="4" fillId="0" borderId="4" xfId="0" applyFont="1" applyBorder="1" applyAlignment="1">
      <alignment horizontal="center" vertical="center"/>
    </xf>
    <xf numFmtId="164" fontId="4" fillId="0" borderId="5" xfId="0" applyNumberFormat="1" applyFont="1" applyBorder="1" applyAlignment="1">
      <alignment horizontal="center" vertical="center"/>
    </xf>
    <xf numFmtId="164" fontId="4" fillId="0" borderId="6" xfId="0" applyNumberFormat="1" applyFont="1" applyBorder="1" applyAlignment="1">
      <alignment horizontal="center" vertical="center"/>
    </xf>
    <xf numFmtId="164" fontId="4" fillId="0" borderId="7" xfId="0" applyNumberFormat="1" applyFont="1" applyBorder="1" applyAlignment="1">
      <alignment horizontal="center" vertical="center"/>
    </xf>
    <xf numFmtId="0" fontId="4" fillId="0" borderId="8" xfId="0" applyFont="1" applyBorder="1" applyAlignment="1">
      <alignment horizontal="center" vertical="center"/>
    </xf>
    <xf numFmtId="164" fontId="4" fillId="0" borderId="9" xfId="0" applyNumberFormat="1" applyFont="1" applyBorder="1" applyAlignment="1">
      <alignment horizontal="center" vertical="center"/>
    </xf>
    <xf numFmtId="164" fontId="4" fillId="0" borderId="10" xfId="0" applyNumberFormat="1" applyFont="1" applyBorder="1" applyAlignment="1">
      <alignment horizontal="center" vertical="center"/>
    </xf>
    <xf numFmtId="9" fontId="4" fillId="0" borderId="11" xfId="3" applyFont="1" applyFill="1" applyBorder="1" applyAlignment="1">
      <alignment horizontal="center" vertical="center"/>
    </xf>
    <xf numFmtId="0" fontId="4" fillId="0" borderId="12" xfId="0" applyFont="1" applyBorder="1" applyAlignment="1">
      <alignment horizontal="center" vertical="center"/>
    </xf>
    <xf numFmtId="38" fontId="15" fillId="0" borderId="1" xfId="0" applyNumberFormat="1" applyFont="1" applyBorder="1" applyAlignment="1">
      <alignment horizontal="center" vertical="center"/>
    </xf>
    <xf numFmtId="38" fontId="15" fillId="0" borderId="13" xfId="0" applyNumberFormat="1" applyFont="1" applyBorder="1" applyAlignment="1">
      <alignment horizontal="center" vertical="center"/>
    </xf>
    <xf numFmtId="165" fontId="4" fillId="0" borderId="12" xfId="0" applyNumberFormat="1" applyFont="1" applyBorder="1" applyAlignment="1">
      <alignment horizontal="center" vertical="center"/>
    </xf>
    <xf numFmtId="166" fontId="15" fillId="0" borderId="1" xfId="0" applyNumberFormat="1" applyFont="1" applyBorder="1" applyAlignment="1">
      <alignment horizontal="center" vertical="center"/>
    </xf>
    <xf numFmtId="166" fontId="15" fillId="0" borderId="2" xfId="0" applyNumberFormat="1" applyFont="1" applyBorder="1" applyAlignment="1">
      <alignment horizontal="center" vertical="center"/>
    </xf>
    <xf numFmtId="166" fontId="15" fillId="0" borderId="13" xfId="0" applyNumberFormat="1" applyFont="1" applyBorder="1" applyAlignment="1">
      <alignment horizontal="center" vertical="center"/>
    </xf>
    <xf numFmtId="0" fontId="4" fillId="0" borderId="14" xfId="0" applyFont="1" applyBorder="1" applyAlignment="1">
      <alignment horizontal="center" vertical="center"/>
    </xf>
    <xf numFmtId="164" fontId="15" fillId="0" borderId="15" xfId="0" applyNumberFormat="1" applyFont="1" applyBorder="1" applyAlignment="1">
      <alignment horizontal="center" vertical="center"/>
    </xf>
    <xf numFmtId="164" fontId="15" fillId="0" borderId="16" xfId="0" applyNumberFormat="1" applyFont="1" applyBorder="1" applyAlignment="1">
      <alignment horizontal="center" vertical="center"/>
    </xf>
    <xf numFmtId="164" fontId="15" fillId="0" borderId="17" xfId="0" applyNumberFormat="1" applyFont="1" applyBorder="1" applyAlignment="1">
      <alignment horizontal="center" vertical="center"/>
    </xf>
    <xf numFmtId="164" fontId="18" fillId="0" borderId="5" xfId="0" applyNumberFormat="1" applyFont="1" applyBorder="1" applyAlignment="1">
      <alignment horizontal="center" vertical="center"/>
    </xf>
    <xf numFmtId="164" fontId="18" fillId="0" borderId="6" xfId="0" applyNumberFormat="1" applyFont="1" applyBorder="1" applyAlignment="1">
      <alignment horizontal="center" vertical="center"/>
    </xf>
    <xf numFmtId="164" fontId="18" fillId="0" borderId="7" xfId="0" applyNumberFormat="1" applyFont="1" applyBorder="1" applyAlignment="1">
      <alignment horizontal="center" vertical="center"/>
    </xf>
    <xf numFmtId="0" fontId="4" fillId="0" borderId="18" xfId="0" applyFont="1" applyBorder="1" applyAlignment="1">
      <alignment horizontal="center" vertical="center"/>
    </xf>
    <xf numFmtId="164" fontId="19" fillId="0" borderId="2" xfId="0" applyNumberFormat="1" applyFont="1" applyBorder="1" applyAlignment="1">
      <alignment horizontal="center" vertical="center"/>
    </xf>
    <xf numFmtId="164" fontId="19" fillId="0" borderId="19" xfId="0" applyNumberFormat="1" applyFont="1" applyBorder="1" applyAlignment="1">
      <alignment horizontal="center" vertical="center"/>
    </xf>
    <xf numFmtId="164" fontId="19" fillId="0" borderId="20" xfId="0" applyNumberFormat="1" applyFont="1" applyBorder="1" applyAlignment="1">
      <alignment horizontal="center" vertical="center"/>
    </xf>
    <xf numFmtId="164" fontId="19" fillId="0" borderId="12" xfId="0" applyNumberFormat="1" applyFont="1" applyBorder="1" applyAlignment="1">
      <alignment horizontal="center" vertical="center"/>
    </xf>
    <xf numFmtId="164" fontId="4" fillId="0" borderId="2" xfId="0" applyNumberFormat="1" applyFont="1" applyBorder="1" applyAlignment="1">
      <alignment horizontal="center" vertical="center"/>
    </xf>
    <xf numFmtId="9" fontId="4" fillId="0" borderId="13" xfId="3" applyFont="1" applyFill="1" applyBorder="1" applyAlignment="1">
      <alignment horizontal="center" vertical="center"/>
    </xf>
    <xf numFmtId="0" fontId="4" fillId="0" borderId="21" xfId="0" applyFont="1" applyBorder="1" applyAlignment="1">
      <alignment horizontal="center" vertical="center"/>
    </xf>
    <xf numFmtId="167" fontId="15" fillId="0" borderId="2" xfId="0" applyNumberFormat="1" applyFont="1" applyBorder="1" applyAlignment="1">
      <alignment horizontal="center" vertical="center"/>
    </xf>
    <xf numFmtId="165" fontId="4" fillId="0" borderId="21" xfId="0" applyNumberFormat="1" applyFont="1" applyBorder="1" applyAlignment="1">
      <alignment horizontal="center" vertical="center"/>
    </xf>
    <xf numFmtId="0" fontId="4" fillId="0" borderId="22" xfId="0" applyFont="1" applyBorder="1" applyAlignment="1">
      <alignment horizontal="center" vertical="center"/>
    </xf>
    <xf numFmtId="0" fontId="21" fillId="0" borderId="0" xfId="4" applyFont="1" applyAlignment="1">
      <alignment horizontal="centerContinuous" vertical="center"/>
    </xf>
    <xf numFmtId="0" fontId="22" fillId="0" borderId="0" xfId="4" applyFont="1"/>
    <xf numFmtId="0" fontId="23" fillId="0" borderId="0" xfId="4" applyFont="1" applyAlignment="1">
      <alignment vertical="center"/>
    </xf>
    <xf numFmtId="0" fontId="24" fillId="0" borderId="0" xfId="4" applyFont="1" applyAlignment="1">
      <alignment horizontal="center"/>
    </xf>
    <xf numFmtId="0" fontId="25" fillId="0" borderId="0" xfId="4" applyFont="1"/>
    <xf numFmtId="0" fontId="25" fillId="0" borderId="0" xfId="4" applyFont="1" applyAlignment="1">
      <alignment vertical="center"/>
    </xf>
    <xf numFmtId="0" fontId="13" fillId="3" borderId="2" xfId="4" applyFont="1" applyFill="1" applyBorder="1" applyAlignment="1">
      <alignment horizontal="center" vertical="center" wrapText="1"/>
    </xf>
    <xf numFmtId="0" fontId="13" fillId="3" borderId="19" xfId="4" applyFont="1" applyFill="1" applyBorder="1" applyAlignment="1">
      <alignment horizontal="center" vertical="center"/>
    </xf>
    <xf numFmtId="0" fontId="13" fillId="3" borderId="3" xfId="4" applyFont="1" applyFill="1" applyBorder="1" applyAlignment="1">
      <alignment horizontal="center" vertical="center"/>
    </xf>
    <xf numFmtId="0" fontId="26" fillId="0" borderId="0" xfId="4" applyFont="1" applyAlignment="1">
      <alignment vertical="center"/>
    </xf>
    <xf numFmtId="0" fontId="26" fillId="0" borderId="0" xfId="4" applyFont="1" applyAlignment="1">
      <alignment vertical="center" wrapText="1"/>
    </xf>
    <xf numFmtId="0" fontId="13" fillId="3" borderId="2" xfId="4" applyFont="1" applyFill="1" applyBorder="1" applyAlignment="1">
      <alignment horizontal="center" vertical="center"/>
    </xf>
    <xf numFmtId="0" fontId="5" fillId="0" borderId="0" xfId="4" applyFont="1" applyAlignment="1">
      <alignment vertical="center"/>
    </xf>
    <xf numFmtId="0" fontId="25" fillId="0" borderId="0" xfId="4" quotePrefix="1" applyFont="1" applyAlignment="1">
      <alignment horizontal="center" vertical="center"/>
    </xf>
    <xf numFmtId="0" fontId="3" fillId="0" borderId="0" xfId="4" applyFont="1" applyAlignment="1">
      <alignment vertical="center"/>
    </xf>
    <xf numFmtId="0" fontId="3" fillId="4" borderId="1" xfId="4" applyFont="1" applyFill="1" applyBorder="1" applyAlignment="1">
      <alignment vertical="center"/>
    </xf>
    <xf numFmtId="0" fontId="27" fillId="4" borderId="2" xfId="4" applyFont="1" applyFill="1" applyBorder="1" applyAlignment="1">
      <alignment horizontal="center" vertical="center"/>
    </xf>
    <xf numFmtId="0" fontId="27" fillId="4" borderId="19" xfId="4" applyFont="1" applyFill="1" applyBorder="1" applyAlignment="1">
      <alignment horizontal="center" vertical="center"/>
    </xf>
    <xf numFmtId="0" fontId="27" fillId="4" borderId="3" xfId="4" applyFont="1" applyFill="1" applyBorder="1" applyAlignment="1">
      <alignment horizontal="center" vertical="center"/>
    </xf>
    <xf numFmtId="0" fontId="3" fillId="0" borderId="0" xfId="4" quotePrefix="1" applyFont="1" applyAlignment="1">
      <alignment vertical="center"/>
    </xf>
    <xf numFmtId="0" fontId="3" fillId="5" borderId="1" xfId="4" applyFont="1" applyFill="1" applyBorder="1" applyAlignment="1">
      <alignment vertical="center"/>
    </xf>
    <xf numFmtId="0" fontId="5" fillId="0" borderId="0" xfId="4" applyFont="1" applyAlignment="1">
      <alignment horizontal="left" vertical="center" wrapText="1"/>
    </xf>
    <xf numFmtId="0" fontId="5" fillId="0" borderId="0" xfId="4" applyFont="1" applyAlignment="1">
      <alignment vertical="center" wrapText="1"/>
    </xf>
    <xf numFmtId="0" fontId="25" fillId="0" borderId="0" xfId="4" applyFont="1" applyAlignment="1">
      <alignment horizontal="left"/>
    </xf>
    <xf numFmtId="0" fontId="25" fillId="0" borderId="0" xfId="4" applyFont="1" applyAlignment="1">
      <alignment horizontal="center" vertical="center"/>
    </xf>
    <xf numFmtId="0" fontId="5" fillId="0" borderId="0" xfId="4" applyFont="1" applyAlignment="1">
      <alignment horizontal="center" vertical="center" wrapText="1"/>
    </xf>
    <xf numFmtId="14" fontId="3" fillId="6" borderId="0" xfId="4" applyNumberFormat="1" applyFont="1" applyFill="1" applyAlignment="1">
      <alignment vertical="center"/>
    </xf>
    <xf numFmtId="0" fontId="5" fillId="3" borderId="4" xfId="4" applyFont="1" applyFill="1" applyBorder="1" applyAlignment="1">
      <alignment horizontal="center" vertical="center" wrapText="1"/>
    </xf>
    <xf numFmtId="0" fontId="5" fillId="3" borderId="23" xfId="4" applyFont="1" applyFill="1" applyBorder="1" applyAlignment="1">
      <alignment horizontal="center" vertical="center" wrapText="1"/>
    </xf>
    <xf numFmtId="0" fontId="5" fillId="3" borderId="24" xfId="4" applyFont="1" applyFill="1" applyBorder="1" applyAlignment="1">
      <alignment horizontal="center" vertical="center" wrapText="1"/>
    </xf>
    <xf numFmtId="0" fontId="5" fillId="3" borderId="25" xfId="4" applyFont="1" applyFill="1" applyBorder="1" applyAlignment="1">
      <alignment horizontal="center" vertical="center" wrapText="1"/>
    </xf>
    <xf numFmtId="0" fontId="5" fillId="7" borderId="5" xfId="4" applyFont="1" applyFill="1" applyBorder="1" applyAlignment="1">
      <alignment horizontal="center" vertical="center" wrapText="1"/>
    </xf>
    <xf numFmtId="0" fontId="5" fillId="7" borderId="6" xfId="4" applyFont="1" applyFill="1" applyBorder="1" applyAlignment="1">
      <alignment horizontal="center" vertical="center" wrapText="1"/>
    </xf>
    <xf numFmtId="0" fontId="5" fillId="7" borderId="26" xfId="4" applyFont="1" applyFill="1" applyBorder="1" applyAlignment="1">
      <alignment horizontal="center" vertical="center" wrapText="1"/>
    </xf>
    <xf numFmtId="0" fontId="5" fillId="8" borderId="27" xfId="5" applyFont="1" applyFill="1" applyBorder="1" applyAlignment="1">
      <alignment horizontal="center" vertical="center" wrapText="1"/>
    </xf>
    <xf numFmtId="0" fontId="13" fillId="9" borderId="27" xfId="4" applyFont="1" applyFill="1" applyBorder="1" applyAlignment="1">
      <alignment horizontal="center" vertical="center" wrapText="1"/>
    </xf>
    <xf numFmtId="0" fontId="13" fillId="9" borderId="28" xfId="4" applyFont="1" applyFill="1" applyBorder="1" applyAlignment="1">
      <alignment horizontal="center" vertical="center" wrapText="1"/>
    </xf>
    <xf numFmtId="0" fontId="5" fillId="3" borderId="18" xfId="4" applyFont="1" applyFill="1" applyBorder="1" applyAlignment="1">
      <alignment horizontal="center" vertical="center" wrapText="1"/>
    </xf>
    <xf numFmtId="0" fontId="5" fillId="3" borderId="29" xfId="4" applyFont="1" applyFill="1" applyBorder="1" applyAlignment="1">
      <alignment horizontal="center" vertical="center" wrapText="1"/>
    </xf>
    <xf numFmtId="0" fontId="5" fillId="3" borderId="30" xfId="4" applyFont="1" applyFill="1" applyBorder="1" applyAlignment="1">
      <alignment horizontal="center" vertical="center" wrapText="1"/>
    </xf>
    <xf numFmtId="0" fontId="5" fillId="3" borderId="31" xfId="4" applyFont="1" applyFill="1" applyBorder="1" applyAlignment="1">
      <alignment horizontal="center" vertical="center" wrapText="1"/>
    </xf>
    <xf numFmtId="0" fontId="5" fillId="7" borderId="2" xfId="4" applyFont="1" applyFill="1" applyBorder="1" applyAlignment="1">
      <alignment horizontal="center" vertical="center" wrapText="1"/>
    </xf>
    <xf numFmtId="0" fontId="5" fillId="7" borderId="19" xfId="4" applyFont="1" applyFill="1" applyBorder="1" applyAlignment="1">
      <alignment horizontal="center" vertical="center" wrapText="1"/>
    </xf>
    <xf numFmtId="0" fontId="5" fillId="7" borderId="3" xfId="4" applyFont="1" applyFill="1" applyBorder="1" applyAlignment="1">
      <alignment horizontal="center" vertical="center" wrapText="1"/>
    </xf>
    <xf numFmtId="0" fontId="5" fillId="8" borderId="32" xfId="5" applyFont="1" applyFill="1" applyBorder="1" applyAlignment="1">
      <alignment horizontal="center" vertical="center" wrapText="1"/>
    </xf>
    <xf numFmtId="0" fontId="29" fillId="9" borderId="33" xfId="6" applyFont="1" applyFill="1" applyBorder="1" applyAlignment="1">
      <alignment horizontal="center" vertical="center" wrapText="1"/>
    </xf>
    <xf numFmtId="0" fontId="29" fillId="9" borderId="34" xfId="7" applyFont="1" applyFill="1" applyBorder="1" applyAlignment="1">
      <alignment horizontal="center" vertical="center" wrapText="1"/>
    </xf>
    <xf numFmtId="0" fontId="30" fillId="9" borderId="35" xfId="4" applyFont="1" applyFill="1" applyBorder="1" applyAlignment="1">
      <alignment horizontal="center" vertical="center" wrapText="1"/>
    </xf>
    <xf numFmtId="0" fontId="5" fillId="7" borderId="36" xfId="4" applyFont="1" applyFill="1" applyBorder="1" applyAlignment="1">
      <alignment horizontal="center" vertical="center" wrapText="1"/>
    </xf>
    <xf numFmtId="0" fontId="5" fillId="7" borderId="37" xfId="4" applyFont="1" applyFill="1" applyBorder="1" applyAlignment="1">
      <alignment horizontal="center" vertical="center" wrapText="1"/>
    </xf>
    <xf numFmtId="0" fontId="5" fillId="7" borderId="37" xfId="8" applyFont="1" applyFill="1" applyBorder="1" applyAlignment="1">
      <alignment horizontal="center" vertical="center" wrapText="1"/>
    </xf>
    <xf numFmtId="0" fontId="5" fillId="7" borderId="38" xfId="4" applyFont="1" applyFill="1" applyBorder="1" applyAlignment="1">
      <alignment horizontal="center" vertical="center" wrapText="1"/>
    </xf>
    <xf numFmtId="0" fontId="29" fillId="9" borderId="39" xfId="6" applyFont="1" applyFill="1" applyBorder="1" applyAlignment="1">
      <alignment horizontal="center" vertical="center" wrapText="1"/>
    </xf>
    <xf numFmtId="0" fontId="29" fillId="9" borderId="40" xfId="7" applyFont="1" applyFill="1" applyBorder="1" applyAlignment="1">
      <alignment horizontal="center" vertical="center" wrapText="1"/>
    </xf>
    <xf numFmtId="0" fontId="30" fillId="9" borderId="41" xfId="4" applyFont="1" applyFill="1" applyBorder="1" applyAlignment="1">
      <alignment horizontal="center" vertical="center" wrapText="1"/>
    </xf>
    <xf numFmtId="0" fontId="5" fillId="0" borderId="21" xfId="4" applyFont="1" applyBorder="1" applyAlignment="1">
      <alignment horizontal="center" vertical="center" wrapText="1"/>
    </xf>
    <xf numFmtId="0" fontId="5" fillId="0" borderId="2" xfId="4" applyFont="1" applyBorder="1" applyAlignment="1">
      <alignment horizontal="left" vertical="center"/>
    </xf>
    <xf numFmtId="0" fontId="5" fillId="0" borderId="3" xfId="4" applyFont="1" applyBorder="1" applyAlignment="1">
      <alignment horizontal="center" vertical="center"/>
    </xf>
    <xf numFmtId="0" fontId="5" fillId="0" borderId="1" xfId="4" applyFont="1" applyBorder="1" applyAlignment="1">
      <alignment horizontal="center" vertical="center" wrapText="1"/>
    </xf>
    <xf numFmtId="0" fontId="5" fillId="0" borderId="36" xfId="4" applyFont="1" applyBorder="1" applyAlignment="1">
      <alignment horizontal="center" vertical="center" wrapText="1"/>
    </xf>
    <xf numFmtId="0" fontId="5" fillId="0" borderId="37" xfId="4" applyFont="1" applyBorder="1" applyAlignment="1">
      <alignment horizontal="center" vertical="center" wrapText="1"/>
    </xf>
    <xf numFmtId="0" fontId="5" fillId="0" borderId="37" xfId="8" applyFont="1" applyBorder="1" applyAlignment="1">
      <alignment horizontal="center" vertical="center" wrapText="1"/>
    </xf>
    <xf numFmtId="0" fontId="5" fillId="0" borderId="38" xfId="4" applyFont="1" applyBorder="1" applyAlignment="1">
      <alignment horizontal="center" vertical="center" wrapText="1"/>
    </xf>
    <xf numFmtId="0" fontId="5" fillId="10" borderId="13" xfId="5" applyFont="1" applyFill="1" applyBorder="1" applyAlignment="1">
      <alignment horizontal="left" vertical="center" wrapText="1"/>
    </xf>
    <xf numFmtId="0" fontId="25" fillId="10" borderId="42" xfId="9" applyFont="1" applyFill="1" applyBorder="1" applyAlignment="1">
      <alignment horizontal="center" vertical="center" wrapText="1"/>
    </xf>
    <xf numFmtId="0" fontId="25" fillId="10" borderId="37" xfId="4" applyFont="1" applyFill="1" applyBorder="1" applyAlignment="1">
      <alignment horizontal="center" vertical="center" wrapText="1"/>
    </xf>
    <xf numFmtId="0" fontId="25" fillId="10" borderId="43" xfId="4" applyFont="1" applyFill="1" applyBorder="1" applyAlignment="1">
      <alignment vertical="center" wrapText="1"/>
    </xf>
    <xf numFmtId="0" fontId="17" fillId="0" borderId="21" xfId="4" applyFont="1" applyBorder="1" applyAlignment="1">
      <alignment horizontal="center" vertical="center" wrapText="1"/>
    </xf>
    <xf numFmtId="0" fontId="17" fillId="0" borderId="2" xfId="4" applyFont="1" applyBorder="1" applyAlignment="1">
      <alignment horizontal="left" vertical="center"/>
    </xf>
    <xf numFmtId="0" fontId="17" fillId="0" borderId="3" xfId="4" applyFont="1" applyBorder="1" applyAlignment="1">
      <alignment horizontal="center" vertical="center"/>
    </xf>
    <xf numFmtId="0" fontId="17" fillId="0" borderId="1" xfId="4" applyFont="1" applyBorder="1" applyAlignment="1">
      <alignment horizontal="center" vertical="center" wrapText="1"/>
    </xf>
    <xf numFmtId="0" fontId="17" fillId="0" borderId="36" xfId="4" applyFont="1" applyBorder="1" applyAlignment="1">
      <alignment horizontal="center" vertical="center" wrapText="1"/>
    </xf>
    <xf numFmtId="0" fontId="17" fillId="0" borderId="37" xfId="4" applyFont="1" applyBorder="1" applyAlignment="1">
      <alignment horizontal="center" vertical="center" wrapText="1"/>
    </xf>
    <xf numFmtId="0" fontId="17" fillId="0" borderId="37" xfId="8" applyFont="1" applyBorder="1" applyAlignment="1">
      <alignment horizontal="center" vertical="center" wrapText="1"/>
    </xf>
    <xf numFmtId="0" fontId="17" fillId="0" borderId="38" xfId="4" applyFont="1" applyBorder="1" applyAlignment="1">
      <alignment horizontal="center" vertical="center" wrapText="1"/>
    </xf>
    <xf numFmtId="0" fontId="17" fillId="10" borderId="13" xfId="5" applyFont="1" applyFill="1" applyBorder="1" applyAlignment="1">
      <alignment horizontal="left" vertical="center" wrapText="1"/>
    </xf>
    <xf numFmtId="0" fontId="16" fillId="0" borderId="0" xfId="4" applyFont="1"/>
    <xf numFmtId="0" fontId="16" fillId="0" borderId="0" xfId="4" applyFont="1" applyAlignment="1">
      <alignment vertical="center"/>
    </xf>
    <xf numFmtId="0" fontId="25" fillId="0" borderId="21" xfId="4" applyFont="1" applyBorder="1" applyAlignment="1">
      <alignment horizontal="center" vertical="center" wrapText="1"/>
    </xf>
    <xf numFmtId="0" fontId="25" fillId="0" borderId="2" xfId="0" applyFont="1" applyBorder="1" applyAlignment="1">
      <alignment horizontal="center" vertical="center" wrapText="1"/>
    </xf>
    <xf numFmtId="0" fontId="25" fillId="0" borderId="3" xfId="0" applyFont="1" applyBorder="1" applyAlignment="1">
      <alignment horizontal="left" vertical="center" wrapText="1"/>
    </xf>
    <xf numFmtId="0" fontId="25" fillId="0" borderId="1" xfId="4" applyFont="1" applyBorder="1" applyAlignment="1">
      <alignment horizontal="center" vertical="center" wrapText="1"/>
    </xf>
    <xf numFmtId="0" fontId="5" fillId="0" borderId="36" xfId="4" quotePrefix="1" applyFont="1" applyBorder="1" applyAlignment="1">
      <alignment horizontal="center" vertical="center" wrapText="1"/>
    </xf>
    <xf numFmtId="0" fontId="5" fillId="5" borderId="37" xfId="4" quotePrefix="1" applyFont="1" applyFill="1" applyBorder="1" applyAlignment="1">
      <alignment horizontal="center" vertical="center" wrapText="1"/>
    </xf>
    <xf numFmtId="0" fontId="5" fillId="5" borderId="37" xfId="8" applyFont="1" applyFill="1" applyBorder="1" applyAlignment="1">
      <alignment horizontal="center" vertical="center" wrapText="1"/>
    </xf>
    <xf numFmtId="0" fontId="5" fillId="5" borderId="38" xfId="4" applyFont="1" applyFill="1" applyBorder="1" applyAlignment="1">
      <alignment horizontal="center" vertical="center" wrapText="1"/>
    </xf>
    <xf numFmtId="0" fontId="5" fillId="0" borderId="37" xfId="4" quotePrefix="1" applyFont="1" applyBorder="1" applyAlignment="1">
      <alignment horizontal="center" vertical="center" wrapText="1"/>
    </xf>
    <xf numFmtId="0" fontId="5" fillId="0" borderId="38" xfId="4" quotePrefix="1" applyFont="1" applyBorder="1" applyAlignment="1">
      <alignment horizontal="center" vertical="center" wrapText="1"/>
    </xf>
    <xf numFmtId="0" fontId="25" fillId="10" borderId="20" xfId="5" quotePrefix="1" applyFont="1" applyFill="1" applyBorder="1" applyAlignment="1">
      <alignment horizontal="left" vertical="center" wrapText="1"/>
    </xf>
    <xf numFmtId="0" fontId="25" fillId="0" borderId="3" xfId="10" applyFont="1" applyBorder="1" applyAlignment="1">
      <alignment horizontal="left" vertical="center"/>
    </xf>
    <xf numFmtId="0" fontId="32" fillId="0" borderId="0" xfId="4" applyFont="1" applyAlignment="1">
      <alignment vertical="center"/>
    </xf>
    <xf numFmtId="0" fontId="25" fillId="0" borderId="2" xfId="4" applyFont="1" applyBorder="1" applyAlignment="1">
      <alignment horizontal="center" vertical="center"/>
    </xf>
    <xf numFmtId="0" fontId="25" fillId="0" borderId="3" xfId="4" applyFont="1" applyBorder="1" applyAlignment="1">
      <alignment horizontal="left" vertical="center"/>
    </xf>
    <xf numFmtId="0" fontId="25" fillId="10" borderId="43" xfId="5" quotePrefix="1" applyFont="1" applyFill="1" applyBorder="1" applyAlignment="1">
      <alignment horizontal="left" vertical="center" wrapText="1"/>
    </xf>
    <xf numFmtId="0" fontId="25" fillId="10" borderId="42" xfId="4" applyFont="1" applyFill="1" applyBorder="1" applyAlignment="1">
      <alignment horizontal="center" vertical="center" wrapText="1"/>
    </xf>
    <xf numFmtId="0" fontId="3" fillId="0" borderId="36" xfId="4" applyFont="1" applyBorder="1" applyAlignment="1">
      <alignment horizontal="center" vertical="center" wrapText="1"/>
    </xf>
    <xf numFmtId="0" fontId="3" fillId="0" borderId="37" xfId="4" applyFont="1" applyBorder="1" applyAlignment="1">
      <alignment horizontal="center" vertical="center" wrapText="1"/>
    </xf>
    <xf numFmtId="0" fontId="3" fillId="0" borderId="37" xfId="8" applyFont="1" applyBorder="1" applyAlignment="1">
      <alignment horizontal="center" vertical="center" wrapText="1"/>
    </xf>
    <xf numFmtId="0" fontId="3" fillId="0" borderId="38" xfId="4" applyFont="1" applyBorder="1" applyAlignment="1">
      <alignment horizontal="center" vertical="center" wrapText="1"/>
    </xf>
    <xf numFmtId="0" fontId="25" fillId="0" borderId="36" xfId="4" applyFont="1" applyBorder="1" applyAlignment="1">
      <alignment horizontal="center" vertical="center" wrapText="1"/>
    </xf>
    <xf numFmtId="0" fontId="25" fillId="0" borderId="37" xfId="4" applyFont="1" applyBorder="1" applyAlignment="1">
      <alignment horizontal="center" vertical="center" wrapText="1"/>
    </xf>
    <xf numFmtId="0" fontId="25" fillId="0" borderId="37" xfId="8" applyFont="1" applyBorder="1" applyAlignment="1">
      <alignment horizontal="center" vertical="center" wrapText="1"/>
    </xf>
    <xf numFmtId="0" fontId="25" fillId="0" borderId="38" xfId="4" applyFont="1" applyBorder="1" applyAlignment="1">
      <alignment horizontal="center" vertical="center" wrapText="1"/>
    </xf>
    <xf numFmtId="0" fontId="25" fillId="10" borderId="13" xfId="5" applyFont="1" applyFill="1" applyBorder="1" applyAlignment="1">
      <alignment horizontal="left" vertical="center" wrapText="1"/>
    </xf>
    <xf numFmtId="0" fontId="25" fillId="0" borderId="3" xfId="4" quotePrefix="1" applyFont="1" applyBorder="1" applyAlignment="1">
      <alignment horizontal="left" vertical="center"/>
    </xf>
    <xf numFmtId="0" fontId="5" fillId="5" borderId="37" xfId="4" applyFont="1" applyFill="1" applyBorder="1" applyAlignment="1">
      <alignment horizontal="center" vertical="center" wrapText="1"/>
    </xf>
    <xf numFmtId="0" fontId="25" fillId="10" borderId="11" xfId="5" applyFont="1" applyFill="1" applyBorder="1" applyAlignment="1">
      <alignment horizontal="left" vertical="center" wrapText="1"/>
    </xf>
    <xf numFmtId="0" fontId="25" fillId="10" borderId="32" xfId="5" applyFont="1" applyFill="1" applyBorder="1" applyAlignment="1">
      <alignment horizontal="left" vertical="center" wrapText="1"/>
    </xf>
    <xf numFmtId="0" fontId="25" fillId="10" borderId="44" xfId="5" applyFont="1" applyFill="1" applyBorder="1" applyAlignment="1">
      <alignment horizontal="left" vertical="center" wrapText="1"/>
    </xf>
    <xf numFmtId="0" fontId="30" fillId="0" borderId="8" xfId="4" applyFont="1" applyBorder="1" applyAlignment="1">
      <alignment horizontal="center" vertical="center" wrapText="1"/>
    </xf>
    <xf numFmtId="0" fontId="25" fillId="6" borderId="45" xfId="0" applyFont="1" applyFill="1" applyBorder="1" applyAlignment="1">
      <alignment horizontal="center" vertical="center" wrapText="1"/>
    </xf>
    <xf numFmtId="0" fontId="25" fillId="6" borderId="46" xfId="9" applyFont="1" applyFill="1" applyBorder="1" applyAlignment="1">
      <alignment horizontal="left" vertical="center" wrapText="1"/>
    </xf>
    <xf numFmtId="0" fontId="25" fillId="6" borderId="1" xfId="9" applyFont="1" applyFill="1" applyBorder="1" applyAlignment="1">
      <alignment horizontal="center" vertical="center" wrapText="1"/>
    </xf>
    <xf numFmtId="0" fontId="5" fillId="4" borderId="36" xfId="4" applyFont="1" applyFill="1" applyBorder="1" applyAlignment="1">
      <alignment horizontal="center" vertical="center" wrapText="1"/>
    </xf>
    <xf numFmtId="0" fontId="5" fillId="4" borderId="37" xfId="11" applyFont="1" applyFill="1" applyBorder="1" applyAlignment="1">
      <alignment horizontal="center" vertical="center" wrapText="1"/>
    </xf>
    <xf numFmtId="0" fontId="5" fillId="5" borderId="36" xfId="4" applyFont="1" applyFill="1" applyBorder="1" applyAlignment="1">
      <alignment horizontal="center" vertical="center" wrapText="1"/>
    </xf>
    <xf numFmtId="0" fontId="25" fillId="10" borderId="13" xfId="4" applyFont="1" applyFill="1" applyBorder="1" applyAlignment="1">
      <alignment vertical="center" wrapText="1"/>
    </xf>
    <xf numFmtId="0" fontId="3" fillId="0" borderId="0" xfId="4" applyFont="1"/>
    <xf numFmtId="0" fontId="5" fillId="4" borderId="38" xfId="11" applyFont="1" applyFill="1" applyBorder="1" applyAlignment="1">
      <alignment horizontal="center" vertical="center" wrapText="1"/>
    </xf>
    <xf numFmtId="0" fontId="5" fillId="4" borderId="37" xfId="4" applyFont="1" applyFill="1" applyBorder="1" applyAlignment="1">
      <alignment horizontal="center" vertical="center" wrapText="1"/>
    </xf>
    <xf numFmtId="0" fontId="25" fillId="0" borderId="3" xfId="9" applyFont="1" applyBorder="1" applyAlignment="1">
      <alignment vertical="center" wrapText="1"/>
    </xf>
    <xf numFmtId="0" fontId="25" fillId="0" borderId="47" xfId="9" applyFont="1" applyBorder="1" applyAlignment="1">
      <alignment horizontal="center" vertical="center" wrapText="1"/>
    </xf>
    <xf numFmtId="0" fontId="5" fillId="5" borderId="37" xfId="11" applyFont="1" applyFill="1" applyBorder="1" applyAlignment="1">
      <alignment horizontal="center" vertical="center" wrapText="1"/>
    </xf>
    <xf numFmtId="0" fontId="25" fillId="0" borderId="45" xfId="0" applyFont="1" applyBorder="1" applyAlignment="1">
      <alignment horizontal="center" vertical="center" wrapText="1"/>
    </xf>
    <xf numFmtId="0" fontId="25" fillId="0" borderId="1" xfId="9" applyFont="1" applyBorder="1" applyAlignment="1">
      <alignment horizontal="center" vertical="center" wrapText="1"/>
    </xf>
    <xf numFmtId="0" fontId="25" fillId="0" borderId="8" xfId="4" applyFont="1" applyBorder="1" applyAlignment="1">
      <alignment horizontal="center" vertical="center" wrapText="1"/>
    </xf>
    <xf numFmtId="0" fontId="25" fillId="0" borderId="47" xfId="4" applyFont="1" applyBorder="1" applyAlignment="1">
      <alignment horizontal="center" vertical="center" wrapText="1"/>
    </xf>
    <xf numFmtId="0" fontId="30" fillId="0" borderId="2" xfId="4" applyFont="1" applyBorder="1" applyAlignment="1">
      <alignment horizontal="left" vertical="center"/>
    </xf>
    <xf numFmtId="0" fontId="25" fillId="0" borderId="2" xfId="4" applyFont="1" applyBorder="1" applyAlignment="1">
      <alignment horizontal="left" vertical="center"/>
    </xf>
    <xf numFmtId="0" fontId="5" fillId="0" borderId="8" xfId="4" applyFont="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3" fillId="0" borderId="47" xfId="4" applyFont="1" applyBorder="1" applyAlignment="1">
      <alignment horizontal="center" vertical="center" wrapText="1"/>
    </xf>
    <xf numFmtId="0" fontId="3" fillId="10" borderId="13" xfId="4" applyFont="1" applyFill="1" applyBorder="1" applyAlignment="1">
      <alignment vertical="center" wrapText="1"/>
    </xf>
    <xf numFmtId="0" fontId="25" fillId="6" borderId="46" xfId="12" applyFont="1" applyFill="1" applyBorder="1" applyAlignment="1">
      <alignment horizontal="left" vertical="center" wrapText="1"/>
    </xf>
    <xf numFmtId="0" fontId="25" fillId="6" borderId="1" xfId="12" applyFont="1" applyFill="1" applyBorder="1" applyAlignment="1">
      <alignment horizontal="center" vertical="center" wrapText="1"/>
    </xf>
    <xf numFmtId="0" fontId="5" fillId="5" borderId="37" xfId="13" applyFont="1" applyFill="1" applyBorder="1" applyAlignment="1">
      <alignment horizontal="center" vertical="center" wrapText="1"/>
    </xf>
    <xf numFmtId="0" fontId="5" fillId="4" borderId="37" xfId="13" applyFont="1" applyFill="1" applyBorder="1" applyAlignment="1">
      <alignment horizontal="center" vertical="center" wrapText="1"/>
    </xf>
    <xf numFmtId="0" fontId="5" fillId="4" borderId="38" xfId="4" applyFont="1" applyFill="1" applyBorder="1" applyAlignment="1">
      <alignment horizontal="center" vertical="center" wrapText="1"/>
    </xf>
    <xf numFmtId="0" fontId="25" fillId="6" borderId="3" xfId="12" applyFont="1" applyFill="1" applyBorder="1" applyAlignment="1">
      <alignment horizontal="left" vertical="center" wrapText="1"/>
    </xf>
    <xf numFmtId="0" fontId="25" fillId="10" borderId="42" xfId="12" applyFont="1" applyFill="1" applyBorder="1" applyAlignment="1">
      <alignment horizontal="center" vertical="center" wrapText="1"/>
    </xf>
    <xf numFmtId="0" fontId="25" fillId="6" borderId="3" xfId="12" applyFont="1" applyFill="1" applyBorder="1" applyAlignment="1">
      <alignment vertical="center" wrapText="1"/>
    </xf>
    <xf numFmtId="46" fontId="25" fillId="10" borderId="42" xfId="12" quotePrefix="1" applyNumberFormat="1" applyFont="1" applyFill="1" applyBorder="1" applyAlignment="1">
      <alignment horizontal="center" vertical="center" wrapText="1"/>
    </xf>
    <xf numFmtId="0" fontId="5" fillId="4" borderId="38" xfId="13" applyFont="1" applyFill="1" applyBorder="1" applyAlignment="1">
      <alignment horizontal="center" vertical="center" wrapText="1"/>
    </xf>
    <xf numFmtId="0" fontId="25" fillId="6" borderId="3" xfId="9" applyFont="1" applyFill="1" applyBorder="1" applyAlignment="1">
      <alignment vertical="center" wrapText="1"/>
    </xf>
    <xf numFmtId="0" fontId="25" fillId="10" borderId="43" xfId="4" applyFont="1" applyFill="1" applyBorder="1" applyAlignment="1">
      <alignment horizontal="left" vertical="center" wrapText="1"/>
    </xf>
    <xf numFmtId="0" fontId="5" fillId="5" borderId="36" xfId="11" applyFont="1" applyFill="1" applyBorder="1" applyAlignment="1">
      <alignment horizontal="center" vertical="center" wrapText="1"/>
    </xf>
    <xf numFmtId="0" fontId="5" fillId="5" borderId="38" xfId="4" quotePrefix="1" applyFont="1" applyFill="1" applyBorder="1" applyAlignment="1">
      <alignment horizontal="center" vertical="center" wrapText="1"/>
    </xf>
    <xf numFmtId="0" fontId="5" fillId="0" borderId="37" xfId="11" applyFont="1" applyBorder="1" applyAlignment="1">
      <alignment horizontal="center" vertical="center" wrapText="1"/>
    </xf>
    <xf numFmtId="0" fontId="5" fillId="0" borderId="48" xfId="4" applyFont="1" applyBorder="1" applyAlignment="1">
      <alignment horizontal="center" vertical="center" wrapText="1"/>
    </xf>
    <xf numFmtId="0" fontId="5" fillId="0" borderId="10" xfId="0" applyFont="1" applyBorder="1" applyAlignment="1">
      <alignment horizontal="left" vertical="center" wrapText="1"/>
    </xf>
    <xf numFmtId="0" fontId="5" fillId="0" borderId="49" xfId="0" applyFont="1" applyBorder="1" applyAlignment="1">
      <alignment horizontal="left" vertical="center" wrapText="1"/>
    </xf>
    <xf numFmtId="0" fontId="3" fillId="0" borderId="9" xfId="4" applyFont="1" applyBorder="1" applyAlignment="1">
      <alignment horizontal="center" vertical="center" wrapText="1"/>
    </xf>
    <xf numFmtId="168" fontId="5" fillId="0" borderId="33" xfId="4" applyNumberFormat="1" applyFont="1" applyBorder="1" applyAlignment="1">
      <alignment horizontal="center" vertical="center" wrapText="1"/>
    </xf>
    <xf numFmtId="168" fontId="5" fillId="0" borderId="34" xfId="4" applyNumberFormat="1" applyFont="1" applyBorder="1" applyAlignment="1">
      <alignment horizontal="center" vertical="center" wrapText="1"/>
    </xf>
    <xf numFmtId="0" fontId="5" fillId="0" borderId="34" xfId="4" applyFont="1" applyBorder="1" applyAlignment="1">
      <alignment horizontal="center" vertical="center" wrapText="1"/>
    </xf>
    <xf numFmtId="0" fontId="5" fillId="0" borderId="50" xfId="4" applyFont="1" applyBorder="1" applyAlignment="1">
      <alignment horizontal="center" vertical="center" wrapText="1"/>
    </xf>
    <xf numFmtId="0" fontId="3" fillId="10" borderId="11" xfId="4" applyFont="1" applyFill="1" applyBorder="1" applyAlignment="1">
      <alignment vertical="center" wrapText="1"/>
    </xf>
    <xf numFmtId="0" fontId="30" fillId="0" borderId="21" xfId="4" applyFont="1" applyBorder="1" applyAlignment="1">
      <alignment horizontal="center" vertical="center" wrapText="1"/>
    </xf>
    <xf numFmtId="0" fontId="25" fillId="6" borderId="19" xfId="0" applyFont="1" applyFill="1" applyBorder="1" applyAlignment="1">
      <alignment horizontal="center" vertical="center" wrapText="1"/>
    </xf>
    <xf numFmtId="0" fontId="5" fillId="5" borderId="36" xfId="11" applyFont="1" applyFill="1" applyBorder="1" applyAlignment="1">
      <alignment horizontal="center" vertical="center" wrapText="1"/>
    </xf>
    <xf numFmtId="0" fontId="5" fillId="5" borderId="37" xfId="11" applyFont="1" applyFill="1" applyBorder="1" applyAlignment="1">
      <alignment horizontal="center" vertical="center" wrapText="1"/>
    </xf>
    <xf numFmtId="0" fontId="5" fillId="5" borderId="38" xfId="11" applyFont="1" applyFill="1" applyBorder="1" applyAlignment="1">
      <alignment horizontal="center" vertical="center" wrapText="1"/>
    </xf>
    <xf numFmtId="0" fontId="5" fillId="0" borderId="36" xfId="11" applyFont="1" applyBorder="1" applyAlignment="1">
      <alignment horizontal="center" vertical="center" wrapText="1"/>
    </xf>
    <xf numFmtId="0" fontId="5" fillId="0" borderId="38" xfId="11" applyFont="1" applyBorder="1" applyAlignment="1">
      <alignment horizontal="center" vertical="center" wrapText="1"/>
    </xf>
    <xf numFmtId="0" fontId="3" fillId="10" borderId="42" xfId="4" applyFont="1" applyFill="1" applyBorder="1" applyAlignment="1">
      <alignment horizontal="center" vertical="center" wrapText="1"/>
    </xf>
    <xf numFmtId="0" fontId="3" fillId="10" borderId="37" xfId="4" applyFont="1" applyFill="1" applyBorder="1" applyAlignment="1">
      <alignment vertical="center" wrapText="1"/>
    </xf>
    <xf numFmtId="0" fontId="3" fillId="10" borderId="43" xfId="4" applyFont="1" applyFill="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vertical="center" wrapText="1"/>
    </xf>
    <xf numFmtId="0" fontId="3" fillId="0" borderId="1" xfId="4" applyFont="1" applyBorder="1" applyAlignment="1">
      <alignment horizontal="center" vertical="center" wrapText="1"/>
    </xf>
    <xf numFmtId="168" fontId="5" fillId="0" borderId="36" xfId="4" applyNumberFormat="1" applyFont="1" applyBorder="1" applyAlignment="1">
      <alignment horizontal="center" vertical="center" wrapText="1"/>
    </xf>
    <xf numFmtId="168" fontId="5" fillId="0" borderId="37" xfId="4" applyNumberFormat="1" applyFont="1" applyBorder="1" applyAlignment="1">
      <alignment horizontal="center" vertical="center" wrapText="1"/>
    </xf>
    <xf numFmtId="0" fontId="25" fillId="0" borderId="19" xfId="0" applyFont="1" applyBorder="1" applyAlignment="1">
      <alignment horizontal="center" vertical="center" wrapText="1"/>
    </xf>
    <xf numFmtId="0" fontId="25" fillId="0" borderId="3" xfId="0" applyFont="1" applyBorder="1" applyAlignment="1">
      <alignment vertical="center" wrapText="1"/>
    </xf>
    <xf numFmtId="0" fontId="5" fillId="5" borderId="36" xfId="4" quotePrefix="1" applyFont="1" applyFill="1" applyBorder="1" applyAlignment="1">
      <alignment horizontal="center" vertical="center" wrapText="1"/>
    </xf>
    <xf numFmtId="46" fontId="25" fillId="10" borderId="13" xfId="14" quotePrefix="1" applyNumberFormat="1" applyFont="1" applyFill="1" applyBorder="1" applyAlignment="1">
      <alignment vertical="center" wrapText="1"/>
    </xf>
    <xf numFmtId="0" fontId="3" fillId="0" borderId="2" xfId="0" applyFont="1" applyBorder="1" applyAlignment="1">
      <alignment vertical="center" wrapText="1"/>
    </xf>
    <xf numFmtId="0" fontId="5" fillId="5" borderId="33" xfId="11" applyFont="1" applyFill="1" applyBorder="1" applyAlignment="1">
      <alignment horizontal="center" vertical="center" wrapText="1"/>
    </xf>
    <xf numFmtId="0" fontId="5" fillId="5" borderId="34" xfId="11" applyFont="1" applyFill="1" applyBorder="1" applyAlignment="1">
      <alignment horizontal="center" vertical="center" wrapText="1"/>
    </xf>
    <xf numFmtId="0" fontId="5" fillId="5" borderId="50" xfId="11" applyFont="1" applyFill="1" applyBorder="1" applyAlignment="1">
      <alignment horizontal="center" vertical="center" wrapText="1"/>
    </xf>
    <xf numFmtId="0" fontId="25" fillId="0" borderId="19" xfId="0" applyFont="1" applyBorder="1" applyAlignment="1">
      <alignment vertical="center" wrapText="1"/>
    </xf>
    <xf numFmtId="46" fontId="25" fillId="10" borderId="44" xfId="14" quotePrefix="1" applyNumberFormat="1" applyFont="1" applyFill="1" applyBorder="1" applyAlignment="1">
      <alignment vertical="center" wrapText="1"/>
    </xf>
    <xf numFmtId="0" fontId="30" fillId="10" borderId="43" xfId="4" applyFont="1" applyFill="1" applyBorder="1" applyAlignment="1">
      <alignment vertical="center" wrapText="1"/>
    </xf>
    <xf numFmtId="0" fontId="3" fillId="10" borderId="37" xfId="4" applyFont="1" applyFill="1" applyBorder="1" applyAlignment="1">
      <alignment horizontal="center" vertical="center" wrapText="1"/>
    </xf>
    <xf numFmtId="0" fontId="25" fillId="0" borderId="2" xfId="4" applyFont="1" applyBorder="1" applyAlignment="1">
      <alignment horizontal="center" vertical="center" wrapText="1"/>
    </xf>
    <xf numFmtId="46" fontId="25" fillId="10" borderId="13" xfId="15" quotePrefix="1" applyNumberFormat="1" applyFont="1" applyFill="1" applyBorder="1" applyAlignment="1">
      <alignment vertical="center" wrapText="1"/>
    </xf>
    <xf numFmtId="0" fontId="25" fillId="0" borderId="48" xfId="4" applyFont="1" applyBorder="1" applyAlignment="1">
      <alignment horizontal="center" vertical="center" wrapText="1"/>
    </xf>
    <xf numFmtId="0" fontId="25" fillId="0" borderId="10" xfId="4" applyFont="1" applyBorder="1" applyAlignment="1">
      <alignment horizontal="center" vertical="center" wrapText="1"/>
    </xf>
    <xf numFmtId="0" fontId="25" fillId="0" borderId="49" xfId="0" applyFont="1" applyBorder="1" applyAlignment="1">
      <alignment horizontal="left" vertical="center" wrapText="1"/>
    </xf>
    <xf numFmtId="0" fontId="25" fillId="0" borderId="9" xfId="4" applyFont="1" applyBorder="1" applyAlignment="1">
      <alignment horizontal="center" vertical="center" wrapText="1"/>
    </xf>
    <xf numFmtId="0" fontId="5" fillId="0" borderId="33" xfId="4" quotePrefix="1" applyFont="1" applyBorder="1" applyAlignment="1">
      <alignment horizontal="center" vertical="center" wrapText="1"/>
    </xf>
    <xf numFmtId="0" fontId="5" fillId="0" borderId="34" xfId="4" quotePrefix="1" applyFont="1" applyBorder="1" applyAlignment="1">
      <alignment horizontal="center" vertical="center" wrapText="1"/>
    </xf>
    <xf numFmtId="0" fontId="5" fillId="0" borderId="50" xfId="4" quotePrefix="1" applyFont="1" applyBorder="1" applyAlignment="1">
      <alignment horizontal="center" vertical="center" wrapText="1"/>
    </xf>
    <xf numFmtId="46" fontId="25" fillId="10" borderId="11" xfId="16" quotePrefix="1" applyNumberFormat="1" applyFont="1" applyFill="1" applyBorder="1" applyAlignment="1">
      <alignment vertical="center" wrapText="1"/>
    </xf>
    <xf numFmtId="0" fontId="34" fillId="11" borderId="21" xfId="4" applyFont="1" applyFill="1" applyBorder="1" applyAlignment="1">
      <alignment horizontal="center" vertical="center" wrapText="1"/>
    </xf>
    <xf numFmtId="0" fontId="35" fillId="11" borderId="2" xfId="0" applyFont="1" applyFill="1" applyBorder="1" applyAlignment="1">
      <alignment vertical="center" wrapText="1"/>
    </xf>
    <xf numFmtId="0" fontId="35" fillId="11" borderId="3" xfId="0" applyFont="1" applyFill="1" applyBorder="1" applyAlignment="1">
      <alignment vertical="center" wrapText="1"/>
    </xf>
    <xf numFmtId="0" fontId="35" fillId="11" borderId="1" xfId="4" applyFont="1" applyFill="1" applyBorder="1" applyAlignment="1">
      <alignment horizontal="center" vertical="center" wrapText="1"/>
    </xf>
    <xf numFmtId="168" fontId="34" fillId="11" borderId="36" xfId="4" applyNumberFormat="1" applyFont="1" applyFill="1" applyBorder="1" applyAlignment="1">
      <alignment horizontal="center" vertical="center" wrapText="1"/>
    </xf>
    <xf numFmtId="168" fontId="34" fillId="11" borderId="37" xfId="4" applyNumberFormat="1" applyFont="1" applyFill="1" applyBorder="1" applyAlignment="1">
      <alignment horizontal="center" vertical="center" wrapText="1"/>
    </xf>
    <xf numFmtId="0" fontId="34" fillId="11" borderId="37" xfId="4" applyFont="1" applyFill="1" applyBorder="1" applyAlignment="1">
      <alignment horizontal="center" vertical="center" wrapText="1"/>
    </xf>
    <xf numFmtId="0" fontId="34" fillId="11" borderId="38" xfId="4" applyFont="1" applyFill="1" applyBorder="1" applyAlignment="1">
      <alignment horizontal="center" vertical="center" wrapText="1"/>
    </xf>
    <xf numFmtId="0" fontId="35" fillId="11" borderId="13" xfId="4" applyFont="1" applyFill="1" applyBorder="1" applyAlignment="1">
      <alignment vertical="center" wrapText="1"/>
    </xf>
    <xf numFmtId="0" fontId="35" fillId="11" borderId="42" xfId="4" applyFont="1" applyFill="1" applyBorder="1" applyAlignment="1">
      <alignment horizontal="center" vertical="center" wrapText="1"/>
    </xf>
    <xf numFmtId="0" fontId="35" fillId="11" borderId="37" xfId="4" applyFont="1" applyFill="1" applyBorder="1" applyAlignment="1">
      <alignment horizontal="center" vertical="center" wrapText="1"/>
    </xf>
    <xf numFmtId="0" fontId="3" fillId="11" borderId="43" xfId="4" applyFont="1" applyFill="1" applyBorder="1" applyAlignment="1">
      <alignment vertical="center" wrapText="1"/>
    </xf>
    <xf numFmtId="0" fontId="36" fillId="11" borderId="21" xfId="4" applyFont="1" applyFill="1" applyBorder="1" applyAlignment="1">
      <alignment horizontal="center" vertical="center" wrapText="1"/>
    </xf>
    <xf numFmtId="0" fontId="36" fillId="11" borderId="2" xfId="4" applyFont="1" applyFill="1" applyBorder="1" applyAlignment="1">
      <alignment horizontal="center" vertical="center" wrapText="1"/>
    </xf>
    <xf numFmtId="0" fontId="36" fillId="11" borderId="3" xfId="0" applyFont="1" applyFill="1" applyBorder="1" applyAlignment="1">
      <alignment horizontal="left" vertical="center" wrapText="1"/>
    </xf>
    <xf numFmtId="0" fontId="36" fillId="11" borderId="1" xfId="4" applyFont="1" applyFill="1" applyBorder="1" applyAlignment="1">
      <alignment horizontal="center" vertical="center" wrapText="1"/>
    </xf>
    <xf numFmtId="0" fontId="34" fillId="11" borderId="36" xfId="4" quotePrefix="1" applyFont="1" applyFill="1" applyBorder="1" applyAlignment="1">
      <alignment horizontal="center" vertical="center" wrapText="1"/>
    </xf>
    <xf numFmtId="0" fontId="34" fillId="11" borderId="37" xfId="4" quotePrefix="1" applyFont="1" applyFill="1" applyBorder="1" applyAlignment="1">
      <alignment horizontal="center" vertical="center" wrapText="1"/>
    </xf>
    <xf numFmtId="0" fontId="34" fillId="11" borderId="38" xfId="4" quotePrefix="1" applyFont="1" applyFill="1" applyBorder="1" applyAlignment="1">
      <alignment horizontal="center" vertical="center" wrapText="1"/>
    </xf>
    <xf numFmtId="0" fontId="34" fillId="11" borderId="37" xfId="11" applyFont="1" applyFill="1" applyBorder="1" applyAlignment="1">
      <alignment horizontal="center" vertical="center" wrapText="1"/>
    </xf>
    <xf numFmtId="0" fontId="35" fillId="11" borderId="37" xfId="11" applyFont="1" applyFill="1" applyBorder="1" applyAlignment="1">
      <alignment horizontal="center" vertical="center" wrapText="1"/>
    </xf>
    <xf numFmtId="0" fontId="34" fillId="11" borderId="38" xfId="11" applyFont="1" applyFill="1" applyBorder="1" applyAlignment="1">
      <alignment horizontal="center" vertical="center" wrapText="1"/>
    </xf>
    <xf numFmtId="46" fontId="36" fillId="11" borderId="13" xfId="15" quotePrefix="1" applyNumberFormat="1" applyFont="1" applyFill="1" applyBorder="1" applyAlignment="1">
      <alignment vertical="center" wrapText="1"/>
    </xf>
    <xf numFmtId="0" fontId="36" fillId="11" borderId="42" xfId="9" applyFont="1" applyFill="1" applyBorder="1" applyAlignment="1">
      <alignment horizontal="center" vertical="center" wrapText="1"/>
    </xf>
    <xf numFmtId="0" fontId="36" fillId="11" borderId="37" xfId="4" applyFont="1" applyFill="1" applyBorder="1" applyAlignment="1">
      <alignment horizontal="center" vertical="center" wrapText="1"/>
    </xf>
    <xf numFmtId="0" fontId="3" fillId="0" borderId="37" xfId="11" applyFont="1" applyBorder="1" applyAlignment="1">
      <alignment horizontal="center" vertical="center" wrapText="1"/>
    </xf>
    <xf numFmtId="0" fontId="36" fillId="10" borderId="42" xfId="9" applyFont="1" applyFill="1" applyBorder="1" applyAlignment="1">
      <alignment horizontal="center" vertical="center" wrapText="1"/>
    </xf>
    <xf numFmtId="0" fontId="36" fillId="10" borderId="37" xfId="4" applyFont="1" applyFill="1" applyBorder="1" applyAlignment="1">
      <alignment horizontal="center" vertical="center" wrapText="1"/>
    </xf>
    <xf numFmtId="0" fontId="36" fillId="10" borderId="43" xfId="17" applyFont="1" applyFill="1" applyBorder="1" applyAlignment="1">
      <alignment horizontal="left" vertical="center" wrapText="1"/>
    </xf>
    <xf numFmtId="0" fontId="5" fillId="0" borderId="2" xfId="0" applyFont="1" applyBorder="1" applyAlignment="1">
      <alignment horizontal="left" vertical="center" wrapText="1"/>
    </xf>
    <xf numFmtId="0" fontId="3" fillId="0" borderId="3" xfId="0" applyFont="1" applyBorder="1" applyAlignment="1">
      <alignment horizontal="left" vertical="center" wrapText="1"/>
    </xf>
    <xf numFmtId="0" fontId="25" fillId="10" borderId="43" xfId="17" quotePrefix="1" applyFont="1" applyFill="1" applyBorder="1" applyAlignment="1">
      <alignment horizontal="left" vertical="center" wrapText="1"/>
    </xf>
    <xf numFmtId="0" fontId="5" fillId="0" borderId="36" xfId="11" applyFont="1" applyBorder="1" applyAlignment="1">
      <alignment vertical="center" wrapText="1"/>
    </xf>
    <xf numFmtId="0" fontId="5" fillId="0" borderId="37" xfId="11" applyFont="1" applyBorder="1" applyAlignment="1">
      <alignment vertical="center" wrapText="1"/>
    </xf>
    <xf numFmtId="0" fontId="5" fillId="0" borderId="38" xfId="11" applyFont="1" applyBorder="1" applyAlignment="1">
      <alignment vertical="center" wrapText="1"/>
    </xf>
    <xf numFmtId="0" fontId="25" fillId="10" borderId="44" xfId="5" applyFont="1" applyFill="1" applyBorder="1" applyAlignment="1">
      <alignment horizontal="left" vertical="center" wrapText="1"/>
    </xf>
    <xf numFmtId="0" fontId="25" fillId="10" borderId="11" xfId="5" applyFont="1" applyFill="1" applyBorder="1" applyAlignment="1">
      <alignment vertical="center" wrapText="1"/>
    </xf>
    <xf numFmtId="0" fontId="25" fillId="6" borderId="3" xfId="9" quotePrefix="1" applyFont="1" applyFill="1" applyBorder="1" applyAlignment="1">
      <alignment vertical="center" wrapText="1"/>
    </xf>
    <xf numFmtId="0" fontId="3" fillId="0" borderId="45" xfId="0" applyFont="1" applyBorder="1" applyAlignment="1">
      <alignment horizontal="left" vertical="center"/>
    </xf>
    <xf numFmtId="0" fontId="3" fillId="0" borderId="3" xfId="9" applyFont="1" applyBorder="1" applyAlignment="1">
      <alignment vertical="center" wrapText="1"/>
    </xf>
    <xf numFmtId="0" fontId="3" fillId="0" borderId="1" xfId="9" applyFont="1" applyBorder="1" applyAlignment="1">
      <alignment horizontal="center" vertical="center" wrapText="1"/>
    </xf>
    <xf numFmtId="0" fontId="25" fillId="0" borderId="3" xfId="0" quotePrefix="1" applyFont="1" applyBorder="1" applyAlignment="1">
      <alignment horizontal="left" vertical="center" wrapText="1"/>
    </xf>
    <xf numFmtId="0" fontId="25" fillId="10" borderId="11" xfId="4" applyFont="1" applyFill="1" applyBorder="1" applyAlignment="1">
      <alignment horizontal="left" vertical="center" wrapText="1"/>
    </xf>
    <xf numFmtId="0" fontId="25" fillId="10" borderId="44" xfId="4" applyFont="1" applyFill="1" applyBorder="1" applyAlignment="1">
      <alignment horizontal="left" vertical="center" wrapText="1"/>
    </xf>
    <xf numFmtId="0" fontId="25" fillId="10" borderId="44" xfId="4" applyFont="1" applyFill="1" applyBorder="1" applyAlignment="1">
      <alignment horizontal="left" vertical="center" wrapText="1"/>
    </xf>
    <xf numFmtId="0" fontId="25" fillId="10" borderId="43" xfId="5" applyFont="1" applyFill="1" applyBorder="1" applyAlignment="1">
      <alignment horizontal="left" vertical="center" wrapText="1"/>
    </xf>
    <xf numFmtId="0" fontId="25" fillId="10" borderId="51" xfId="4" applyFont="1" applyFill="1" applyBorder="1" applyAlignment="1">
      <alignment horizontal="center" vertical="center" wrapText="1"/>
    </xf>
    <xf numFmtId="0" fontId="25" fillId="10" borderId="52" xfId="4" applyFont="1" applyFill="1" applyBorder="1" applyAlignment="1">
      <alignment horizontal="center" vertical="center" wrapText="1"/>
    </xf>
    <xf numFmtId="0" fontId="25" fillId="10" borderId="53" xfId="4" applyFont="1" applyFill="1" applyBorder="1" applyAlignment="1">
      <alignment vertical="center" wrapText="1"/>
    </xf>
    <xf numFmtId="0" fontId="25" fillId="0" borderId="0" xfId="4" applyFont="1" applyAlignment="1">
      <alignment horizontal="center"/>
    </xf>
    <xf numFmtId="0" fontId="25" fillId="0" borderId="0" xfId="4" applyFont="1" applyAlignment="1">
      <alignment wrapText="1"/>
    </xf>
    <xf numFmtId="0" fontId="25" fillId="12" borderId="0" xfId="5" applyFont="1" applyFill="1" applyAlignment="1">
      <alignment horizontal="left" vertical="center" wrapText="1"/>
    </xf>
    <xf numFmtId="0" fontId="3" fillId="12" borderId="0" xfId="4" applyFont="1" applyFill="1" applyAlignment="1">
      <alignment vertical="center" wrapText="1"/>
    </xf>
    <xf numFmtId="0" fontId="25" fillId="12" borderId="0" xfId="4" applyFont="1" applyFill="1" applyAlignment="1">
      <alignment horizontal="left" vertical="center" wrapText="1"/>
    </xf>
    <xf numFmtId="0" fontId="25" fillId="12" borderId="0" xfId="4" applyFont="1" applyFill="1" applyAlignment="1">
      <alignment vertical="center" wrapText="1"/>
    </xf>
    <xf numFmtId="46" fontId="25" fillId="12" borderId="0" xfId="15" quotePrefix="1" applyNumberFormat="1" applyFont="1" applyFill="1" applyAlignment="1">
      <alignment vertical="center" wrapText="1"/>
    </xf>
    <xf numFmtId="0" fontId="37" fillId="0" borderId="0" xfId="18" applyFont="1" applyAlignment="1">
      <alignment horizontal="centerContinuous"/>
    </xf>
    <xf numFmtId="0" fontId="38" fillId="0" borderId="0" xfId="18" applyFont="1" applyAlignment="1">
      <alignment horizontal="centerContinuous"/>
    </xf>
    <xf numFmtId="0" fontId="38" fillId="0" borderId="0" xfId="0" applyFont="1" applyAlignment="1">
      <alignment horizontal="centerContinuous" wrapText="1"/>
    </xf>
    <xf numFmtId="0" fontId="38" fillId="0" borderId="0" xfId="0" applyFont="1" applyAlignment="1">
      <alignment horizontal="centerContinuous"/>
    </xf>
    <xf numFmtId="0" fontId="39" fillId="0" borderId="0" xfId="0" applyFont="1"/>
    <xf numFmtId="0" fontId="4" fillId="3" borderId="1" xfId="0" applyFont="1" applyFill="1" applyBorder="1" applyAlignment="1">
      <alignment horizontal="center" vertical="center"/>
    </xf>
    <xf numFmtId="0" fontId="3" fillId="5" borderId="1" xfId="18" applyFont="1" applyFill="1" applyBorder="1"/>
    <xf numFmtId="0" fontId="3" fillId="0" borderId="0" xfId="18" applyFont="1" applyAlignment="1">
      <alignment vertical="center"/>
    </xf>
    <xf numFmtId="0" fontId="3" fillId="0" borderId="0" xfId="0" applyFont="1" applyAlignment="1">
      <alignment horizontal="center"/>
    </xf>
    <xf numFmtId="0" fontId="3"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xf>
    <xf numFmtId="0" fontId="4" fillId="0" borderId="2" xfId="0" applyFont="1" applyBorder="1" applyAlignment="1">
      <alignment horizontal="center" vertical="center"/>
    </xf>
    <xf numFmtId="0" fontId="4" fillId="0" borderId="19" xfId="0" applyFont="1" applyBorder="1" applyAlignment="1">
      <alignment horizontal="center" vertical="center"/>
    </xf>
    <xf numFmtId="0" fontId="4" fillId="0" borderId="3" xfId="0" applyFont="1" applyBorder="1" applyAlignment="1">
      <alignment horizontal="center" vertical="center"/>
    </xf>
    <xf numFmtId="0" fontId="27" fillId="5" borderId="1" xfId="0" applyFont="1" applyFill="1" applyBorder="1" applyAlignment="1">
      <alignment horizontal="center" vertical="center" wrapText="1"/>
    </xf>
    <xf numFmtId="0" fontId="3" fillId="13" borderId="1" xfId="18" applyFont="1" applyFill="1" applyBorder="1"/>
    <xf numFmtId="0" fontId="4" fillId="0" borderId="0" xfId="0" applyFont="1" applyAlignment="1">
      <alignment horizontal="center" vertical="center"/>
    </xf>
    <xf numFmtId="0" fontId="27" fillId="0" borderId="0" xfId="0" applyFont="1" applyAlignment="1">
      <alignment horizontal="center" vertical="center" wrapText="1"/>
    </xf>
    <xf numFmtId="0" fontId="3" fillId="14" borderId="1" xfId="18" applyFont="1" applyFill="1" applyBorder="1"/>
    <xf numFmtId="0" fontId="3" fillId="0" borderId="0" xfId="0" applyFont="1" applyAlignment="1">
      <alignment horizontal="center" vertical="center"/>
    </xf>
    <xf numFmtId="0" fontId="17" fillId="5" borderId="0" xfId="4" applyFont="1" applyFill="1" applyAlignment="1">
      <alignment horizontal="left" vertical="center"/>
    </xf>
    <xf numFmtId="0" fontId="17" fillId="5" borderId="0" xfId="4" applyFont="1" applyFill="1" applyAlignment="1">
      <alignment horizontal="left" vertical="center"/>
    </xf>
    <xf numFmtId="0" fontId="3" fillId="0" borderId="0" xfId="0" applyFont="1" applyAlignment="1">
      <alignment horizontal="left" vertical="center"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xf>
    <xf numFmtId="14" fontId="5" fillId="5" borderId="0" xfId="0" applyNumberFormat="1" applyFont="1" applyFill="1" applyAlignment="1">
      <alignment vertical="center"/>
    </xf>
    <xf numFmtId="49" fontId="3" fillId="0" borderId="0" xfId="0" applyNumberFormat="1" applyFont="1" applyAlignment="1">
      <alignment vertical="center"/>
    </xf>
    <xf numFmtId="0" fontId="13" fillId="3" borderId="54" xfId="4" applyFont="1" applyFill="1" applyBorder="1" applyAlignment="1">
      <alignment horizontal="center" vertical="center" wrapText="1"/>
    </xf>
    <xf numFmtId="0" fontId="13" fillId="3" borderId="6" xfId="4" applyFont="1" applyFill="1" applyBorder="1" applyAlignment="1">
      <alignment horizontal="center" vertical="center" wrapText="1"/>
    </xf>
    <xf numFmtId="0" fontId="13" fillId="3" borderId="7" xfId="4" applyFont="1" applyFill="1" applyBorder="1" applyAlignment="1">
      <alignment horizontal="center" vertical="center" wrapText="1"/>
    </xf>
    <xf numFmtId="0" fontId="13" fillId="7" borderId="55" xfId="4" applyFont="1" applyFill="1" applyBorder="1" applyAlignment="1">
      <alignment horizontal="center" vertical="center" wrapText="1"/>
    </xf>
    <xf numFmtId="0" fontId="13" fillId="7" borderId="56" xfId="4" applyFont="1" applyFill="1" applyBorder="1" applyAlignment="1">
      <alignment horizontal="center" vertical="center" wrapText="1"/>
    </xf>
    <xf numFmtId="0" fontId="13" fillId="7" borderId="57" xfId="4" applyFont="1" applyFill="1" applyBorder="1" applyAlignment="1">
      <alignment horizontal="center" vertical="center" wrapText="1"/>
    </xf>
    <xf numFmtId="0" fontId="13" fillId="9" borderId="55" xfId="4" applyFont="1" applyFill="1" applyBorder="1" applyAlignment="1">
      <alignment horizontal="center" vertical="center" wrapText="1"/>
    </xf>
    <xf numFmtId="0" fontId="13" fillId="9" borderId="56" xfId="4" applyFont="1" applyFill="1" applyBorder="1" applyAlignment="1">
      <alignment horizontal="center" vertical="center" wrapText="1"/>
    </xf>
    <xf numFmtId="0" fontId="13" fillId="9" borderId="57" xfId="4" applyFont="1" applyFill="1" applyBorder="1" applyAlignment="1">
      <alignment horizontal="center" vertical="center" wrapText="1"/>
    </xf>
    <xf numFmtId="0" fontId="15" fillId="0" borderId="0" xfId="0" applyFont="1" applyAlignment="1">
      <alignment vertical="center"/>
    </xf>
    <xf numFmtId="0" fontId="30" fillId="3" borderId="21" xfId="0" applyFont="1" applyFill="1" applyBorder="1" applyAlignment="1">
      <alignment horizontal="center" vertical="center" wrapText="1"/>
    </xf>
    <xf numFmtId="0" fontId="30" fillId="3" borderId="1"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30" fillId="3" borderId="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3" xfId="0" applyFont="1" applyFill="1" applyBorder="1" applyAlignment="1">
      <alignment horizontal="center" vertical="center" wrapText="1"/>
    </xf>
    <xf numFmtId="0" fontId="30" fillId="3" borderId="13" xfId="0" applyFont="1" applyFill="1" applyBorder="1" applyAlignment="1">
      <alignment horizontal="center" vertical="center" wrapText="1"/>
    </xf>
    <xf numFmtId="0" fontId="30" fillId="7" borderId="21"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29" fillId="7" borderId="1"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30" fillId="7" borderId="13" xfId="0" applyFont="1" applyFill="1" applyBorder="1" applyAlignment="1">
      <alignment horizontal="center" vertical="center" wrapText="1"/>
    </xf>
    <xf numFmtId="0" fontId="30" fillId="9" borderId="21" xfId="0" applyFont="1" applyFill="1" applyBorder="1" applyAlignment="1">
      <alignment horizontal="center" vertical="center" wrapText="1"/>
    </xf>
    <xf numFmtId="0" fontId="30" fillId="9" borderId="1" xfId="0" applyFont="1" applyFill="1" applyBorder="1" applyAlignment="1">
      <alignment horizontal="center" vertical="center" wrapText="1"/>
    </xf>
    <xf numFmtId="0" fontId="30" fillId="9" borderId="9" xfId="0" applyFont="1" applyFill="1" applyBorder="1" applyAlignment="1">
      <alignment horizontal="center" vertical="center" wrapText="1"/>
    </xf>
    <xf numFmtId="0" fontId="30" fillId="9" borderId="13" xfId="0" applyFont="1" applyFill="1" applyBorder="1" applyAlignment="1">
      <alignment horizontal="center" vertical="center" wrapText="1"/>
    </xf>
    <xf numFmtId="0" fontId="3" fillId="0" borderId="21" xfId="0" applyFont="1" applyBorder="1" applyAlignment="1">
      <alignment horizontal="center" vertical="center" wrapText="1"/>
    </xf>
    <xf numFmtId="0" fontId="30" fillId="0" borderId="9" xfId="0" applyFont="1" applyBorder="1" applyAlignment="1">
      <alignment horizontal="left" vertical="center" wrapText="1"/>
    </xf>
    <xf numFmtId="0" fontId="25" fillId="0" borderId="9" xfId="0" applyFont="1" applyBorder="1" applyAlignment="1">
      <alignment vertical="center" wrapText="1"/>
    </xf>
    <xf numFmtId="0" fontId="25" fillId="0" borderId="1" xfId="0" applyFont="1" applyBorder="1" applyAlignment="1">
      <alignment vertical="center" wrapText="1"/>
    </xf>
    <xf numFmtId="0" fontId="25" fillId="0" borderId="1" xfId="0" quotePrefix="1" applyFont="1" applyBorder="1" applyAlignment="1">
      <alignment horizontal="center" vertical="center" wrapText="1"/>
    </xf>
    <xf numFmtId="169" fontId="25" fillId="5" borderId="1" xfId="1" applyFont="1" applyFill="1" applyBorder="1" applyAlignment="1">
      <alignment horizontal="center" vertical="center" wrapText="1"/>
    </xf>
    <xf numFmtId="0" fontId="25" fillId="0" borderId="1" xfId="0" applyFont="1" applyBorder="1" applyAlignment="1">
      <alignment horizontal="center" vertical="center" wrapText="1"/>
    </xf>
    <xf numFmtId="169" fontId="25" fillId="5" borderId="1" xfId="1" applyFont="1" applyFill="1" applyBorder="1" applyAlignment="1">
      <alignment vertical="center" wrapText="1"/>
    </xf>
    <xf numFmtId="169" fontId="25" fillId="15" borderId="1" xfId="1" applyFont="1" applyFill="1" applyBorder="1" applyAlignment="1">
      <alignment horizontal="center" vertical="center" wrapText="1"/>
    </xf>
    <xf numFmtId="169" fontId="25" fillId="0" borderId="13" xfId="1" applyFont="1" applyBorder="1" applyAlignment="1">
      <alignment vertical="center" wrapText="1"/>
    </xf>
    <xf numFmtId="0" fontId="25" fillId="0" borderId="9" xfId="4" applyFont="1" applyBorder="1" applyAlignment="1">
      <alignment vertical="center" wrapText="1"/>
    </xf>
    <xf numFmtId="0" fontId="25" fillId="0" borderId="1" xfId="0" quotePrefix="1" applyFont="1" applyBorder="1" applyAlignment="1">
      <alignment horizontal="left" vertical="center" wrapText="1"/>
    </xf>
    <xf numFmtId="9" fontId="25" fillId="14" borderId="1" xfId="0" applyNumberFormat="1" applyFont="1" applyFill="1" applyBorder="1" applyAlignment="1">
      <alignment horizontal="center" vertical="center" wrapText="1"/>
    </xf>
    <xf numFmtId="9" fontId="25" fillId="5" borderId="1" xfId="0" applyNumberFormat="1" applyFont="1" applyFill="1" applyBorder="1" applyAlignment="1">
      <alignment horizontal="center" vertical="center" wrapText="1"/>
    </xf>
    <xf numFmtId="0" fontId="3" fillId="5" borderId="1" xfId="0" applyFont="1" applyFill="1" applyBorder="1" applyAlignment="1">
      <alignment horizontal="right" vertical="center" wrapText="1"/>
    </xf>
    <xf numFmtId="0" fontId="3" fillId="0" borderId="13" xfId="0" applyFont="1" applyBorder="1" applyAlignment="1">
      <alignment vertical="center" wrapText="1"/>
    </xf>
    <xf numFmtId="0" fontId="5" fillId="0" borderId="9" xfId="0" applyFont="1" applyBorder="1" applyAlignment="1">
      <alignment horizontal="left" vertical="center" wrapText="1"/>
    </xf>
    <xf numFmtId="0" fontId="3" fillId="0" borderId="1" xfId="0" applyFont="1" applyBorder="1" applyAlignment="1">
      <alignment horizontal="left" vertical="center" wrapText="1"/>
    </xf>
    <xf numFmtId="170" fontId="25" fillId="0" borderId="1" xfId="10" applyNumberFormat="1" applyFont="1" applyBorder="1" applyAlignment="1">
      <alignment horizontal="left" vertical="center" wrapText="1"/>
    </xf>
    <xf numFmtId="0" fontId="3" fillId="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3" borderId="9" xfId="0" applyFont="1" applyFill="1" applyBorder="1" applyAlignment="1">
      <alignment horizontal="center" vertical="center" wrapText="1"/>
    </xf>
    <xf numFmtId="170" fontId="25" fillId="0" borderId="13" xfId="10" applyNumberFormat="1" applyFont="1" applyBorder="1" applyAlignment="1">
      <alignment vertical="center" wrapText="1"/>
    </xf>
    <xf numFmtId="0" fontId="30" fillId="0" borderId="31" xfId="0" applyFont="1" applyBorder="1" applyAlignment="1">
      <alignment horizontal="left" vertical="center" wrapText="1"/>
    </xf>
    <xf numFmtId="0" fontId="25" fillId="0" borderId="31" xfId="0" applyFont="1" applyBorder="1" applyAlignment="1">
      <alignment vertical="center" wrapText="1"/>
    </xf>
    <xf numFmtId="0" fontId="25" fillId="0" borderId="31" xfId="4" applyFont="1" applyBorder="1" applyAlignment="1">
      <alignment vertical="center" wrapText="1"/>
    </xf>
    <xf numFmtId="0" fontId="5" fillId="0" borderId="31" xfId="0" applyFont="1" applyBorder="1" applyAlignment="1">
      <alignment horizontal="left" vertical="center" wrapText="1"/>
    </xf>
    <xf numFmtId="0" fontId="3" fillId="13" borderId="31" xfId="0" applyFont="1" applyFill="1" applyBorder="1" applyAlignment="1">
      <alignment horizontal="center" vertical="center" wrapText="1"/>
    </xf>
    <xf numFmtId="0" fontId="30" fillId="0" borderId="47" xfId="0" applyFont="1" applyBorder="1" applyAlignment="1">
      <alignment horizontal="left" vertical="center" wrapText="1"/>
    </xf>
    <xf numFmtId="0" fontId="25" fillId="0" borderId="47" xfId="0" applyFont="1" applyBorder="1" applyAlignment="1">
      <alignment vertical="center" wrapText="1"/>
    </xf>
    <xf numFmtId="0" fontId="25" fillId="0" borderId="47" xfId="4" applyFont="1" applyBorder="1" applyAlignment="1">
      <alignment vertical="center" wrapText="1"/>
    </xf>
    <xf numFmtId="0" fontId="25" fillId="0" borderId="46" xfId="4" applyFont="1" applyBorder="1" applyAlignment="1">
      <alignment vertical="center" wrapText="1"/>
    </xf>
    <xf numFmtId="0" fontId="3" fillId="0" borderId="47" xfId="0" applyFont="1" applyBorder="1" applyAlignment="1">
      <alignment horizontal="right" vertical="center" wrapText="1"/>
    </xf>
    <xf numFmtId="169" fontId="32" fillId="5" borderId="1" xfId="1" applyFont="1" applyFill="1" applyBorder="1" applyAlignment="1">
      <alignment vertical="center" wrapText="1"/>
    </xf>
    <xf numFmtId="0" fontId="25" fillId="0" borderId="46" xfId="9" applyFont="1" applyBorder="1" applyAlignment="1">
      <alignment horizontal="left" vertical="center" wrapText="1"/>
    </xf>
    <xf numFmtId="9" fontId="25" fillId="17" borderId="1" xfId="0" quotePrefix="1" applyNumberFormat="1" applyFont="1" applyFill="1" applyBorder="1" applyAlignment="1">
      <alignment horizontal="center" vertical="center" wrapText="1"/>
    </xf>
    <xf numFmtId="168" fontId="25" fillId="13" borderId="47" xfId="9" applyNumberFormat="1" applyFont="1" applyFill="1" applyBorder="1" applyAlignment="1" applyProtection="1">
      <alignment horizontal="right" vertical="center" wrapText="1"/>
      <protection locked="0"/>
    </xf>
    <xf numFmtId="0" fontId="32" fillId="0" borderId="11" xfId="0" applyFont="1" applyBorder="1" applyAlignment="1">
      <alignment horizontal="left" vertical="center" wrapText="1"/>
    </xf>
    <xf numFmtId="0" fontId="32" fillId="0" borderId="44" xfId="0" applyFont="1" applyBorder="1" applyAlignment="1">
      <alignment horizontal="left" vertical="center" wrapText="1"/>
    </xf>
    <xf numFmtId="0" fontId="25" fillId="0" borderId="13" xfId="0" applyFont="1" applyBorder="1" applyAlignment="1">
      <alignment horizontal="left" vertical="center" wrapText="1"/>
    </xf>
    <xf numFmtId="0" fontId="25" fillId="0" borderId="9" xfId="4" applyFont="1" applyBorder="1" applyAlignment="1">
      <alignment horizontal="left" vertical="center" wrapText="1"/>
    </xf>
    <xf numFmtId="170" fontId="25" fillId="0" borderId="1" xfId="10" applyNumberFormat="1" applyFont="1" applyBorder="1" applyAlignment="1">
      <alignment vertical="center" wrapText="1"/>
    </xf>
    <xf numFmtId="0" fontId="25" fillId="0" borderId="31" xfId="4" applyFont="1" applyBorder="1" applyAlignment="1">
      <alignment horizontal="left" vertical="center" wrapText="1"/>
    </xf>
    <xf numFmtId="0" fontId="25" fillId="6" borderId="13" xfId="0" applyFont="1" applyFill="1" applyBorder="1" applyAlignment="1">
      <alignment horizontal="left" vertical="center" wrapText="1"/>
    </xf>
    <xf numFmtId="169" fontId="3" fillId="13" borderId="47" xfId="0" applyNumberFormat="1" applyFont="1" applyFill="1" applyBorder="1" applyAlignment="1">
      <alignment horizontal="right" vertical="center" wrapText="1"/>
    </xf>
    <xf numFmtId="0" fontId="3" fillId="0" borderId="9" xfId="0" applyFont="1" applyBorder="1" applyAlignment="1">
      <alignment horizontal="left" vertical="center" wrapText="1"/>
    </xf>
    <xf numFmtId="0" fontId="3" fillId="5" borderId="1" xfId="0" applyFont="1" applyFill="1" applyBorder="1" applyAlignment="1">
      <alignment horizontal="center" vertical="center" wrapText="1"/>
    </xf>
    <xf numFmtId="0" fontId="3" fillId="16" borderId="9" xfId="0" applyFont="1" applyFill="1" applyBorder="1" applyAlignment="1">
      <alignment horizontal="center" vertical="center" wrapText="1"/>
    </xf>
    <xf numFmtId="170" fontId="25" fillId="0" borderId="11" xfId="10" applyNumberFormat="1" applyFont="1" applyBorder="1" applyAlignment="1">
      <alignment horizontal="left" vertical="center" wrapText="1"/>
    </xf>
    <xf numFmtId="0" fontId="5" fillId="0" borderId="47" xfId="0" applyFont="1" applyBorder="1" applyAlignment="1">
      <alignment horizontal="left" vertical="center" wrapText="1"/>
    </xf>
    <xf numFmtId="0" fontId="3" fillId="0" borderId="47" xfId="0" applyFont="1" applyBorder="1" applyAlignment="1">
      <alignment horizontal="left" vertical="center" wrapText="1"/>
    </xf>
    <xf numFmtId="0" fontId="3" fillId="16" borderId="47" xfId="0" applyFont="1" applyFill="1" applyBorder="1" applyAlignment="1">
      <alignment horizontal="center" vertical="center" wrapText="1"/>
    </xf>
    <xf numFmtId="0" fontId="3" fillId="13" borderId="47" xfId="0" applyFont="1" applyFill="1" applyBorder="1" applyAlignment="1">
      <alignment horizontal="center" vertical="center" wrapText="1"/>
    </xf>
    <xf numFmtId="170" fontId="25" fillId="0" borderId="44" xfId="10" applyNumberFormat="1" applyFont="1" applyBorder="1" applyAlignment="1">
      <alignment horizontal="left" vertical="center" wrapText="1"/>
    </xf>
    <xf numFmtId="0" fontId="25" fillId="0" borderId="47" xfId="4" applyFont="1" applyBorder="1" applyAlignment="1">
      <alignment horizontal="left" vertical="center" wrapText="1"/>
    </xf>
    <xf numFmtId="0" fontId="25" fillId="0" borderId="1" xfId="10" applyFont="1" applyBorder="1" applyAlignment="1">
      <alignment horizontal="left" vertical="center" wrapText="1"/>
    </xf>
    <xf numFmtId="0" fontId="3" fillId="16"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25" fillId="0" borderId="1" xfId="9" applyFont="1" applyBorder="1" applyAlignment="1">
      <alignment horizontal="left" vertical="center" wrapText="1"/>
    </xf>
    <xf numFmtId="0" fontId="25" fillId="0" borderId="1" xfId="0" applyFont="1" applyBorder="1" applyAlignment="1">
      <alignment horizontal="left" vertical="center" wrapText="1"/>
    </xf>
    <xf numFmtId="0" fontId="5" fillId="0" borderId="1" xfId="0" applyFont="1" applyBorder="1" applyAlignment="1">
      <alignment horizontal="left" vertical="center" wrapText="1"/>
    </xf>
    <xf numFmtId="0" fontId="25" fillId="0" borderId="9" xfId="0" applyFont="1" applyBorder="1" applyAlignment="1">
      <alignment horizontal="left" vertical="center" wrapText="1"/>
    </xf>
    <xf numFmtId="0" fontId="25" fillId="0" borderId="46" xfId="12" applyFont="1" applyBorder="1" applyAlignment="1">
      <alignment horizontal="left" vertical="center" wrapText="1"/>
    </xf>
    <xf numFmtId="0" fontId="3" fillId="5" borderId="47" xfId="4" applyFont="1" applyFill="1" applyBorder="1" applyAlignment="1" applyProtection="1">
      <alignment horizontal="right" vertical="center" wrapText="1"/>
      <protection locked="0"/>
    </xf>
    <xf numFmtId="0" fontId="25" fillId="0" borderId="47" xfId="0" applyFont="1" applyBorder="1" applyAlignment="1">
      <alignment horizontal="center" vertical="center" wrapText="1"/>
    </xf>
    <xf numFmtId="0" fontId="3" fillId="0" borderId="44" xfId="0" applyFont="1" applyBorder="1" applyAlignment="1">
      <alignment vertical="center" wrapText="1"/>
    </xf>
    <xf numFmtId="0" fontId="25" fillId="0" borderId="47" xfId="0" applyFont="1" applyBorder="1" applyAlignment="1">
      <alignment horizontal="left" vertical="center" wrapText="1"/>
    </xf>
    <xf numFmtId="168" fontId="25" fillId="5" borderId="47" xfId="12" applyNumberFormat="1" applyFont="1" applyFill="1" applyBorder="1" applyAlignment="1" applyProtection="1">
      <alignment horizontal="right" vertical="center" wrapText="1"/>
      <protection locked="0"/>
    </xf>
    <xf numFmtId="0" fontId="25" fillId="0" borderId="3" xfId="12" applyFont="1" applyBorder="1" applyAlignment="1">
      <alignment horizontal="left" vertical="center" wrapText="1"/>
    </xf>
    <xf numFmtId="168" fontId="25" fillId="13" borderId="47" xfId="12" applyNumberFormat="1" applyFont="1" applyFill="1" applyBorder="1" applyAlignment="1" applyProtection="1">
      <alignment horizontal="right" vertical="center" wrapText="1"/>
      <protection locked="0"/>
    </xf>
    <xf numFmtId="0" fontId="25" fillId="0" borderId="3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13" borderId="1" xfId="0" applyFont="1" applyFill="1" applyBorder="1" applyAlignment="1">
      <alignment horizontal="center" vertical="center" wrapText="1"/>
    </xf>
    <xf numFmtId="0" fontId="25" fillId="0" borderId="1" xfId="10" applyFont="1" applyBorder="1" applyAlignment="1">
      <alignment horizontal="left" vertical="center" wrapText="1"/>
    </xf>
    <xf numFmtId="168" fontId="25" fillId="5" borderId="1" xfId="12" applyNumberFormat="1" applyFont="1" applyFill="1" applyBorder="1" applyAlignment="1" applyProtection="1">
      <alignment horizontal="right" vertical="center" wrapText="1"/>
      <protection locked="0"/>
    </xf>
    <xf numFmtId="168" fontId="25" fillId="13" borderId="1" xfId="12" applyNumberFormat="1" applyFont="1" applyFill="1" applyBorder="1" applyAlignment="1" applyProtection="1">
      <alignment horizontal="right" vertical="center" wrapText="1"/>
      <protection locked="0"/>
    </xf>
    <xf numFmtId="0" fontId="25" fillId="0" borderId="1" xfId="10" quotePrefix="1" applyFont="1" applyBorder="1" applyAlignment="1">
      <alignment horizontal="left" vertical="center" wrapText="1"/>
    </xf>
    <xf numFmtId="0" fontId="25" fillId="6" borderId="1" xfId="0" quotePrefix="1" applyFont="1" applyFill="1" applyBorder="1" applyAlignment="1">
      <alignment horizontal="right" vertical="center" wrapText="1"/>
    </xf>
    <xf numFmtId="0" fontId="25" fillId="6" borderId="1" xfId="0" quotePrefix="1" applyFont="1" applyFill="1" applyBorder="1" applyAlignment="1">
      <alignment horizontal="center" vertical="center" wrapText="1"/>
    </xf>
    <xf numFmtId="169" fontId="30" fillId="15" borderId="1" xfId="1" applyFont="1" applyFill="1" applyBorder="1" applyAlignment="1">
      <alignment horizontal="center" vertical="center" wrapText="1"/>
    </xf>
    <xf numFmtId="169" fontId="30" fillId="0" borderId="13" xfId="1" applyFont="1" applyBorder="1" applyAlignment="1">
      <alignment vertical="center" wrapText="1"/>
    </xf>
    <xf numFmtId="0" fontId="25" fillId="0" borderId="3" xfId="9" applyFont="1" applyBorder="1" applyAlignment="1">
      <alignment horizontal="left" vertical="center" wrapText="1"/>
    </xf>
    <xf numFmtId="169" fontId="25" fillId="5" borderId="1" xfId="1" applyFont="1" applyFill="1" applyBorder="1" applyAlignment="1">
      <alignment horizontal="right" vertical="center" wrapText="1"/>
    </xf>
    <xf numFmtId="0" fontId="3" fillId="0" borderId="1" xfId="0" quotePrefix="1" applyFont="1" applyBorder="1" applyAlignment="1">
      <alignment horizontal="left" vertical="center" wrapText="1"/>
    </xf>
    <xf numFmtId="0" fontId="3" fillId="0" borderId="13" xfId="0" applyFont="1" applyBorder="1" applyAlignment="1">
      <alignment vertical="center" wrapText="1"/>
    </xf>
    <xf numFmtId="168" fontId="25" fillId="5" borderId="47" xfId="9" applyNumberFormat="1" applyFont="1" applyFill="1" applyBorder="1" applyAlignment="1" applyProtection="1">
      <alignment horizontal="right" vertical="center" wrapText="1"/>
      <protection locked="0"/>
    </xf>
    <xf numFmtId="0" fontId="25" fillId="0" borderId="31" xfId="4" applyFont="1" applyBorder="1" applyAlignment="1">
      <alignment horizontal="left" vertical="center" wrapText="1"/>
    </xf>
    <xf numFmtId="169" fontId="25" fillId="0" borderId="13" xfId="1" applyFont="1" applyFill="1" applyBorder="1" applyAlignment="1">
      <alignment vertical="center" wrapText="1"/>
    </xf>
    <xf numFmtId="0" fontId="25" fillId="5" borderId="1" xfId="0" applyFont="1" applyFill="1" applyBorder="1" applyAlignment="1">
      <alignment horizontal="right" vertical="center" wrapText="1"/>
    </xf>
    <xf numFmtId="0" fontId="25" fillId="6" borderId="1" xfId="0" applyFont="1" applyFill="1" applyBorder="1" applyAlignment="1">
      <alignment horizontal="center" vertical="center" wrapText="1"/>
    </xf>
    <xf numFmtId="0" fontId="5" fillId="0" borderId="47" xfId="0" applyFont="1" applyBorder="1" applyAlignment="1">
      <alignment horizontal="left" vertical="center" wrapText="1"/>
    </xf>
    <xf numFmtId="0" fontId="25" fillId="0" borderId="47" xfId="0" applyFont="1" applyBorder="1" applyAlignment="1">
      <alignment horizontal="left" vertical="center" wrapText="1"/>
    </xf>
    <xf numFmtId="169" fontId="25" fillId="13" borderId="1" xfId="1" applyFont="1" applyFill="1" applyBorder="1" applyAlignment="1">
      <alignment horizontal="right" vertical="center" wrapText="1"/>
    </xf>
    <xf numFmtId="0" fontId="25" fillId="0" borderId="9" xfId="9" applyFont="1" applyBorder="1" applyAlignment="1">
      <alignment vertical="center" wrapText="1"/>
    </xf>
    <xf numFmtId="0" fontId="25" fillId="0" borderId="1" xfId="9" quotePrefix="1" applyFont="1" applyBorder="1" applyAlignment="1">
      <alignment vertical="center" wrapText="1"/>
    </xf>
    <xf numFmtId="169" fontId="3" fillId="13" borderId="1" xfId="0" applyNumberFormat="1" applyFont="1" applyFill="1" applyBorder="1" applyAlignment="1">
      <alignment horizontal="right" vertical="center" wrapText="1"/>
    </xf>
    <xf numFmtId="169" fontId="25" fillId="18" borderId="1" xfId="1" applyFont="1" applyFill="1" applyBorder="1" applyAlignment="1">
      <alignment horizontal="right" vertical="center" wrapText="1"/>
    </xf>
    <xf numFmtId="0" fontId="25" fillId="0" borderId="31" xfId="9" applyFont="1" applyBorder="1" applyAlignment="1">
      <alignment vertical="center" wrapText="1"/>
    </xf>
    <xf numFmtId="0" fontId="25" fillId="0" borderId="47" xfId="9" applyFont="1" applyBorder="1" applyAlignment="1">
      <alignment vertical="center" wrapText="1"/>
    </xf>
    <xf numFmtId="0" fontId="3" fillId="13" borderId="1" xfId="0" applyFont="1" applyFill="1" applyBorder="1" applyAlignment="1">
      <alignment horizontal="right" vertical="center" wrapText="1"/>
    </xf>
    <xf numFmtId="0" fontId="25" fillId="0" borderId="1" xfId="10" quotePrefix="1" applyFont="1" applyBorder="1" applyAlignment="1">
      <alignment horizontal="left" vertical="center" wrapText="1"/>
    </xf>
    <xf numFmtId="0" fontId="25" fillId="6" borderId="1" xfId="0" applyFont="1" applyFill="1" applyBorder="1" applyAlignment="1">
      <alignment horizontal="left" vertical="center" wrapText="1"/>
    </xf>
    <xf numFmtId="0" fontId="25" fillId="0" borderId="1" xfId="0" applyFont="1" applyBorder="1" applyAlignment="1">
      <alignment horizontal="left" vertical="center" wrapText="1"/>
    </xf>
    <xf numFmtId="168" fontId="3" fillId="13"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wrapText="1"/>
    </xf>
    <xf numFmtId="0" fontId="36" fillId="11" borderId="1" xfId="0" applyFont="1" applyFill="1" applyBorder="1" applyAlignment="1">
      <alignment horizontal="left" vertical="center" wrapText="1"/>
    </xf>
    <xf numFmtId="0" fontId="36" fillId="11" borderId="1" xfId="0" applyFont="1" applyFill="1" applyBorder="1" applyAlignment="1">
      <alignment vertical="center" wrapText="1"/>
    </xf>
    <xf numFmtId="0" fontId="36" fillId="11" borderId="1" xfId="0" quotePrefix="1" applyFont="1" applyFill="1" applyBorder="1" applyAlignment="1">
      <alignment horizontal="center" vertical="center" wrapText="1"/>
    </xf>
    <xf numFmtId="9" fontId="36" fillId="11" borderId="1" xfId="0" applyNumberFormat="1" applyFont="1" applyFill="1" applyBorder="1" applyAlignment="1">
      <alignment horizontal="center" vertical="center" wrapText="1"/>
    </xf>
    <xf numFmtId="0" fontId="36" fillId="11" borderId="1" xfId="0" quotePrefix="1" applyFont="1" applyFill="1" applyBorder="1" applyAlignment="1">
      <alignment horizontal="right" vertical="center" wrapText="1"/>
    </xf>
    <xf numFmtId="0" fontId="36" fillId="11" borderId="1" xfId="0" applyFont="1" applyFill="1" applyBorder="1" applyAlignment="1">
      <alignment horizontal="left" vertical="center" wrapText="1"/>
    </xf>
    <xf numFmtId="169" fontId="36" fillId="11" borderId="1" xfId="1" applyFont="1" applyFill="1" applyBorder="1" applyAlignment="1">
      <alignment horizontal="center" vertical="center" wrapText="1"/>
    </xf>
    <xf numFmtId="0" fontId="25" fillId="11" borderId="13" xfId="0" applyFont="1" applyFill="1" applyBorder="1" applyAlignment="1">
      <alignment horizontal="left" vertical="center" wrapText="1"/>
    </xf>
    <xf numFmtId="0" fontId="35" fillId="11" borderId="9" xfId="0" applyFont="1" applyFill="1" applyBorder="1" applyAlignment="1">
      <alignment horizontal="left" vertical="center" wrapText="1"/>
    </xf>
    <xf numFmtId="0" fontId="36" fillId="11" borderId="1" xfId="0" applyFont="1" applyFill="1" applyBorder="1" applyAlignment="1">
      <alignment horizontal="center" vertical="center" wrapText="1"/>
    </xf>
    <xf numFmtId="0" fontId="35" fillId="11" borderId="1" xfId="0" applyFont="1" applyFill="1" applyBorder="1" applyAlignment="1">
      <alignment horizontal="center" vertical="center" wrapText="1"/>
    </xf>
    <xf numFmtId="0" fontId="3" fillId="11" borderId="13" xfId="0" applyFont="1" applyFill="1" applyBorder="1" applyAlignment="1">
      <alignment vertical="center" wrapText="1"/>
    </xf>
    <xf numFmtId="0" fontId="3" fillId="0" borderId="1" xfId="0" applyFont="1" applyBorder="1" applyAlignment="1">
      <alignment vertical="center" wrapText="1"/>
    </xf>
    <xf numFmtId="0" fontId="3" fillId="16"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5" fillId="0" borderId="1" xfId="0" applyFont="1" applyBorder="1" applyAlignment="1">
      <alignment horizontal="left" vertical="center" wrapText="1"/>
    </xf>
    <xf numFmtId="9" fontId="41" fillId="14"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9" fontId="3" fillId="5" borderId="1" xfId="0" applyNumberFormat="1" applyFont="1" applyFill="1" applyBorder="1" applyAlignment="1">
      <alignment horizontal="center" vertical="center" wrapText="1"/>
    </xf>
    <xf numFmtId="0" fontId="3" fillId="0" borderId="31" xfId="0" applyFont="1" applyBorder="1" applyAlignment="1">
      <alignment horizontal="left" vertical="center" wrapText="1"/>
    </xf>
    <xf numFmtId="0" fontId="3" fillId="3" borderId="1" xfId="0" applyFont="1" applyFill="1" applyBorder="1" applyAlignment="1">
      <alignment horizontal="center" vertical="center" wrapText="1"/>
    </xf>
    <xf numFmtId="0" fontId="30" fillId="0" borderId="9" xfId="0" applyFont="1" applyBorder="1" applyAlignment="1">
      <alignment horizontal="left" vertical="center" wrapText="1"/>
    </xf>
    <xf numFmtId="0" fontId="25" fillId="0" borderId="46" xfId="4"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vertical="center" wrapText="1"/>
    </xf>
    <xf numFmtId="0" fontId="30" fillId="0" borderId="1" xfId="0" applyFont="1" applyBorder="1" applyAlignment="1">
      <alignment horizontal="left" vertical="center" wrapText="1"/>
    </xf>
    <xf numFmtId="0" fontId="25" fillId="6" borderId="9" xfId="0" applyFont="1" applyFill="1" applyBorder="1" applyAlignment="1">
      <alignment horizontal="left" vertical="center" wrapText="1"/>
    </xf>
    <xf numFmtId="0" fontId="25" fillId="0" borderId="9" xfId="0" applyFont="1" applyBorder="1" applyAlignment="1">
      <alignment horizontal="left" vertical="center" wrapText="1"/>
    </xf>
    <xf numFmtId="0" fontId="25" fillId="6" borderId="11" xfId="0" applyFont="1" applyFill="1" applyBorder="1" applyAlignment="1">
      <alignment horizontal="left" vertical="center" wrapText="1"/>
    </xf>
    <xf numFmtId="0" fontId="30" fillId="0" borderId="1" xfId="0" applyFont="1" applyBorder="1" applyAlignment="1">
      <alignment horizontal="center" vertical="center" wrapText="1"/>
    </xf>
    <xf numFmtId="0" fontId="5" fillId="0" borderId="9" xfId="0" applyFont="1" applyBorder="1" applyAlignment="1">
      <alignment horizontal="left" vertical="center" wrapText="1"/>
    </xf>
    <xf numFmtId="0" fontId="25" fillId="0" borderId="9" xfId="10" applyFont="1" applyBorder="1" applyAlignment="1">
      <alignment horizontal="left" vertical="center" wrapText="1"/>
    </xf>
    <xf numFmtId="0" fontId="25" fillId="0" borderId="49" xfId="9" applyFont="1" applyBorder="1" applyAlignment="1">
      <alignment vertical="center" wrapText="1"/>
    </xf>
    <xf numFmtId="0" fontId="25" fillId="6" borderId="9" xfId="0" applyFont="1" applyFill="1" applyBorder="1" applyAlignment="1">
      <alignment horizontal="center" vertical="center" wrapText="1"/>
    </xf>
    <xf numFmtId="0" fontId="3" fillId="0" borderId="22" xfId="0" applyFont="1" applyBorder="1" applyAlignment="1">
      <alignment horizontal="center" vertical="center" wrapText="1"/>
    </xf>
    <xf numFmtId="0" fontId="25" fillId="6" borderId="15" xfId="0" applyFont="1" applyFill="1" applyBorder="1" applyAlignment="1">
      <alignment horizontal="left" vertical="center" wrapText="1"/>
    </xf>
    <xf numFmtId="0" fontId="25" fillId="0" borderId="15" xfId="0" applyFont="1" applyBorder="1" applyAlignment="1">
      <alignment horizontal="left" vertical="center" wrapText="1"/>
    </xf>
    <xf numFmtId="0" fontId="25" fillId="6" borderId="17" xfId="0" applyFont="1" applyFill="1" applyBorder="1" applyAlignment="1">
      <alignment horizontal="left" vertical="center" wrapText="1"/>
    </xf>
    <xf numFmtId="0" fontId="25" fillId="6" borderId="58" xfId="9" applyFont="1" applyFill="1" applyBorder="1" applyAlignment="1">
      <alignment vertical="center" wrapText="1"/>
    </xf>
    <xf numFmtId="0" fontId="25" fillId="6" borderId="15" xfId="0" applyFont="1" applyFill="1" applyBorder="1" applyAlignment="1">
      <alignment horizontal="center" vertical="center" wrapText="1"/>
    </xf>
    <xf numFmtId="0" fontId="5" fillId="0" borderId="15" xfId="0" applyFont="1" applyBorder="1" applyAlignment="1">
      <alignment horizontal="left" vertical="center" wrapText="1"/>
    </xf>
    <xf numFmtId="0" fontId="3" fillId="0" borderId="15" xfId="0" applyFont="1" applyBorder="1" applyAlignment="1">
      <alignment horizontal="left" vertical="center" wrapText="1"/>
    </xf>
    <xf numFmtId="0" fontId="25" fillId="0" borderId="15" xfId="10" applyFont="1" applyBorder="1" applyAlignment="1">
      <alignment horizontal="left" vertical="center" wrapText="1"/>
    </xf>
    <xf numFmtId="0" fontId="3" fillId="0" borderId="15" xfId="0" applyFont="1" applyBorder="1" applyAlignment="1">
      <alignment horizontal="center" vertical="center" wrapText="1"/>
    </xf>
    <xf numFmtId="0" fontId="3" fillId="16" borderId="15" xfId="0" applyFont="1" applyFill="1" applyBorder="1" applyAlignment="1">
      <alignment horizontal="center" vertical="center" wrapText="1"/>
    </xf>
    <xf numFmtId="0" fontId="3" fillId="0" borderId="17" xfId="0" applyFont="1" applyBorder="1" applyAlignment="1">
      <alignment vertical="center" wrapText="1"/>
    </xf>
    <xf numFmtId="0" fontId="30" fillId="0" borderId="0" xfId="4" applyFont="1" applyAlignment="1">
      <alignment horizontal="center" vertical="center"/>
    </xf>
    <xf numFmtId="0" fontId="5" fillId="0" borderId="54" xfId="4" applyFont="1" applyBorder="1" applyAlignment="1">
      <alignment horizontal="left" vertical="center" wrapText="1"/>
    </xf>
    <xf numFmtId="0" fontId="5" fillId="0" borderId="26" xfId="4" applyFont="1" applyBorder="1" applyAlignment="1">
      <alignment horizontal="left" vertical="center" wrapText="1"/>
    </xf>
    <xf numFmtId="0" fontId="5" fillId="0" borderId="26" xfId="4" applyFont="1" applyBorder="1" applyAlignment="1">
      <alignment horizontal="left" vertical="center" wrapText="1"/>
    </xf>
    <xf numFmtId="169" fontId="30" fillId="5" borderId="56" xfId="1" applyFont="1" applyFill="1" applyBorder="1" applyAlignment="1" applyProtection="1">
      <alignment vertical="center" wrapText="1"/>
      <protection locked="0"/>
    </xf>
    <xf numFmtId="0" fontId="42" fillId="8" borderId="5" xfId="4" applyFont="1" applyFill="1" applyBorder="1" applyAlignment="1">
      <alignment horizontal="left" vertical="center"/>
    </xf>
    <xf numFmtId="0" fontId="42" fillId="8" borderId="6" xfId="4" applyFont="1" applyFill="1" applyBorder="1" applyAlignment="1">
      <alignment horizontal="left" vertical="center" wrapText="1"/>
    </xf>
    <xf numFmtId="0" fontId="42" fillId="8" borderId="7" xfId="4" applyFont="1" applyFill="1" applyBorder="1" applyAlignment="1">
      <alignment horizontal="left" vertical="center" wrapText="1"/>
    </xf>
    <xf numFmtId="0" fontId="5" fillId="0" borderId="12" xfId="4" applyFont="1" applyBorder="1" applyAlignment="1">
      <alignment horizontal="left" vertical="center" wrapText="1"/>
    </xf>
    <xf numFmtId="0" fontId="5" fillId="0" borderId="3" xfId="4" applyFont="1" applyBorder="1" applyAlignment="1">
      <alignment horizontal="left" vertical="center" wrapText="1"/>
    </xf>
    <xf numFmtId="0" fontId="5" fillId="0" borderId="46" xfId="4" applyFont="1" applyBorder="1" applyAlignment="1">
      <alignment horizontal="left" vertical="center" wrapText="1"/>
    </xf>
    <xf numFmtId="169" fontId="30" fillId="5" borderId="47" xfId="1" applyFont="1" applyFill="1" applyBorder="1" applyAlignment="1" applyProtection="1">
      <alignment vertical="center" wrapText="1"/>
      <protection locked="0"/>
    </xf>
    <xf numFmtId="0" fontId="5" fillId="0" borderId="19" xfId="4" applyFont="1" applyBorder="1" applyAlignment="1">
      <alignment horizontal="left" vertical="center"/>
    </xf>
    <xf numFmtId="0" fontId="5" fillId="0" borderId="20" xfId="4" applyFont="1" applyBorder="1" applyAlignment="1">
      <alignment horizontal="left" vertical="center"/>
    </xf>
    <xf numFmtId="0" fontId="5" fillId="0" borderId="3" xfId="4" applyFont="1" applyBorder="1" applyAlignment="1">
      <alignment horizontal="left" vertical="center" wrapText="1"/>
    </xf>
    <xf numFmtId="169" fontId="30" fillId="5" borderId="1" xfId="1" applyFont="1" applyFill="1" applyBorder="1" applyAlignment="1" applyProtection="1">
      <alignment vertical="center" wrapText="1"/>
      <protection locked="0"/>
    </xf>
    <xf numFmtId="0" fontId="5" fillId="0" borderId="49" xfId="4" applyFont="1" applyBorder="1" applyAlignment="1">
      <alignment horizontal="left" vertical="center" wrapText="1"/>
    </xf>
    <xf numFmtId="169" fontId="30" fillId="5" borderId="9" xfId="1" applyFont="1" applyFill="1" applyBorder="1" applyAlignment="1" applyProtection="1">
      <alignment vertical="center" wrapText="1"/>
      <protection locked="0"/>
    </xf>
    <xf numFmtId="0" fontId="5" fillId="0" borderId="59" xfId="4" applyFont="1" applyBorder="1" applyAlignment="1">
      <alignment horizontal="left" vertical="center" wrapText="1"/>
    </xf>
    <xf numFmtId="0" fontId="5" fillId="0" borderId="49" xfId="4" applyFont="1" applyBorder="1" applyAlignment="1">
      <alignment horizontal="left" vertical="center" wrapText="1"/>
    </xf>
    <xf numFmtId="0" fontId="5" fillId="0" borderId="14" xfId="4" applyFont="1" applyBorder="1" applyAlignment="1">
      <alignment horizontal="left" vertical="center" wrapText="1"/>
    </xf>
    <xf numFmtId="0" fontId="5" fillId="0" borderId="58" xfId="4" applyFont="1" applyBorder="1" applyAlignment="1">
      <alignment horizontal="left" vertical="center" wrapText="1"/>
    </xf>
    <xf numFmtId="0" fontId="5" fillId="0" borderId="58" xfId="4" applyFont="1" applyBorder="1" applyAlignment="1">
      <alignment horizontal="left" vertical="center" wrapText="1"/>
    </xf>
    <xf numFmtId="169" fontId="30" fillId="5" borderId="15" xfId="1" applyFont="1" applyFill="1" applyBorder="1" applyAlignment="1" applyProtection="1">
      <alignment vertical="center" wrapText="1"/>
      <protection locked="0"/>
    </xf>
    <xf numFmtId="0" fontId="5" fillId="0" borderId="16" xfId="4" applyFont="1" applyBorder="1" applyAlignment="1">
      <alignment horizontal="left" vertical="center"/>
    </xf>
    <xf numFmtId="0" fontId="5" fillId="0" borderId="60" xfId="4" applyFont="1" applyBorder="1" applyAlignment="1">
      <alignment horizontal="left" vertical="center"/>
    </xf>
    <xf numFmtId="0" fontId="5" fillId="0" borderId="61" xfId="4" applyFont="1" applyBorder="1" applyAlignment="1">
      <alignment horizontal="left" vertical="center"/>
    </xf>
    <xf numFmtId="0" fontId="11" fillId="0" borderId="0" xfId="4" applyFont="1" applyAlignment="1">
      <alignment horizontal="centerContinuous" vertical="center"/>
    </xf>
    <xf numFmtId="0" fontId="47" fillId="0" borderId="0" xfId="4" applyFont="1" applyAlignment="1">
      <alignment horizontal="centerContinuous" vertical="center"/>
    </xf>
    <xf numFmtId="0" fontId="48" fillId="0" borderId="0" xfId="4" applyFont="1"/>
    <xf numFmtId="0" fontId="49" fillId="0" borderId="0" xfId="4" applyFont="1" applyAlignment="1">
      <alignment vertical="center"/>
    </xf>
    <xf numFmtId="0" fontId="50" fillId="0" borderId="0" xfId="4" applyFont="1" applyAlignment="1">
      <alignment horizontal="centerContinuous" vertical="center"/>
    </xf>
    <xf numFmtId="0" fontId="24" fillId="0" borderId="0" xfId="4" applyFont="1" applyAlignment="1">
      <alignment horizontal="centerContinuous" vertical="center"/>
    </xf>
    <xf numFmtId="0" fontId="2" fillId="0" borderId="0" xfId="4" applyFont="1" applyAlignment="1">
      <alignment horizontal="centerContinuous" vertical="center"/>
    </xf>
    <xf numFmtId="0" fontId="51" fillId="0" borderId="0" xfId="4" applyFont="1" applyAlignment="1">
      <alignment horizontal="centerContinuous" vertical="center"/>
    </xf>
    <xf numFmtId="0" fontId="19" fillId="0" borderId="0" xfId="4" applyFont="1" applyAlignment="1">
      <alignment vertical="center"/>
    </xf>
    <xf numFmtId="0" fontId="13" fillId="0" borderId="0" xfId="4" applyFont="1" applyAlignment="1">
      <alignment wrapText="1"/>
    </xf>
    <xf numFmtId="0" fontId="17" fillId="0" borderId="0" xfId="4" applyFont="1" applyAlignment="1">
      <alignment wrapText="1"/>
    </xf>
    <xf numFmtId="0" fontId="30" fillId="0" borderId="54" xfId="4" applyFont="1" applyBorder="1" applyAlignment="1">
      <alignment horizontal="left" vertical="center" wrapText="1"/>
    </xf>
    <xf numFmtId="0" fontId="30" fillId="0" borderId="26" xfId="4" applyFont="1" applyBorder="1" applyAlignment="1">
      <alignment horizontal="left" vertical="center" wrapText="1"/>
    </xf>
    <xf numFmtId="169" fontId="30" fillId="13" borderId="56" xfId="1" applyFont="1" applyFill="1" applyBorder="1" applyAlignment="1" applyProtection="1">
      <alignment vertical="center" wrapText="1"/>
      <protection locked="0"/>
    </xf>
    <xf numFmtId="0" fontId="30" fillId="0" borderId="5" xfId="4" applyFont="1" applyBorder="1" applyAlignment="1">
      <alignment horizontal="left" vertical="center"/>
    </xf>
    <xf numFmtId="0" fontId="30" fillId="0" borderId="6" xfId="4" applyFont="1" applyBorder="1" applyAlignment="1">
      <alignment horizontal="left" vertical="center" wrapText="1"/>
    </xf>
    <xf numFmtId="0" fontId="30" fillId="0" borderId="7" xfId="4" applyFont="1" applyBorder="1" applyAlignment="1">
      <alignment horizontal="left" vertical="center" wrapText="1"/>
    </xf>
    <xf numFmtId="0" fontId="17" fillId="0" borderId="0" xfId="4" applyFont="1" applyAlignment="1">
      <alignment horizontal="left" vertical="center" wrapText="1"/>
    </xf>
    <xf numFmtId="0" fontId="17" fillId="12" borderId="0" xfId="4" applyFont="1" applyFill="1" applyAlignment="1">
      <alignment horizontal="center" wrapText="1"/>
    </xf>
    <xf numFmtId="0" fontId="17" fillId="12" borderId="0" xfId="4" applyFont="1" applyFill="1" applyAlignment="1">
      <alignment wrapText="1"/>
    </xf>
    <xf numFmtId="0" fontId="30" fillId="12" borderId="0" xfId="4" applyFont="1" applyFill="1" applyAlignment="1">
      <alignment horizontal="center" vertical="center"/>
    </xf>
    <xf numFmtId="0" fontId="30" fillId="0" borderId="12" xfId="4" applyFont="1" applyBorder="1" applyAlignment="1">
      <alignment horizontal="left" vertical="center" wrapText="1"/>
    </xf>
    <xf numFmtId="0" fontId="30" fillId="0" borderId="3" xfId="4" applyFont="1" applyBorder="1" applyAlignment="1">
      <alignment horizontal="left" vertical="center" wrapText="1"/>
    </xf>
    <xf numFmtId="169" fontId="30" fillId="13" borderId="47" xfId="1" applyFont="1" applyFill="1" applyBorder="1" applyAlignment="1" applyProtection="1">
      <alignment vertical="center" wrapText="1"/>
      <protection locked="0"/>
    </xf>
    <xf numFmtId="0" fontId="30" fillId="0" borderId="19" xfId="4" applyFont="1" applyBorder="1" applyAlignment="1">
      <alignment horizontal="left" vertical="center"/>
    </xf>
    <xf numFmtId="0" fontId="30" fillId="0" borderId="20" xfId="4" applyFont="1" applyBorder="1" applyAlignment="1">
      <alignment horizontal="left" vertical="center"/>
    </xf>
    <xf numFmtId="0" fontId="5" fillId="0" borderId="0" xfId="4" applyFont="1" applyAlignment="1">
      <alignment horizontal="left" vertical="center"/>
    </xf>
    <xf numFmtId="0" fontId="30" fillId="12" borderId="0" xfId="4" applyFont="1" applyFill="1" applyAlignment="1">
      <alignment vertical="center"/>
    </xf>
    <xf numFmtId="169" fontId="30" fillId="13" borderId="1" xfId="1" applyFont="1" applyFill="1" applyBorder="1" applyAlignment="1" applyProtection="1">
      <alignment vertical="center" wrapText="1"/>
      <protection locked="0"/>
    </xf>
    <xf numFmtId="169" fontId="30" fillId="13" borderId="9" xfId="1" applyFont="1" applyFill="1" applyBorder="1" applyAlignment="1" applyProtection="1">
      <alignment vertical="center" wrapText="1"/>
      <protection locked="0"/>
    </xf>
    <xf numFmtId="0" fontId="5" fillId="12" borderId="0" xfId="4" applyFont="1" applyFill="1" applyAlignment="1">
      <alignment horizontal="center" vertical="center"/>
    </xf>
    <xf numFmtId="0" fontId="30" fillId="0" borderId="59" xfId="4" applyFont="1" applyBorder="1" applyAlignment="1">
      <alignment horizontal="left" vertical="center" wrapText="1"/>
    </xf>
    <xf numFmtId="0" fontId="30" fillId="0" borderId="49" xfId="4" applyFont="1" applyBorder="1" applyAlignment="1">
      <alignment horizontal="left" vertical="center" wrapText="1"/>
    </xf>
    <xf numFmtId="0" fontId="30" fillId="0" borderId="12" xfId="4" applyFont="1" applyBorder="1" applyAlignment="1">
      <alignment horizontal="left" vertical="center" wrapText="1"/>
    </xf>
    <xf numFmtId="0" fontId="30" fillId="0" borderId="3" xfId="4" applyFont="1" applyBorder="1" applyAlignment="1">
      <alignment horizontal="left" vertical="center" wrapText="1"/>
    </xf>
    <xf numFmtId="0" fontId="30" fillId="0" borderId="14" xfId="4" applyFont="1" applyBorder="1" applyAlignment="1">
      <alignment horizontal="left" vertical="center" wrapText="1"/>
    </xf>
    <xf numFmtId="0" fontId="30" fillId="0" borderId="58" xfId="4" applyFont="1" applyBorder="1" applyAlignment="1">
      <alignment horizontal="left" vertical="center" wrapText="1"/>
    </xf>
    <xf numFmtId="169" fontId="30" fillId="13" borderId="15" xfId="1" applyFont="1" applyFill="1" applyBorder="1" applyAlignment="1" applyProtection="1">
      <alignment vertical="center" wrapText="1"/>
      <protection locked="0"/>
    </xf>
    <xf numFmtId="0" fontId="30" fillId="0" borderId="16" xfId="4" applyFont="1" applyBorder="1" applyAlignment="1">
      <alignment horizontal="left" vertical="center"/>
    </xf>
    <xf numFmtId="0" fontId="30" fillId="0" borderId="60" xfId="4" applyFont="1" applyBorder="1" applyAlignment="1">
      <alignment horizontal="left" vertical="center"/>
    </xf>
    <xf numFmtId="0" fontId="30" fillId="0" borderId="61" xfId="4" applyFont="1" applyBorder="1" applyAlignment="1">
      <alignment horizontal="left" vertical="center"/>
    </xf>
    <xf numFmtId="0" fontId="17" fillId="13" borderId="0" xfId="4" applyFont="1" applyFill="1" applyAlignment="1">
      <alignment horizontal="left"/>
    </xf>
    <xf numFmtId="0" fontId="17" fillId="0" borderId="0" xfId="4" applyFont="1" applyAlignment="1">
      <alignment horizontal="left"/>
    </xf>
    <xf numFmtId="0" fontId="25" fillId="0" borderId="62" xfId="4" applyFont="1" applyBorder="1" applyAlignment="1">
      <alignment horizontal="center" vertical="center" wrapText="1"/>
    </xf>
    <xf numFmtId="0" fontId="12" fillId="0" borderId="62" xfId="4" applyFont="1" applyBorder="1" applyAlignment="1">
      <alignment horizontal="center" vertical="center" wrapText="1"/>
    </xf>
    <xf numFmtId="0" fontId="25" fillId="0" borderId="62" xfId="4" applyFont="1" applyBorder="1" applyAlignment="1">
      <alignment horizontal="center" vertical="center" wrapText="1"/>
    </xf>
    <xf numFmtId="14" fontId="16" fillId="13" borderId="62" xfId="4" applyNumberFormat="1" applyFont="1" applyFill="1" applyBorder="1"/>
    <xf numFmtId="0" fontId="5" fillId="19" borderId="63" xfId="4" applyFont="1" applyFill="1" applyBorder="1" applyAlignment="1">
      <alignment horizontal="center" vertical="center" wrapText="1"/>
    </xf>
    <xf numFmtId="0" fontId="5" fillId="19" borderId="64" xfId="4" applyFont="1" applyFill="1" applyBorder="1" applyAlignment="1">
      <alignment horizontal="center" vertical="center" wrapText="1"/>
    </xf>
    <xf numFmtId="0" fontId="5" fillId="20" borderId="4" xfId="4" applyFont="1" applyFill="1" applyBorder="1" applyAlignment="1">
      <alignment horizontal="center" vertical="center" wrapText="1"/>
    </xf>
    <xf numFmtId="0" fontId="5" fillId="20" borderId="24" xfId="4" applyFont="1" applyFill="1" applyBorder="1" applyAlignment="1">
      <alignment horizontal="center" vertical="center" wrapText="1"/>
    </xf>
    <xf numFmtId="0" fontId="5" fillId="20" borderId="23" xfId="4" applyFont="1" applyFill="1" applyBorder="1" applyAlignment="1">
      <alignment horizontal="center" vertical="center" wrapText="1"/>
    </xf>
    <xf numFmtId="0" fontId="5" fillId="20" borderId="25" xfId="4" applyFont="1" applyFill="1" applyBorder="1" applyAlignment="1">
      <alignment horizontal="center" vertical="center" wrapText="1"/>
    </xf>
    <xf numFmtId="0" fontId="5" fillId="3" borderId="65" xfId="4" applyFont="1" applyFill="1" applyBorder="1" applyAlignment="1">
      <alignment horizontal="center" vertical="center" wrapText="1"/>
    </xf>
    <xf numFmtId="0" fontId="5" fillId="3" borderId="6" xfId="4" applyFont="1" applyFill="1" applyBorder="1" applyAlignment="1">
      <alignment horizontal="center" vertical="center" wrapText="1"/>
    </xf>
    <xf numFmtId="0" fontId="5" fillId="3" borderId="66" xfId="4" applyFont="1" applyFill="1" applyBorder="1" applyAlignment="1">
      <alignment horizontal="center" vertical="center" wrapText="1"/>
    </xf>
    <xf numFmtId="0" fontId="30" fillId="7" borderId="5" xfId="4" applyFont="1" applyFill="1" applyBorder="1" applyAlignment="1">
      <alignment horizontal="center" vertical="center" wrapText="1"/>
    </xf>
    <xf numFmtId="0" fontId="30" fillId="7" borderId="6" xfId="4" applyFont="1" applyFill="1" applyBorder="1" applyAlignment="1">
      <alignment horizontal="center" vertical="center" wrapText="1"/>
    </xf>
    <xf numFmtId="0" fontId="5" fillId="8" borderId="65" xfId="4" applyFont="1" applyFill="1" applyBorder="1" applyAlignment="1">
      <alignment horizontal="center" vertical="center" wrapText="1"/>
    </xf>
    <xf numFmtId="0" fontId="5" fillId="8" borderId="6" xfId="4" applyFont="1" applyFill="1" applyBorder="1" applyAlignment="1">
      <alignment horizontal="center" vertical="center" wrapText="1"/>
    </xf>
    <xf numFmtId="0" fontId="5" fillId="8" borderId="66" xfId="4" applyFont="1" applyFill="1" applyBorder="1" applyAlignment="1">
      <alignment horizontal="center" vertical="center" wrapText="1"/>
    </xf>
    <xf numFmtId="0" fontId="5" fillId="21" borderId="6" xfId="4" applyFont="1" applyFill="1" applyBorder="1" applyAlignment="1">
      <alignment horizontal="center" vertical="center" wrapText="1"/>
    </xf>
    <xf numFmtId="0" fontId="5" fillId="21" borderId="66" xfId="4" applyFont="1" applyFill="1" applyBorder="1" applyAlignment="1">
      <alignment horizontal="center" vertical="center" wrapText="1"/>
    </xf>
    <xf numFmtId="0" fontId="5" fillId="9" borderId="67" xfId="4" applyFont="1" applyFill="1" applyBorder="1" applyAlignment="1">
      <alignment horizontal="center" vertical="center" wrapText="1"/>
    </xf>
    <xf numFmtId="0" fontId="5" fillId="20" borderId="18" xfId="4" applyFont="1" applyFill="1" applyBorder="1" applyAlignment="1">
      <alignment horizontal="center" vertical="center" wrapText="1"/>
    </xf>
    <xf numFmtId="0" fontId="5" fillId="20" borderId="30" xfId="4" applyFont="1" applyFill="1" applyBorder="1" applyAlignment="1">
      <alignment horizontal="center" vertical="center" wrapText="1"/>
    </xf>
    <xf numFmtId="0" fontId="5" fillId="20" borderId="29" xfId="4" applyFont="1" applyFill="1" applyBorder="1" applyAlignment="1">
      <alignment horizontal="center" vertical="center" wrapText="1"/>
    </xf>
    <xf numFmtId="0" fontId="5" fillId="20" borderId="31" xfId="4" applyFont="1" applyFill="1" applyBorder="1" applyAlignment="1">
      <alignment horizontal="center" vertical="center" wrapText="1"/>
    </xf>
    <xf numFmtId="0" fontId="5" fillId="3" borderId="68" xfId="4" applyFont="1" applyFill="1" applyBorder="1" applyAlignment="1">
      <alignment horizontal="center" vertical="center" wrapText="1"/>
    </xf>
    <xf numFmtId="0" fontId="5" fillId="3" borderId="3" xfId="4" applyFont="1" applyFill="1" applyBorder="1" applyAlignment="1">
      <alignment horizontal="center" vertical="center" wrapText="1"/>
    </xf>
    <xf numFmtId="0" fontId="5" fillId="3" borderId="2" xfId="4" applyFont="1" applyFill="1" applyBorder="1" applyAlignment="1">
      <alignment horizontal="center" vertical="center" wrapText="1"/>
    </xf>
    <xf numFmtId="0" fontId="5" fillId="3" borderId="69" xfId="4" applyFont="1" applyFill="1" applyBorder="1" applyAlignment="1">
      <alignment horizontal="center" vertical="center" wrapText="1"/>
    </xf>
    <xf numFmtId="0" fontId="5" fillId="8" borderId="68" xfId="4" applyFont="1" applyFill="1" applyBorder="1" applyAlignment="1">
      <alignment horizontal="center" vertical="center" wrapText="1"/>
    </xf>
    <xf numFmtId="0" fontId="5" fillId="8" borderId="3" xfId="4" applyFont="1" applyFill="1" applyBorder="1" applyAlignment="1">
      <alignment horizontal="center" vertical="center" wrapText="1"/>
    </xf>
    <xf numFmtId="0" fontId="5" fillId="8" borderId="2" xfId="4" applyFont="1" applyFill="1" applyBorder="1" applyAlignment="1">
      <alignment horizontal="center" vertical="center" wrapText="1"/>
    </xf>
    <xf numFmtId="0" fontId="5" fillId="8" borderId="69" xfId="4" applyFont="1" applyFill="1" applyBorder="1" applyAlignment="1">
      <alignment horizontal="center" vertical="center" wrapText="1"/>
    </xf>
    <xf numFmtId="0" fontId="5" fillId="21" borderId="3" xfId="4" applyFont="1" applyFill="1" applyBorder="1" applyAlignment="1">
      <alignment horizontal="center" vertical="center" wrapText="1"/>
    </xf>
    <xf numFmtId="0" fontId="5" fillId="21" borderId="69" xfId="4" applyFont="1" applyFill="1" applyBorder="1" applyAlignment="1">
      <alignment horizontal="center" vertical="center" wrapText="1"/>
    </xf>
    <xf numFmtId="0" fontId="5" fillId="9" borderId="70" xfId="4" applyFont="1" applyFill="1" applyBorder="1" applyAlignment="1">
      <alignment horizontal="center" vertical="center" wrapText="1"/>
    </xf>
    <xf numFmtId="0" fontId="30" fillId="3" borderId="68" xfId="4" applyFont="1" applyFill="1" applyBorder="1" applyAlignment="1">
      <alignment horizontal="center" vertical="center" wrapText="1"/>
    </xf>
    <xf numFmtId="0" fontId="30" fillId="3" borderId="3" xfId="4" applyFont="1" applyFill="1" applyBorder="1" applyAlignment="1">
      <alignment horizontal="center" vertical="center" wrapText="1"/>
    </xf>
    <xf numFmtId="0" fontId="30" fillId="3" borderId="2" xfId="4" quotePrefix="1" applyFont="1" applyFill="1" applyBorder="1" applyAlignment="1">
      <alignment horizontal="center" vertical="center" wrapText="1"/>
    </xf>
    <xf numFmtId="0" fontId="30" fillId="3" borderId="69" xfId="4" applyFont="1" applyFill="1" applyBorder="1" applyAlignment="1">
      <alignment horizontal="center" vertical="center" wrapText="1"/>
    </xf>
    <xf numFmtId="0" fontId="30" fillId="7" borderId="19" xfId="4" quotePrefix="1" applyFont="1" applyFill="1" applyBorder="1" applyAlignment="1">
      <alignment horizontal="center" vertical="center" wrapText="1"/>
    </xf>
    <xf numFmtId="0" fontId="30" fillId="7" borderId="3" xfId="4" applyFont="1" applyFill="1" applyBorder="1" applyAlignment="1">
      <alignment horizontal="center" vertical="center" wrapText="1"/>
    </xf>
    <xf numFmtId="0" fontId="30" fillId="7" borderId="2" xfId="4" quotePrefix="1" applyFont="1" applyFill="1" applyBorder="1" applyAlignment="1">
      <alignment horizontal="center" vertical="center" wrapText="1"/>
    </xf>
    <xf numFmtId="0" fontId="30" fillId="7" borderId="19" xfId="4" applyFont="1" applyFill="1" applyBorder="1" applyAlignment="1">
      <alignment horizontal="center" vertical="center" wrapText="1"/>
    </xf>
    <xf numFmtId="0" fontId="30" fillId="8" borderId="68" xfId="4" applyFont="1" applyFill="1" applyBorder="1" applyAlignment="1">
      <alignment horizontal="center" vertical="center" wrapText="1"/>
    </xf>
    <xf numFmtId="0" fontId="30" fillId="8" borderId="3" xfId="4" applyFont="1" applyFill="1" applyBorder="1" applyAlignment="1">
      <alignment horizontal="center" vertical="center" wrapText="1"/>
    </xf>
    <xf numFmtId="0" fontId="30" fillId="8" borderId="2" xfId="4" quotePrefix="1" applyFont="1" applyFill="1" applyBorder="1" applyAlignment="1">
      <alignment horizontal="center" vertical="center" wrapText="1"/>
    </xf>
    <xf numFmtId="0" fontId="30" fillId="8" borderId="69" xfId="4" applyFont="1" applyFill="1" applyBorder="1" applyAlignment="1">
      <alignment horizontal="center" vertical="center" wrapText="1"/>
    </xf>
    <xf numFmtId="0" fontId="30" fillId="21" borderId="3" xfId="4" applyFont="1" applyFill="1" applyBorder="1" applyAlignment="1">
      <alignment horizontal="center" vertical="center" wrapText="1"/>
    </xf>
    <xf numFmtId="0" fontId="30" fillId="21" borderId="1" xfId="4" quotePrefix="1" applyFont="1" applyFill="1" applyBorder="1" applyAlignment="1">
      <alignment horizontal="center" vertical="center" wrapText="1"/>
    </xf>
    <xf numFmtId="0" fontId="30" fillId="21" borderId="71" xfId="4" quotePrefix="1" applyFont="1" applyFill="1" applyBorder="1" applyAlignment="1">
      <alignment horizontal="center" vertical="center" wrapText="1"/>
    </xf>
    <xf numFmtId="0" fontId="5" fillId="20" borderId="8" xfId="4" applyFont="1" applyFill="1" applyBorder="1" applyAlignment="1">
      <alignment horizontal="center" vertical="center" wrapText="1"/>
    </xf>
    <xf numFmtId="0" fontId="5" fillId="20" borderId="46" xfId="4" applyFont="1" applyFill="1" applyBorder="1" applyAlignment="1">
      <alignment horizontal="center" vertical="center" wrapText="1"/>
    </xf>
    <xf numFmtId="0" fontId="5" fillId="20" borderId="72" xfId="4" applyFont="1" applyFill="1" applyBorder="1" applyAlignment="1">
      <alignment horizontal="center" vertical="center" wrapText="1"/>
    </xf>
    <xf numFmtId="0" fontId="5" fillId="20" borderId="47" xfId="4" applyFont="1" applyFill="1" applyBorder="1" applyAlignment="1">
      <alignment horizontal="center" vertical="center" wrapText="1"/>
    </xf>
    <xf numFmtId="0" fontId="5" fillId="3" borderId="73" xfId="4" applyFont="1" applyFill="1" applyBorder="1" applyAlignment="1">
      <alignment horizontal="center" vertical="center" wrapText="1"/>
    </xf>
    <xf numFmtId="0" fontId="5" fillId="3" borderId="1" xfId="4" applyFont="1" applyFill="1" applyBorder="1" applyAlignment="1">
      <alignment horizontal="center" vertical="center" wrapText="1"/>
    </xf>
    <xf numFmtId="0" fontId="5" fillId="3" borderId="71" xfId="4" applyFont="1" applyFill="1" applyBorder="1" applyAlignment="1">
      <alignment horizontal="center" vertical="center" wrapText="1"/>
    </xf>
    <xf numFmtId="0" fontId="5" fillId="7" borderId="3" xfId="4" applyFont="1" applyFill="1" applyBorder="1" applyAlignment="1">
      <alignment horizontal="center" vertical="center" wrapText="1"/>
    </xf>
    <xf numFmtId="0" fontId="5" fillId="7" borderId="1" xfId="4" applyFont="1" applyFill="1" applyBorder="1" applyAlignment="1">
      <alignment horizontal="center" vertical="center" wrapText="1"/>
    </xf>
    <xf numFmtId="0" fontId="5" fillId="7" borderId="2" xfId="4" applyFont="1" applyFill="1" applyBorder="1" applyAlignment="1">
      <alignment horizontal="center" vertical="center" wrapText="1"/>
    </xf>
    <xf numFmtId="0" fontId="5" fillId="8" borderId="73" xfId="8" applyFont="1" applyFill="1" applyBorder="1" applyAlignment="1">
      <alignment horizontal="center" vertical="center" wrapText="1"/>
    </xf>
    <xf numFmtId="0" fontId="5" fillId="8" borderId="1" xfId="4" applyFont="1" applyFill="1" applyBorder="1" applyAlignment="1">
      <alignment horizontal="center" vertical="center" wrapText="1"/>
    </xf>
    <xf numFmtId="0" fontId="5" fillId="8" borderId="1" xfId="8" applyFont="1" applyFill="1" applyBorder="1" applyAlignment="1">
      <alignment horizontal="center" vertical="center" wrapText="1"/>
    </xf>
    <xf numFmtId="0" fontId="5" fillId="8" borderId="71" xfId="4" applyFont="1" applyFill="1" applyBorder="1" applyAlignment="1">
      <alignment horizontal="center" vertical="center" wrapText="1"/>
    </xf>
    <xf numFmtId="0" fontId="5" fillId="21" borderId="1" xfId="4" applyFont="1" applyFill="1" applyBorder="1" applyAlignment="1">
      <alignment horizontal="center" vertical="center" wrapText="1"/>
    </xf>
    <xf numFmtId="0" fontId="5" fillId="21" borderId="71" xfId="4" applyFont="1" applyFill="1" applyBorder="1" applyAlignment="1">
      <alignment horizontal="center" vertical="center" wrapText="1"/>
    </xf>
    <xf numFmtId="0" fontId="5" fillId="9" borderId="74" xfId="4" applyFont="1" applyFill="1" applyBorder="1" applyAlignment="1">
      <alignment horizontal="center" vertical="center" wrapText="1"/>
    </xf>
    <xf numFmtId="0" fontId="30" fillId="0" borderId="48" xfId="4" applyFont="1" applyBorder="1" applyAlignment="1">
      <alignment horizontal="center" vertical="center" wrapText="1"/>
    </xf>
    <xf numFmtId="0" fontId="30" fillId="0" borderId="75" xfId="4" applyFont="1" applyBorder="1" applyAlignment="1">
      <alignment horizontal="center" vertical="center" wrapText="1"/>
    </xf>
    <xf numFmtId="0" fontId="25" fillId="0" borderId="76" xfId="0" applyFont="1" applyBorder="1" applyAlignment="1">
      <alignment horizontal="center" vertical="center" wrapText="1"/>
    </xf>
    <xf numFmtId="0" fontId="25" fillId="0" borderId="77" xfId="0" applyFont="1" applyBorder="1" applyAlignment="1">
      <alignment horizontal="left" vertical="center" wrapText="1"/>
    </xf>
    <xf numFmtId="0" fontId="25" fillId="0" borderId="75" xfId="4" applyFont="1" applyBorder="1" applyAlignment="1">
      <alignment horizontal="center" vertical="center" wrapText="1"/>
    </xf>
    <xf numFmtId="0" fontId="25" fillId="0" borderId="75" xfId="4" applyFont="1" applyBorder="1" applyAlignment="1" applyProtection="1">
      <alignment horizontal="center" vertical="center" wrapText="1"/>
      <protection locked="0"/>
    </xf>
    <xf numFmtId="0" fontId="3" fillId="0" borderId="78" xfId="4" applyFont="1" applyBorder="1" applyAlignment="1">
      <alignment horizontal="center" vertical="center" wrapText="1"/>
    </xf>
    <xf numFmtId="0" fontId="25" fillId="0" borderId="79" xfId="4" applyFont="1" applyBorder="1" applyAlignment="1">
      <alignment horizontal="center" vertical="center" wrapText="1"/>
    </xf>
    <xf numFmtId="38" fontId="25" fillId="0" borderId="75" xfId="12" applyNumberFormat="1" applyFont="1" applyBorder="1" applyAlignment="1">
      <alignment horizontal="center" vertical="center" wrapText="1"/>
    </xf>
    <xf numFmtId="166" fontId="25" fillId="0" borderId="75" xfId="12" applyNumberFormat="1" applyFont="1" applyBorder="1" applyAlignment="1">
      <alignment horizontal="center" vertical="center" wrapText="1"/>
    </xf>
    <xf numFmtId="168" fontId="25" fillId="0" borderId="75" xfId="12" applyNumberFormat="1" applyFont="1" applyBorder="1" applyAlignment="1">
      <alignment horizontal="center" vertical="center" wrapText="1"/>
    </xf>
    <xf numFmtId="168" fontId="25" fillId="0" borderId="80" xfId="12" applyNumberFormat="1" applyFont="1" applyBorder="1" applyAlignment="1">
      <alignment horizontal="center" vertical="center" wrapText="1"/>
    </xf>
    <xf numFmtId="166" fontId="25" fillId="0" borderId="77" xfId="12" applyNumberFormat="1" applyFont="1" applyBorder="1" applyAlignment="1">
      <alignment horizontal="center" vertical="center" wrapText="1"/>
    </xf>
    <xf numFmtId="168" fontId="25" fillId="0" borderId="78" xfId="12" applyNumberFormat="1" applyFont="1" applyBorder="1" applyAlignment="1">
      <alignment horizontal="center" vertical="center" wrapText="1"/>
    </xf>
    <xf numFmtId="168" fontId="5" fillId="0" borderId="76" xfId="4" applyNumberFormat="1" applyFont="1" applyBorder="1" applyAlignment="1">
      <alignment horizontal="center" vertical="center" wrapText="1"/>
    </xf>
    <xf numFmtId="168" fontId="5" fillId="0" borderId="78" xfId="4" applyNumberFormat="1" applyFont="1" applyBorder="1" applyAlignment="1">
      <alignment horizontal="center" vertical="center" wrapText="1"/>
    </xf>
    <xf numFmtId="168" fontId="5" fillId="0" borderId="80" xfId="4" applyNumberFormat="1" applyFont="1" applyBorder="1" applyAlignment="1">
      <alignment horizontal="center" vertical="center" wrapText="1"/>
    </xf>
    <xf numFmtId="0" fontId="25" fillId="0" borderId="76" xfId="4" applyFont="1" applyBorder="1" applyAlignment="1">
      <alignment horizontal="left" vertical="center" wrapText="1"/>
    </xf>
    <xf numFmtId="0" fontId="30" fillId="0" borderId="18" xfId="4" applyFont="1" applyBorder="1" applyAlignment="1">
      <alignment horizontal="center" vertical="center" wrapText="1"/>
    </xf>
    <xf numFmtId="0" fontId="30" fillId="0" borderId="81" xfId="4" applyFont="1" applyBorder="1" applyAlignment="1">
      <alignment horizontal="center" vertical="center" wrapText="1"/>
    </xf>
    <xf numFmtId="0" fontId="25" fillId="0" borderId="82" xfId="0" applyFont="1" applyBorder="1" applyAlignment="1">
      <alignment horizontal="center" vertical="center" wrapText="1"/>
    </xf>
    <xf numFmtId="0" fontId="25" fillId="0" borderId="83" xfId="0" applyFont="1" applyBorder="1" applyAlignment="1">
      <alignment horizontal="left" vertical="center" wrapText="1"/>
    </xf>
    <xf numFmtId="0" fontId="25" fillId="0" borderId="81" xfId="4" applyFont="1" applyBorder="1" applyAlignment="1">
      <alignment horizontal="center" vertical="center" wrapText="1"/>
    </xf>
    <xf numFmtId="0" fontId="25" fillId="0" borderId="81" xfId="4" applyFont="1" applyBorder="1" applyAlignment="1" applyProtection="1">
      <alignment horizontal="center" vertical="center" wrapText="1"/>
      <protection locked="0"/>
    </xf>
    <xf numFmtId="0" fontId="3" fillId="0" borderId="84" xfId="4" applyFont="1" applyBorder="1" applyAlignment="1">
      <alignment horizontal="center" vertical="center" wrapText="1"/>
    </xf>
    <xf numFmtId="0" fontId="25" fillId="0" borderId="85" xfId="4" applyFont="1" applyBorder="1" applyAlignment="1">
      <alignment horizontal="center" vertical="center" wrapText="1"/>
    </xf>
    <xf numFmtId="38" fontId="25" fillId="0" borderId="81" xfId="12" applyNumberFormat="1" applyFont="1" applyBorder="1" applyAlignment="1">
      <alignment horizontal="center" vertical="center" wrapText="1"/>
    </xf>
    <xf numFmtId="166" fontId="25" fillId="0" borderId="81" xfId="12" applyNumberFormat="1" applyFont="1" applyBorder="1" applyAlignment="1">
      <alignment horizontal="center" vertical="center" wrapText="1"/>
    </xf>
    <xf numFmtId="168" fontId="25" fillId="0" borderId="81" xfId="12" applyNumberFormat="1" applyFont="1" applyBorder="1" applyAlignment="1">
      <alignment horizontal="center" vertical="center" wrapText="1"/>
    </xf>
    <xf numFmtId="168" fontId="25" fillId="0" borderId="86" xfId="12" applyNumberFormat="1" applyFont="1" applyBorder="1" applyAlignment="1">
      <alignment horizontal="center" vertical="center" wrapText="1"/>
    </xf>
    <xf numFmtId="166" fontId="25" fillId="0" borderId="83" xfId="12" applyNumberFormat="1" applyFont="1" applyBorder="1" applyAlignment="1">
      <alignment horizontal="center" vertical="center" wrapText="1"/>
    </xf>
    <xf numFmtId="168" fontId="25" fillId="0" borderId="84" xfId="12" applyNumberFormat="1" applyFont="1" applyBorder="1" applyAlignment="1">
      <alignment horizontal="center" vertical="center" wrapText="1"/>
    </xf>
    <xf numFmtId="168" fontId="5" fillId="0" borderId="82" xfId="4" applyNumberFormat="1" applyFont="1" applyBorder="1" applyAlignment="1">
      <alignment horizontal="center" vertical="center" wrapText="1"/>
    </xf>
    <xf numFmtId="168" fontId="5" fillId="0" borderId="84" xfId="4" applyNumberFormat="1" applyFont="1" applyBorder="1" applyAlignment="1">
      <alignment horizontal="center" vertical="center" wrapText="1"/>
    </xf>
    <xf numFmtId="168" fontId="5" fillId="0" borderId="86" xfId="4" applyNumberFormat="1" applyFont="1" applyBorder="1" applyAlignment="1">
      <alignment horizontal="center" vertical="center" wrapText="1"/>
    </xf>
    <xf numFmtId="0" fontId="25" fillId="0" borderId="82" xfId="4" applyFont="1" applyBorder="1" applyAlignment="1">
      <alignment horizontal="left" vertical="center" wrapText="1"/>
    </xf>
    <xf numFmtId="0" fontId="30" fillId="0" borderId="87" xfId="4" applyFont="1" applyBorder="1" applyAlignment="1">
      <alignment horizontal="center" vertical="center" wrapText="1"/>
    </xf>
    <xf numFmtId="0" fontId="25" fillId="0" borderId="88" xfId="0" applyFont="1" applyBorder="1" applyAlignment="1">
      <alignment horizontal="center" vertical="center" wrapText="1"/>
    </xf>
    <xf numFmtId="0" fontId="25" fillId="0" borderId="89" xfId="0" applyFont="1" applyBorder="1" applyAlignment="1">
      <alignment horizontal="left" vertical="center" wrapText="1"/>
    </xf>
    <xf numFmtId="0" fontId="25" fillId="0" borderId="87" xfId="4" applyFont="1" applyBorder="1" applyAlignment="1">
      <alignment horizontal="center" vertical="center" wrapText="1"/>
    </xf>
    <xf numFmtId="0" fontId="25" fillId="0" borderId="87" xfId="4" applyFont="1" applyBorder="1" applyAlignment="1" applyProtection="1">
      <alignment horizontal="center" vertical="center" wrapText="1"/>
      <protection locked="0"/>
    </xf>
    <xf numFmtId="0" fontId="3" fillId="0" borderId="90" xfId="4" applyFont="1" applyBorder="1" applyAlignment="1">
      <alignment horizontal="center" vertical="center" wrapText="1"/>
    </xf>
    <xf numFmtId="0" fontId="25" fillId="0" borderId="91" xfId="4" applyFont="1" applyBorder="1" applyAlignment="1">
      <alignment horizontal="center" vertical="center" wrapText="1"/>
    </xf>
    <xf numFmtId="38" fontId="25" fillId="0" borderId="87" xfId="12" applyNumberFormat="1" applyFont="1" applyBorder="1" applyAlignment="1">
      <alignment horizontal="center" vertical="center" wrapText="1"/>
    </xf>
    <xf numFmtId="166" fontId="25" fillId="0" borderId="87" xfId="12" applyNumberFormat="1" applyFont="1" applyBorder="1" applyAlignment="1">
      <alignment horizontal="center" vertical="center" wrapText="1"/>
    </xf>
    <xf numFmtId="168" fontId="25" fillId="0" borderId="87" xfId="12" applyNumberFormat="1" applyFont="1" applyBorder="1" applyAlignment="1">
      <alignment horizontal="center" vertical="center" wrapText="1"/>
    </xf>
    <xf numFmtId="168" fontId="25" fillId="0" borderId="92" xfId="12" applyNumberFormat="1" applyFont="1" applyBorder="1" applyAlignment="1">
      <alignment horizontal="center" vertical="center" wrapText="1"/>
    </xf>
    <xf numFmtId="166" fontId="25" fillId="0" borderId="89" xfId="12" applyNumberFormat="1" applyFont="1" applyBorder="1" applyAlignment="1">
      <alignment horizontal="center" vertical="center" wrapText="1"/>
    </xf>
    <xf numFmtId="168" fontId="25" fillId="0" borderId="90" xfId="12" applyNumberFormat="1" applyFont="1" applyBorder="1" applyAlignment="1">
      <alignment horizontal="center" vertical="center" wrapText="1"/>
    </xf>
    <xf numFmtId="168" fontId="5" fillId="0" borderId="88" xfId="4" applyNumberFormat="1" applyFont="1" applyBorder="1" applyAlignment="1">
      <alignment horizontal="center" vertical="center" wrapText="1"/>
    </xf>
    <xf numFmtId="168" fontId="5" fillId="0" borderId="90" xfId="4" applyNumberFormat="1" applyFont="1" applyBorder="1" applyAlignment="1">
      <alignment horizontal="center" vertical="center" wrapText="1"/>
    </xf>
    <xf numFmtId="168" fontId="5" fillId="0" borderId="92" xfId="4" applyNumberFormat="1" applyFont="1" applyBorder="1" applyAlignment="1">
      <alignment horizontal="center" vertical="center" wrapText="1"/>
    </xf>
    <xf numFmtId="0" fontId="25" fillId="0" borderId="88" xfId="4" applyFont="1" applyBorder="1" applyAlignment="1">
      <alignment horizontal="left" vertical="center" wrapText="1"/>
    </xf>
    <xf numFmtId="0" fontId="25" fillId="0" borderId="78" xfId="0" applyFont="1" applyBorder="1" applyAlignment="1">
      <alignment horizontal="center" vertical="center" wrapText="1"/>
    </xf>
    <xf numFmtId="0" fontId="25" fillId="0" borderId="93" xfId="4" applyFont="1" applyBorder="1" applyAlignment="1">
      <alignment horizontal="left" vertical="center" wrapText="1"/>
    </xf>
    <xf numFmtId="0" fontId="25" fillId="0" borderId="84" xfId="0" applyFont="1" applyBorder="1" applyAlignment="1">
      <alignment horizontal="center" vertical="center" wrapText="1"/>
    </xf>
    <xf numFmtId="0" fontId="25" fillId="0" borderId="94" xfId="4" applyFont="1" applyBorder="1" applyAlignment="1">
      <alignment horizontal="left" vertical="center" wrapText="1"/>
    </xf>
    <xf numFmtId="0" fontId="30" fillId="0" borderId="95" xfId="4" applyFont="1" applyBorder="1" applyAlignment="1">
      <alignment horizontal="center" vertical="center" wrapText="1"/>
    </xf>
    <xf numFmtId="0" fontId="25" fillId="0" borderId="90" xfId="0" applyFont="1" applyBorder="1" applyAlignment="1">
      <alignment horizontal="center" vertical="center" wrapText="1"/>
    </xf>
    <xf numFmtId="0" fontId="25" fillId="0" borderId="96" xfId="4" applyFont="1" applyBorder="1" applyAlignment="1">
      <alignment horizontal="left" vertical="center" wrapText="1"/>
    </xf>
    <xf numFmtId="0" fontId="30" fillId="5" borderId="31" xfId="4" applyFont="1" applyFill="1" applyBorder="1" applyAlignment="1">
      <alignment horizontal="center" vertical="center" wrapText="1"/>
    </xf>
    <xf numFmtId="0" fontId="25" fillId="5" borderId="0" xfId="0" applyFont="1" applyFill="1" applyAlignment="1">
      <alignment horizontal="center" vertical="center" wrapText="1"/>
    </xf>
    <xf numFmtId="0" fontId="25" fillId="5" borderId="30" xfId="0" applyFont="1" applyFill="1" applyBorder="1" applyAlignment="1">
      <alignment horizontal="left" vertical="center" wrapText="1"/>
    </xf>
    <xf numFmtId="0" fontId="25" fillId="5" borderId="31" xfId="4" applyFont="1" applyFill="1" applyBorder="1" applyAlignment="1">
      <alignment horizontal="center" vertical="center" wrapText="1"/>
    </xf>
    <xf numFmtId="0" fontId="25" fillId="5" borderId="31" xfId="4" applyFont="1" applyFill="1" applyBorder="1" applyAlignment="1" applyProtection="1">
      <alignment horizontal="center" vertical="center" wrapText="1"/>
      <protection locked="0"/>
    </xf>
    <xf numFmtId="0" fontId="3" fillId="5" borderId="29" xfId="4" applyFont="1" applyFill="1" applyBorder="1" applyAlignment="1">
      <alignment horizontal="center" vertical="center" wrapText="1"/>
    </xf>
    <xf numFmtId="0" fontId="25" fillId="5" borderId="97" xfId="4" applyFont="1" applyFill="1" applyBorder="1" applyAlignment="1">
      <alignment horizontal="center" vertical="center" wrapText="1"/>
    </xf>
    <xf numFmtId="38" fontId="25" fillId="5" borderId="31" xfId="12" applyNumberFormat="1" applyFont="1" applyFill="1" applyBorder="1" applyAlignment="1">
      <alignment horizontal="center" vertical="center" wrapText="1"/>
    </xf>
    <xf numFmtId="166" fontId="25" fillId="5" borderId="31" xfId="12" applyNumberFormat="1" applyFont="1" applyFill="1" applyBorder="1" applyAlignment="1">
      <alignment horizontal="center" vertical="center" wrapText="1"/>
    </xf>
    <xf numFmtId="168" fontId="25" fillId="5" borderId="31" xfId="12" applyNumberFormat="1" applyFont="1" applyFill="1" applyBorder="1" applyAlignment="1">
      <alignment horizontal="center" vertical="center" wrapText="1"/>
    </xf>
    <xf numFmtId="168" fontId="25" fillId="5" borderId="98" xfId="12" applyNumberFormat="1" applyFont="1" applyFill="1" applyBorder="1" applyAlignment="1">
      <alignment horizontal="center" vertical="center" wrapText="1"/>
    </xf>
    <xf numFmtId="166" fontId="25" fillId="5" borderId="30" xfId="12" applyNumberFormat="1" applyFont="1" applyFill="1" applyBorder="1" applyAlignment="1">
      <alignment horizontal="center" vertical="center" wrapText="1"/>
    </xf>
    <xf numFmtId="168" fontId="25" fillId="5" borderId="29" xfId="12" applyNumberFormat="1" applyFont="1" applyFill="1" applyBorder="1" applyAlignment="1">
      <alignment horizontal="center" vertical="center" wrapText="1"/>
    </xf>
    <xf numFmtId="168" fontId="25" fillId="5" borderId="31" xfId="4" applyNumberFormat="1" applyFont="1" applyFill="1" applyBorder="1" applyAlignment="1">
      <alignment horizontal="center" vertical="center" wrapText="1"/>
    </xf>
    <xf numFmtId="166" fontId="25" fillId="5" borderId="29" xfId="4" applyNumberFormat="1" applyFont="1" applyFill="1" applyBorder="1" applyAlignment="1">
      <alignment horizontal="center" vertical="center" wrapText="1"/>
    </xf>
    <xf numFmtId="38" fontId="25" fillId="5" borderId="98" xfId="12" applyNumberFormat="1" applyFont="1" applyFill="1" applyBorder="1" applyAlignment="1">
      <alignment horizontal="center" vertical="center" wrapText="1"/>
    </xf>
    <xf numFmtId="168" fontId="5" fillId="5" borderId="0" xfId="4" applyNumberFormat="1" applyFont="1" applyFill="1" applyAlignment="1">
      <alignment horizontal="center" vertical="center" wrapText="1"/>
    </xf>
    <xf numFmtId="168" fontId="5" fillId="5" borderId="29" xfId="4" applyNumberFormat="1" applyFont="1" applyFill="1" applyBorder="1" applyAlignment="1">
      <alignment horizontal="center" vertical="center" wrapText="1"/>
    </xf>
    <xf numFmtId="168" fontId="5" fillId="5" borderId="98" xfId="12" applyNumberFormat="1" applyFont="1" applyFill="1" applyBorder="1" applyAlignment="1">
      <alignment horizontal="center" vertical="center" wrapText="1"/>
    </xf>
    <xf numFmtId="0" fontId="25" fillId="5" borderId="0" xfId="4" applyFont="1" applyFill="1" applyAlignment="1">
      <alignment horizontal="left" vertical="center" wrapText="1"/>
    </xf>
    <xf numFmtId="0" fontId="25" fillId="0" borderId="77" xfId="4" applyFont="1" applyBorder="1" applyAlignment="1">
      <alignment horizontal="left" vertical="center"/>
    </xf>
    <xf numFmtId="0" fontId="25" fillId="0" borderId="78" xfId="4" applyFont="1" applyBorder="1" applyAlignment="1">
      <alignment horizontal="center" vertical="center" wrapText="1"/>
    </xf>
    <xf numFmtId="38" fontId="25" fillId="0" borderId="75" xfId="4" applyNumberFormat="1" applyFont="1" applyBorder="1" applyAlignment="1">
      <alignment horizontal="center" vertical="center" wrapText="1"/>
    </xf>
    <xf numFmtId="166" fontId="25" fillId="0" borderId="75" xfId="4" applyNumberFormat="1" applyFont="1" applyBorder="1" applyAlignment="1">
      <alignment horizontal="center" vertical="center" wrapText="1"/>
    </xf>
    <xf numFmtId="166" fontId="25" fillId="0" borderId="78" xfId="4" applyNumberFormat="1" applyFont="1" applyBorder="1" applyAlignment="1">
      <alignment horizontal="center" vertical="center" wrapText="1"/>
    </xf>
    <xf numFmtId="38" fontId="25" fillId="0" borderId="80" xfId="4" applyNumberFormat="1" applyFont="1" applyBorder="1" applyAlignment="1">
      <alignment horizontal="center" vertical="center" wrapText="1"/>
    </xf>
    <xf numFmtId="0" fontId="5" fillId="0" borderId="76" xfId="4" applyFont="1" applyBorder="1" applyAlignment="1">
      <alignment horizontal="center" vertical="center" wrapText="1"/>
    </xf>
    <xf numFmtId="0" fontId="5" fillId="0" borderId="78" xfId="4" applyFont="1" applyBorder="1" applyAlignment="1">
      <alignment horizontal="center" vertical="center" wrapText="1"/>
    </xf>
    <xf numFmtId="0" fontId="5" fillId="0" borderId="80" xfId="4" applyFont="1" applyBorder="1" applyAlignment="1">
      <alignment horizontal="center" vertical="center" wrapText="1"/>
    </xf>
    <xf numFmtId="0" fontId="30" fillId="0" borderId="82" xfId="0" applyFont="1" applyBorder="1" applyAlignment="1">
      <alignment horizontal="left" vertical="center" wrapText="1"/>
    </xf>
    <xf numFmtId="0" fontId="25" fillId="0" borderId="83" xfId="0" quotePrefix="1" applyFont="1" applyBorder="1" applyAlignment="1">
      <alignment horizontal="left" vertical="center" wrapText="1"/>
    </xf>
    <xf numFmtId="0" fontId="25" fillId="18" borderId="81" xfId="4" applyFont="1" applyFill="1" applyBorder="1" applyAlignment="1" applyProtection="1">
      <alignment horizontal="center" vertical="center" wrapText="1"/>
      <protection locked="0"/>
    </xf>
    <xf numFmtId="0" fontId="25" fillId="0" borderId="85" xfId="13" applyFont="1" applyBorder="1" applyAlignment="1">
      <alignment horizontal="center" vertical="center" wrapText="1"/>
    </xf>
    <xf numFmtId="0" fontId="25" fillId="0" borderId="99" xfId="0" applyFont="1" applyBorder="1" applyAlignment="1">
      <alignment horizontal="center" vertical="center" wrapText="1"/>
    </xf>
    <xf numFmtId="0" fontId="25" fillId="0" borderId="100" xfId="9" applyFont="1" applyBorder="1" applyAlignment="1">
      <alignment vertical="center" wrapText="1"/>
    </xf>
    <xf numFmtId="0" fontId="25" fillId="0" borderId="95" xfId="9" applyFont="1" applyBorder="1" applyAlignment="1">
      <alignment horizontal="center" vertical="center" wrapText="1"/>
    </xf>
    <xf numFmtId="0" fontId="25" fillId="0" borderId="95" xfId="4" applyFont="1" applyBorder="1" applyAlignment="1" applyProtection="1">
      <alignment horizontal="center" vertical="center" wrapText="1"/>
      <protection locked="0"/>
    </xf>
    <xf numFmtId="0" fontId="3" fillId="0" borderId="101" xfId="4" applyFont="1" applyBorder="1" applyAlignment="1">
      <alignment horizontal="center" vertical="center" wrapText="1"/>
    </xf>
    <xf numFmtId="38" fontId="25" fillId="0" borderId="95" xfId="12" applyNumberFormat="1" applyFont="1" applyBorder="1" applyAlignment="1">
      <alignment horizontal="center" vertical="center" wrapText="1"/>
    </xf>
    <xf numFmtId="166" fontId="25" fillId="0" borderId="95" xfId="12" applyNumberFormat="1" applyFont="1" applyBorder="1" applyAlignment="1">
      <alignment horizontal="center" vertical="center" wrapText="1"/>
    </xf>
    <xf numFmtId="168" fontId="25" fillId="0" borderId="95" xfId="12" applyNumberFormat="1" applyFont="1" applyBorder="1" applyAlignment="1">
      <alignment horizontal="center" vertical="center" wrapText="1"/>
    </xf>
    <xf numFmtId="168" fontId="25" fillId="0" borderId="102" xfId="12" applyNumberFormat="1" applyFont="1" applyBorder="1" applyAlignment="1">
      <alignment horizontal="center" vertical="center" wrapText="1"/>
    </xf>
    <xf numFmtId="166" fontId="25" fillId="0" borderId="100" xfId="12" applyNumberFormat="1" applyFont="1" applyBorder="1" applyAlignment="1">
      <alignment horizontal="center" vertical="center" wrapText="1"/>
    </xf>
    <xf numFmtId="168" fontId="25" fillId="0" borderId="101" xfId="12" applyNumberFormat="1" applyFont="1" applyBorder="1" applyAlignment="1">
      <alignment horizontal="center" vertical="center" wrapText="1"/>
    </xf>
    <xf numFmtId="0" fontId="25" fillId="0" borderId="103" xfId="4" applyFont="1" applyBorder="1" applyAlignment="1">
      <alignment horizontal="center" vertical="center" wrapText="1"/>
    </xf>
    <xf numFmtId="0" fontId="25" fillId="0" borderId="95" xfId="4" applyFont="1" applyBorder="1" applyAlignment="1">
      <alignment horizontal="center" vertical="center" wrapText="1"/>
    </xf>
    <xf numFmtId="168" fontId="5" fillId="0" borderId="99" xfId="4" applyNumberFormat="1" applyFont="1" applyBorder="1" applyAlignment="1">
      <alignment horizontal="center" vertical="center" wrapText="1"/>
    </xf>
    <xf numFmtId="168" fontId="5" fillId="0" borderId="101" xfId="4" applyNumberFormat="1" applyFont="1" applyBorder="1" applyAlignment="1">
      <alignment horizontal="center" vertical="center" wrapText="1"/>
    </xf>
    <xf numFmtId="168" fontId="5" fillId="0" borderId="102" xfId="4" applyNumberFormat="1" applyFont="1" applyBorder="1" applyAlignment="1">
      <alignment horizontal="center" vertical="center" wrapText="1"/>
    </xf>
    <xf numFmtId="0" fontId="3" fillId="0" borderId="99" xfId="9" applyFont="1" applyBorder="1" applyAlignment="1">
      <alignment horizontal="left" vertical="center" wrapText="1"/>
    </xf>
    <xf numFmtId="0" fontId="25" fillId="0" borderId="77" xfId="9" applyFont="1" applyBorder="1" applyAlignment="1">
      <alignment horizontal="left" vertical="center" wrapText="1"/>
    </xf>
    <xf numFmtId="0" fontId="25" fillId="0" borderId="75" xfId="9" applyFont="1" applyBorder="1" applyAlignment="1">
      <alignment horizontal="center" vertical="center" wrapText="1"/>
    </xf>
    <xf numFmtId="168" fontId="25" fillId="0" borderId="75" xfId="9" applyNumberFormat="1" applyFont="1" applyBorder="1" applyAlignment="1" applyProtection="1">
      <alignment horizontal="center" vertical="center" wrapText="1"/>
      <protection locked="0"/>
    </xf>
    <xf numFmtId="0" fontId="25" fillId="0" borderId="104" xfId="13" applyFont="1" applyBorder="1" applyAlignment="1">
      <alignment horizontal="center" vertical="center" wrapText="1"/>
    </xf>
    <xf numFmtId="171" fontId="25" fillId="0" borderId="75" xfId="12" applyNumberFormat="1" applyFont="1" applyBorder="1" applyAlignment="1">
      <alignment horizontal="center" vertical="center" wrapText="1"/>
    </xf>
    <xf numFmtId="171" fontId="25" fillId="0" borderId="77" xfId="12" applyNumberFormat="1" applyFont="1" applyBorder="1" applyAlignment="1">
      <alignment horizontal="center" vertical="center" wrapText="1"/>
    </xf>
    <xf numFmtId="172" fontId="25" fillId="0" borderId="79" xfId="13" applyNumberFormat="1" applyFont="1" applyBorder="1" applyAlignment="1">
      <alignment horizontal="center" vertical="center" wrapText="1"/>
    </xf>
    <xf numFmtId="0" fontId="25" fillId="0" borderId="76" xfId="9" applyFont="1" applyBorder="1" applyAlignment="1">
      <alignment horizontal="left" vertical="center" wrapText="1"/>
    </xf>
    <xf numFmtId="0" fontId="25" fillId="0" borderId="83" xfId="9" applyFont="1" applyBorder="1" applyAlignment="1">
      <alignment horizontal="left" vertical="center" wrapText="1"/>
    </xf>
    <xf numFmtId="173" fontId="25" fillId="0" borderId="81" xfId="9" applyNumberFormat="1" applyFont="1" applyBorder="1" applyAlignment="1">
      <alignment horizontal="center" vertical="center" wrapText="1"/>
    </xf>
    <xf numFmtId="168" fontId="25" fillId="0" borderId="81" xfId="9" applyNumberFormat="1" applyFont="1" applyBorder="1" applyAlignment="1" applyProtection="1">
      <alignment horizontal="center" vertical="center" wrapText="1"/>
      <protection locked="0"/>
    </xf>
    <xf numFmtId="171" fontId="25" fillId="0" borderId="81" xfId="12" applyNumberFormat="1" applyFont="1" applyBorder="1" applyAlignment="1">
      <alignment horizontal="center" vertical="center" wrapText="1"/>
    </xf>
    <xf numFmtId="171" fontId="25" fillId="0" borderId="83" xfId="12" applyNumberFormat="1" applyFont="1" applyBorder="1" applyAlignment="1">
      <alignment horizontal="center" vertical="center" wrapText="1"/>
    </xf>
    <xf numFmtId="172" fontId="25" fillId="0" borderId="85" xfId="13" applyNumberFormat="1" applyFont="1" applyBorder="1" applyAlignment="1">
      <alignment horizontal="center" vertical="center" wrapText="1"/>
    </xf>
    <xf numFmtId="0" fontId="25" fillId="0" borderId="82" xfId="9" applyFont="1" applyBorder="1" applyAlignment="1">
      <alignment horizontal="left" vertical="center" wrapText="1"/>
    </xf>
    <xf numFmtId="0" fontId="25" fillId="0" borderId="81" xfId="9" applyFont="1" applyBorder="1" applyAlignment="1">
      <alignment horizontal="center" vertical="center" wrapText="1"/>
    </xf>
    <xf numFmtId="168" fontId="25" fillId="18" borderId="81" xfId="9" applyNumberFormat="1" applyFont="1" applyFill="1" applyBorder="1" applyAlignment="1" applyProtection="1">
      <alignment horizontal="center" vertical="center" wrapText="1"/>
      <protection locked="0"/>
    </xf>
    <xf numFmtId="0" fontId="25" fillId="0" borderId="82" xfId="9" applyFont="1" applyBorder="1" applyAlignment="1">
      <alignment vertical="center" wrapText="1"/>
    </xf>
    <xf numFmtId="168" fontId="25" fillId="0" borderId="84" xfId="4" applyNumberFormat="1" applyFont="1" applyBorder="1" applyAlignment="1">
      <alignment horizontal="center" vertical="center" wrapText="1"/>
    </xf>
    <xf numFmtId="0" fontId="25" fillId="0" borderId="85" xfId="9" applyFont="1" applyBorder="1" applyAlignment="1">
      <alignment horizontal="center" vertical="center" wrapText="1"/>
    </xf>
    <xf numFmtId="0" fontId="25" fillId="0" borderId="99" xfId="9" applyFont="1" applyBorder="1" applyAlignment="1">
      <alignment vertical="center" wrapText="1"/>
    </xf>
    <xf numFmtId="174" fontId="25" fillId="0" borderId="81" xfId="12" applyNumberFormat="1" applyFont="1" applyBorder="1" applyAlignment="1">
      <alignment horizontal="center" vertical="center" wrapText="1"/>
    </xf>
    <xf numFmtId="0" fontId="25" fillId="0" borderId="83" xfId="9" applyFont="1" applyBorder="1" applyAlignment="1">
      <alignment vertical="center" wrapText="1"/>
    </xf>
    <xf numFmtId="175" fontId="25" fillId="0" borderId="81" xfId="12" applyNumberFormat="1" applyFont="1" applyBorder="1" applyAlignment="1">
      <alignment horizontal="center" vertical="center" wrapText="1"/>
    </xf>
    <xf numFmtId="175" fontId="25" fillId="0" borderId="83" xfId="12" applyNumberFormat="1" applyFont="1" applyBorder="1" applyAlignment="1">
      <alignment horizontal="center" vertical="center" wrapText="1"/>
    </xf>
    <xf numFmtId="0" fontId="25" fillId="0" borderId="89" xfId="9" applyFont="1" applyBorder="1" applyAlignment="1">
      <alignment vertical="center" wrapText="1"/>
    </xf>
    <xf numFmtId="0" fontId="25" fillId="0" borderId="87" xfId="9" applyFont="1" applyBorder="1" applyAlignment="1">
      <alignment horizontal="center" vertical="center" wrapText="1"/>
    </xf>
    <xf numFmtId="168" fontId="25" fillId="0" borderId="87" xfId="9" applyNumberFormat="1" applyFont="1" applyBorder="1" applyAlignment="1" applyProtection="1">
      <alignment horizontal="center" vertical="center" wrapText="1"/>
      <protection locked="0"/>
    </xf>
    <xf numFmtId="168" fontId="25" fillId="0" borderId="90" xfId="4" applyNumberFormat="1" applyFont="1" applyBorder="1" applyAlignment="1">
      <alignment horizontal="center" vertical="center" wrapText="1"/>
    </xf>
    <xf numFmtId="0" fontId="25" fillId="0" borderId="91" xfId="9" applyFont="1" applyBorder="1" applyAlignment="1">
      <alignment horizontal="center" vertical="center" wrapText="1"/>
    </xf>
    <xf numFmtId="174" fontId="25" fillId="0" borderId="87" xfId="12" applyNumberFormat="1" applyFont="1" applyBorder="1" applyAlignment="1">
      <alignment horizontal="center" vertical="center" wrapText="1"/>
    </xf>
    <xf numFmtId="0" fontId="25" fillId="0" borderId="88" xfId="9" applyFont="1" applyBorder="1" applyAlignment="1">
      <alignment horizontal="left" vertical="center" wrapText="1"/>
    </xf>
    <xf numFmtId="0" fontId="30" fillId="0" borderId="105" xfId="4" applyFont="1" applyBorder="1" applyAlignment="1">
      <alignment horizontal="center" vertical="center" wrapText="1"/>
    </xf>
    <xf numFmtId="0" fontId="25" fillId="0" borderId="106" xfId="0" applyFont="1" applyBorder="1" applyAlignment="1">
      <alignment horizontal="center" vertical="center"/>
    </xf>
    <xf numFmtId="0" fontId="25" fillId="0" borderId="107" xfId="9" applyFont="1" applyBorder="1" applyAlignment="1">
      <alignment vertical="center" wrapText="1"/>
    </xf>
    <xf numFmtId="0" fontId="25" fillId="0" borderId="105" xfId="4" applyFont="1" applyBorder="1" applyAlignment="1">
      <alignment horizontal="center" vertical="center" wrapText="1"/>
    </xf>
    <xf numFmtId="0" fontId="25" fillId="0" borderId="105" xfId="4" applyFont="1" applyBorder="1" applyAlignment="1" applyProtection="1">
      <alignment horizontal="center" vertical="center" wrapText="1"/>
      <protection locked="0"/>
    </xf>
    <xf numFmtId="168" fontId="25" fillId="0" borderId="108" xfId="4" applyNumberFormat="1" applyFont="1" applyBorder="1" applyAlignment="1">
      <alignment horizontal="center" vertical="center" wrapText="1"/>
    </xf>
    <xf numFmtId="0" fontId="25" fillId="0" borderId="109" xfId="13" applyFont="1" applyBorder="1" applyAlignment="1">
      <alignment horizontal="center" vertical="center" wrapText="1"/>
    </xf>
    <xf numFmtId="38" fontId="25" fillId="0" borderId="105" xfId="12" applyNumberFormat="1" applyFont="1" applyBorder="1" applyAlignment="1">
      <alignment horizontal="center" vertical="center" wrapText="1"/>
    </xf>
    <xf numFmtId="168" fontId="5" fillId="0" borderId="106" xfId="4" applyNumberFormat="1" applyFont="1" applyBorder="1" applyAlignment="1">
      <alignment horizontal="center" vertical="center" wrapText="1"/>
    </xf>
    <xf numFmtId="168" fontId="5" fillId="0" borderId="108" xfId="4" applyNumberFormat="1" applyFont="1" applyBorder="1" applyAlignment="1">
      <alignment horizontal="center" vertical="center" wrapText="1"/>
    </xf>
    <xf numFmtId="168" fontId="5" fillId="0" borderId="110" xfId="4" applyNumberFormat="1" applyFont="1" applyBorder="1" applyAlignment="1">
      <alignment horizontal="center" vertical="center" wrapText="1"/>
    </xf>
    <xf numFmtId="0" fontId="25" fillId="0" borderId="106" xfId="9" applyFont="1" applyBorder="1" applyAlignment="1">
      <alignment horizontal="left" vertical="center" wrapText="1"/>
    </xf>
    <xf numFmtId="0" fontId="25" fillId="0" borderId="82" xfId="0" applyFont="1" applyBorder="1" applyAlignment="1">
      <alignment horizontal="center" vertical="center"/>
    </xf>
    <xf numFmtId="0" fontId="25" fillId="0" borderId="99" xfId="0" applyFont="1" applyBorder="1" applyAlignment="1">
      <alignment horizontal="center" vertical="center"/>
    </xf>
    <xf numFmtId="171" fontId="25" fillId="0" borderId="87" xfId="12" applyNumberFormat="1" applyFont="1" applyBorder="1" applyAlignment="1">
      <alignment horizontal="center" vertical="center" wrapText="1"/>
    </xf>
    <xf numFmtId="171" fontId="25" fillId="0" borderId="89" xfId="12" applyNumberFormat="1" applyFont="1" applyBorder="1" applyAlignment="1">
      <alignment horizontal="center" vertical="center" wrapText="1"/>
    </xf>
    <xf numFmtId="172" fontId="25" fillId="0" borderId="91" xfId="13" applyNumberFormat="1" applyFont="1" applyBorder="1" applyAlignment="1">
      <alignment horizontal="center" vertical="center" wrapText="1"/>
    </xf>
    <xf numFmtId="0" fontId="25" fillId="0" borderId="99" xfId="9" applyFont="1" applyBorder="1" applyAlignment="1">
      <alignment horizontal="left" vertical="center" wrapText="1"/>
    </xf>
    <xf numFmtId="0" fontId="25" fillId="0" borderId="76" xfId="0" applyFont="1" applyBorder="1" applyAlignment="1">
      <alignment horizontal="center" vertical="center"/>
    </xf>
    <xf numFmtId="0" fontId="25" fillId="0" borderId="77" xfId="9" applyFont="1" applyBorder="1" applyAlignment="1">
      <alignment vertical="center" wrapText="1"/>
    </xf>
    <xf numFmtId="168" fontId="25" fillId="0" borderId="78" xfId="4" applyNumberFormat="1" applyFont="1" applyBorder="1" applyAlignment="1">
      <alignment horizontal="center" vertical="center" wrapText="1"/>
    </xf>
    <xf numFmtId="0" fontId="25" fillId="0" borderId="79" xfId="13" applyFont="1" applyBorder="1" applyAlignment="1">
      <alignment horizontal="center" vertical="center" wrapText="1"/>
    </xf>
    <xf numFmtId="0" fontId="25" fillId="0" borderId="88" xfId="0" applyFont="1" applyBorder="1" applyAlignment="1">
      <alignment horizontal="center" vertical="center"/>
    </xf>
    <xf numFmtId="0" fontId="25" fillId="0" borderId="91" xfId="13" applyFont="1" applyBorder="1" applyAlignment="1">
      <alignment horizontal="center" vertical="center" wrapText="1"/>
    </xf>
    <xf numFmtId="0" fontId="25" fillId="0" borderId="106" xfId="0" applyFont="1" applyBorder="1" applyAlignment="1">
      <alignment horizontal="center" vertical="center" wrapText="1"/>
    </xf>
    <xf numFmtId="0" fontId="25" fillId="0" borderId="107" xfId="12" applyFont="1" applyBorder="1" applyAlignment="1">
      <alignment horizontal="left" vertical="center" wrapText="1"/>
    </xf>
    <xf numFmtId="0" fontId="25" fillId="0" borderId="105" xfId="12" applyFont="1" applyBorder="1" applyAlignment="1">
      <alignment horizontal="center" vertical="center" wrapText="1"/>
    </xf>
    <xf numFmtId="168" fontId="25" fillId="0" borderId="105" xfId="12" applyNumberFormat="1" applyFont="1" applyBorder="1" applyAlignment="1" applyProtection="1">
      <alignment horizontal="center" vertical="center" wrapText="1"/>
      <protection locked="0"/>
    </xf>
    <xf numFmtId="0" fontId="3" fillId="0" borderId="108" xfId="4" applyFont="1" applyBorder="1" applyAlignment="1">
      <alignment horizontal="center" vertical="center" wrapText="1"/>
    </xf>
    <xf numFmtId="168" fontId="25" fillId="0" borderId="105" xfId="12" applyNumberFormat="1" applyFont="1" applyBorder="1" applyAlignment="1">
      <alignment horizontal="center" vertical="center" wrapText="1"/>
    </xf>
    <xf numFmtId="174" fontId="25" fillId="0" borderId="75" xfId="12" applyNumberFormat="1" applyFont="1" applyBorder="1" applyAlignment="1">
      <alignment horizontal="center" vertical="center" wrapText="1"/>
    </xf>
    <xf numFmtId="0" fontId="25" fillId="0" borderId="106" xfId="12" applyFont="1" applyBorder="1" applyAlignment="1">
      <alignment horizontal="left" vertical="center" wrapText="1"/>
    </xf>
    <xf numFmtId="0" fontId="25" fillId="0" borderId="83" xfId="12" applyFont="1" applyBorder="1" applyAlignment="1">
      <alignment horizontal="left" vertical="center" wrapText="1"/>
    </xf>
    <xf numFmtId="0" fontId="25" fillId="0" borderId="81" xfId="12" applyFont="1" applyBorder="1" applyAlignment="1">
      <alignment horizontal="center" vertical="center" wrapText="1"/>
    </xf>
    <xf numFmtId="168" fontId="25" fillId="0" borderId="81" xfId="12" applyNumberFormat="1" applyFont="1" applyBorder="1" applyAlignment="1" applyProtection="1">
      <alignment horizontal="center" vertical="center" wrapText="1"/>
      <protection locked="0"/>
    </xf>
    <xf numFmtId="0" fontId="25" fillId="0" borderId="82" xfId="12" applyFont="1" applyBorder="1" applyAlignment="1">
      <alignment horizontal="left" vertical="center" wrapText="1"/>
    </xf>
    <xf numFmtId="0" fontId="25" fillId="0" borderId="83" xfId="12" applyFont="1" applyBorder="1" applyAlignment="1">
      <alignment vertical="center" wrapText="1"/>
    </xf>
    <xf numFmtId="168" fontId="25" fillId="18" borderId="81" xfId="12" applyNumberFormat="1" applyFont="1" applyFill="1" applyBorder="1" applyAlignment="1" applyProtection="1">
      <alignment horizontal="center" vertical="center" wrapText="1"/>
      <protection locked="0"/>
    </xf>
    <xf numFmtId="168" fontId="25" fillId="0" borderId="82" xfId="12" applyNumberFormat="1" applyFont="1" applyBorder="1" applyAlignment="1">
      <alignment horizontal="left" vertical="center" wrapText="1"/>
    </xf>
    <xf numFmtId="0" fontId="25" fillId="0" borderId="85" xfId="11" applyFont="1" applyBorder="1" applyAlignment="1">
      <alignment horizontal="center" vertical="center" wrapText="1"/>
    </xf>
    <xf numFmtId="168" fontId="25" fillId="0" borderId="95" xfId="9" applyNumberFormat="1" applyFont="1" applyBorder="1" applyAlignment="1" applyProtection="1">
      <alignment horizontal="center" vertical="center" wrapText="1"/>
      <protection locked="0"/>
    </xf>
    <xf numFmtId="0" fontId="25" fillId="0" borderId="103" xfId="11" applyFont="1" applyBorder="1" applyAlignment="1">
      <alignment horizontal="center" vertical="center" wrapText="1"/>
    </xf>
    <xf numFmtId="171" fontId="25" fillId="0" borderId="95" xfId="12" applyNumberFormat="1" applyFont="1" applyBorder="1" applyAlignment="1">
      <alignment horizontal="center" vertical="center" wrapText="1"/>
    </xf>
    <xf numFmtId="171" fontId="25" fillId="0" borderId="100" xfId="12" applyNumberFormat="1" applyFont="1" applyBorder="1" applyAlignment="1">
      <alignment horizontal="center" vertical="center" wrapText="1"/>
    </xf>
    <xf numFmtId="0" fontId="30" fillId="0" borderId="1" xfId="4" applyFont="1" applyBorder="1" applyAlignment="1">
      <alignment horizontal="center" vertical="center" wrapText="1"/>
    </xf>
    <xf numFmtId="168" fontId="25" fillId="0" borderId="1" xfId="9" applyNumberFormat="1" applyFont="1" applyBorder="1" applyAlignment="1" applyProtection="1">
      <alignment horizontal="center" vertical="center" wrapText="1"/>
      <protection locked="0"/>
    </xf>
    <xf numFmtId="168" fontId="25" fillId="0" borderId="2" xfId="4" applyNumberFormat="1" applyFont="1" applyBorder="1" applyAlignment="1">
      <alignment horizontal="center" vertical="center" wrapText="1"/>
    </xf>
    <xf numFmtId="0" fontId="25" fillId="0" borderId="73" xfId="11" applyFont="1" applyBorder="1" applyAlignment="1">
      <alignment horizontal="center" vertical="center" wrapText="1"/>
    </xf>
    <xf numFmtId="38" fontId="25" fillId="0" borderId="1" xfId="12" applyNumberFormat="1" applyFont="1" applyBorder="1" applyAlignment="1">
      <alignment horizontal="center" vertical="center" wrapText="1"/>
    </xf>
    <xf numFmtId="166" fontId="25" fillId="0" borderId="1" xfId="12" applyNumberFormat="1" applyFont="1" applyBorder="1" applyAlignment="1">
      <alignment horizontal="center" vertical="center" wrapText="1"/>
    </xf>
    <xf numFmtId="168" fontId="25" fillId="0" borderId="1" xfId="12" applyNumberFormat="1" applyFont="1" applyBorder="1" applyAlignment="1">
      <alignment horizontal="center" vertical="center" wrapText="1"/>
    </xf>
    <xf numFmtId="168" fontId="25" fillId="0" borderId="71" xfId="12" applyNumberFormat="1" applyFont="1" applyBorder="1" applyAlignment="1">
      <alignment horizontal="center" vertical="center" wrapText="1"/>
    </xf>
    <xf numFmtId="166" fontId="25" fillId="0" borderId="3" xfId="12" applyNumberFormat="1" applyFont="1" applyBorder="1" applyAlignment="1">
      <alignment horizontal="center" vertical="center" wrapText="1"/>
    </xf>
    <xf numFmtId="166" fontId="25" fillId="0" borderId="1" xfId="12" quotePrefix="1" applyNumberFormat="1" applyFont="1" applyBorder="1" applyAlignment="1">
      <alignment horizontal="center" vertical="center" wrapText="1"/>
    </xf>
    <xf numFmtId="168" fontId="25" fillId="0" borderId="2" xfId="12" applyNumberFormat="1" applyFont="1" applyBorder="1" applyAlignment="1">
      <alignment horizontal="center" vertical="center" wrapText="1"/>
    </xf>
    <xf numFmtId="171" fontId="25" fillId="0" borderId="1" xfId="12" quotePrefix="1" applyNumberFormat="1" applyFont="1" applyBorder="1" applyAlignment="1">
      <alignment horizontal="center" vertical="center" wrapText="1"/>
    </xf>
    <xf numFmtId="168" fontId="5" fillId="0" borderId="19" xfId="4" applyNumberFormat="1" applyFont="1" applyBorder="1" applyAlignment="1">
      <alignment horizontal="center" vertical="center" wrapText="1"/>
    </xf>
    <xf numFmtId="168" fontId="5" fillId="0" borderId="2" xfId="4" applyNumberFormat="1" applyFont="1" applyBorder="1" applyAlignment="1">
      <alignment horizontal="center" vertical="center" wrapText="1"/>
    </xf>
    <xf numFmtId="168" fontId="5" fillId="0" borderId="71" xfId="4" applyNumberFormat="1" applyFont="1" applyBorder="1" applyAlignment="1">
      <alignment horizontal="center" vertical="center" wrapText="1"/>
    </xf>
    <xf numFmtId="0" fontId="25" fillId="0" borderId="19" xfId="9" applyFont="1" applyBorder="1" applyAlignment="1">
      <alignment horizontal="left" vertical="center" wrapText="1"/>
    </xf>
    <xf numFmtId="0" fontId="5" fillId="0" borderId="18" xfId="4" applyFont="1" applyBorder="1" applyAlignment="1">
      <alignment horizontal="center" vertical="center" wrapText="1"/>
    </xf>
    <xf numFmtId="0" fontId="5" fillId="0" borderId="82" xfId="0" applyFont="1" applyBorder="1" applyAlignment="1">
      <alignment horizontal="left" vertical="center" wrapText="1"/>
    </xf>
    <xf numFmtId="0" fontId="5" fillId="0" borderId="83" xfId="0" applyFont="1" applyBorder="1" applyAlignment="1">
      <alignment horizontal="left" vertical="center" wrapText="1"/>
    </xf>
    <xf numFmtId="0" fontId="3" fillId="0" borderId="81" xfId="4" applyFont="1" applyBorder="1" applyAlignment="1">
      <alignment horizontal="center" vertical="center" wrapText="1"/>
    </xf>
    <xf numFmtId="168" fontId="3" fillId="0" borderId="81" xfId="4" applyNumberFormat="1" applyFont="1" applyBorder="1" applyAlignment="1" applyProtection="1">
      <alignment horizontal="center" vertical="center" wrapText="1"/>
      <protection locked="0"/>
    </xf>
    <xf numFmtId="168" fontId="3" fillId="0" borderId="84" xfId="4" applyNumberFormat="1" applyFont="1" applyBorder="1" applyAlignment="1">
      <alignment horizontal="center" vertical="center" wrapText="1"/>
    </xf>
    <xf numFmtId="0" fontId="3" fillId="0" borderId="85" xfId="4" applyFont="1" applyBorder="1" applyAlignment="1">
      <alignment horizontal="center" vertical="center" wrapText="1"/>
    </xf>
    <xf numFmtId="38" fontId="3" fillId="0" borderId="81" xfId="4" applyNumberFormat="1" applyFont="1" applyBorder="1" applyAlignment="1">
      <alignment horizontal="center" vertical="center" wrapText="1"/>
    </xf>
    <xf numFmtId="0" fontId="3" fillId="0" borderId="31" xfId="4" applyFont="1" applyBorder="1" applyAlignment="1">
      <alignment horizontal="center" vertical="center" wrapText="1"/>
    </xf>
    <xf numFmtId="168" fontId="25" fillId="0" borderId="31" xfId="12" applyNumberFormat="1" applyFont="1" applyBorder="1" applyAlignment="1">
      <alignment horizontal="center" vertical="center" wrapText="1"/>
    </xf>
    <xf numFmtId="168" fontId="25" fillId="0" borderId="98" xfId="12" applyNumberFormat="1" applyFont="1" applyBorder="1" applyAlignment="1">
      <alignment horizontal="center" vertical="center" wrapText="1"/>
    </xf>
    <xf numFmtId="168" fontId="25" fillId="0" borderId="30" xfId="12" applyNumberFormat="1" applyFont="1" applyBorder="1" applyAlignment="1">
      <alignment horizontal="center" vertical="center" wrapText="1"/>
    </xf>
    <xf numFmtId="168" fontId="25" fillId="0" borderId="29" xfId="12" applyNumberFormat="1" applyFont="1" applyBorder="1" applyAlignment="1">
      <alignment horizontal="center" vertical="center" wrapText="1"/>
    </xf>
    <xf numFmtId="0" fontId="3" fillId="0" borderId="97" xfId="4" applyFont="1" applyBorder="1" applyAlignment="1">
      <alignment horizontal="center" vertical="center" wrapText="1"/>
    </xf>
    <xf numFmtId="0" fontId="3" fillId="0" borderId="29" xfId="4" applyFont="1" applyBorder="1" applyAlignment="1">
      <alignment horizontal="center" vertical="center" wrapText="1"/>
    </xf>
    <xf numFmtId="38" fontId="3" fillId="0" borderId="98" xfId="4" applyNumberFormat="1" applyFont="1" applyBorder="1" applyAlignment="1">
      <alignment horizontal="center" vertical="center" wrapText="1"/>
    </xf>
    <xf numFmtId="0" fontId="5" fillId="0" borderId="82" xfId="4" applyFont="1" applyBorder="1" applyAlignment="1">
      <alignment horizontal="center" vertical="center" wrapText="1"/>
    </xf>
    <xf numFmtId="0" fontId="5" fillId="0" borderId="84" xfId="4" applyFont="1" applyBorder="1" applyAlignment="1">
      <alignment horizontal="center" vertical="center" wrapText="1"/>
    </xf>
    <xf numFmtId="0" fontId="3" fillId="0" borderId="82" xfId="4" applyFont="1" applyBorder="1" applyAlignment="1">
      <alignment horizontal="left" vertical="center" wrapText="1"/>
    </xf>
    <xf numFmtId="0" fontId="25" fillId="0" borderId="18" xfId="4" applyFont="1" applyBorder="1" applyAlignment="1">
      <alignment horizontal="center" vertical="center" wrapText="1"/>
    </xf>
    <xf numFmtId="0" fontId="25" fillId="0" borderId="83" xfId="0" applyFont="1" applyBorder="1" applyAlignment="1">
      <alignment vertical="center" wrapText="1"/>
    </xf>
    <xf numFmtId="0" fontId="25" fillId="0" borderId="105" xfId="9" applyFont="1" applyBorder="1" applyAlignment="1">
      <alignment horizontal="center" vertical="center" wrapText="1"/>
    </xf>
    <xf numFmtId="168" fontId="25" fillId="18" borderId="105" xfId="9" applyNumberFormat="1" applyFont="1" applyFill="1" applyBorder="1" applyAlignment="1" applyProtection="1">
      <alignment horizontal="center" vertical="center" wrapText="1"/>
      <protection locked="0"/>
    </xf>
    <xf numFmtId="168" fontId="25" fillId="0" borderId="110" xfId="12" applyNumberFormat="1" applyFont="1" applyBorder="1" applyAlignment="1">
      <alignment horizontal="center" vertical="center" wrapText="1"/>
    </xf>
    <xf numFmtId="0" fontId="5" fillId="0" borderId="81" xfId="4" applyFont="1" applyBorder="1" applyAlignment="1">
      <alignment horizontal="center" vertical="center" wrapText="1"/>
    </xf>
    <xf numFmtId="0" fontId="3" fillId="0" borderId="95" xfId="4" applyFont="1" applyBorder="1" applyAlignment="1">
      <alignment horizontal="center" vertical="center" wrapText="1"/>
    </xf>
    <xf numFmtId="168" fontId="3" fillId="0" borderId="95" xfId="4" applyNumberFormat="1" applyFont="1" applyBorder="1" applyAlignment="1" applyProtection="1">
      <alignment horizontal="center" vertical="center" wrapText="1"/>
      <protection locked="0"/>
    </xf>
    <xf numFmtId="168" fontId="3" fillId="0" borderId="101" xfId="4" applyNumberFormat="1" applyFont="1" applyBorder="1" applyAlignment="1">
      <alignment horizontal="center" vertical="center" wrapText="1"/>
    </xf>
    <xf numFmtId="168" fontId="25" fillId="0" borderId="100" xfId="12" applyNumberFormat="1" applyFont="1" applyBorder="1" applyAlignment="1">
      <alignment horizontal="center" vertical="center" wrapText="1"/>
    </xf>
    <xf numFmtId="0" fontId="3" fillId="0" borderId="103" xfId="4" applyFont="1" applyBorder="1" applyAlignment="1">
      <alignment horizontal="center" vertical="center" wrapText="1"/>
    </xf>
    <xf numFmtId="38" fontId="3" fillId="0" borderId="102" xfId="4" applyNumberFormat="1" applyFont="1" applyBorder="1" applyAlignment="1">
      <alignment horizontal="center" vertical="center" wrapText="1"/>
    </xf>
    <xf numFmtId="38" fontId="25" fillId="18" borderId="81" xfId="13" applyNumberFormat="1" applyFont="1" applyFill="1" applyBorder="1" applyAlignment="1">
      <alignment horizontal="center" vertical="center" wrapText="1"/>
    </xf>
    <xf numFmtId="171" fontId="25" fillId="0" borderId="81" xfId="12" quotePrefix="1" applyNumberFormat="1" applyFont="1" applyBorder="1" applyAlignment="1">
      <alignment horizontal="center" vertical="center" wrapText="1"/>
    </xf>
    <xf numFmtId="171" fontId="25" fillId="0" borderId="83" xfId="12" quotePrefix="1" applyNumberFormat="1" applyFont="1" applyBorder="1" applyAlignment="1">
      <alignment horizontal="center" vertical="center" wrapText="1"/>
    </xf>
    <xf numFmtId="168" fontId="25" fillId="18" borderId="81" xfId="12" applyNumberFormat="1" applyFont="1" applyFill="1" applyBorder="1" applyAlignment="1">
      <alignment horizontal="center" vertical="center" wrapText="1"/>
    </xf>
    <xf numFmtId="0" fontId="25" fillId="0" borderId="82" xfId="0" applyFont="1" applyBorder="1" applyAlignment="1">
      <alignment vertical="center" wrapText="1"/>
    </xf>
    <xf numFmtId="168" fontId="5" fillId="0" borderId="83" xfId="4" applyNumberFormat="1" applyFont="1" applyBorder="1" applyAlignment="1">
      <alignment horizontal="center" vertical="center" wrapText="1"/>
    </xf>
    <xf numFmtId="168" fontId="25" fillId="0" borderId="83" xfId="12" applyNumberFormat="1" applyFont="1" applyBorder="1" applyAlignment="1">
      <alignment horizontal="center" vertical="center" wrapText="1"/>
    </xf>
    <xf numFmtId="38" fontId="3" fillId="0" borderId="86" xfId="4" applyNumberFormat="1" applyFont="1" applyBorder="1" applyAlignment="1">
      <alignment horizontal="center" vertical="center" wrapText="1"/>
    </xf>
    <xf numFmtId="0" fontId="25" fillId="0" borderId="82" xfId="4" applyFont="1" applyBorder="1" applyAlignment="1">
      <alignment horizontal="center" vertical="center" wrapText="1"/>
    </xf>
    <xf numFmtId="0" fontId="3" fillId="0" borderId="105" xfId="4" applyFont="1" applyBorder="1" applyAlignment="1">
      <alignment horizontal="center" vertical="center" wrapText="1"/>
    </xf>
    <xf numFmtId="171" fontId="25" fillId="0" borderId="107" xfId="12" quotePrefix="1" applyNumberFormat="1" applyFont="1" applyBorder="1" applyAlignment="1">
      <alignment horizontal="center" vertical="center" wrapText="1"/>
    </xf>
    <xf numFmtId="0" fontId="25" fillId="0" borderId="109" xfId="11" applyFont="1" applyBorder="1" applyAlignment="1">
      <alignment horizontal="center" vertical="center" wrapText="1"/>
    </xf>
    <xf numFmtId="171" fontId="25" fillId="0" borderId="31" xfId="12" quotePrefix="1" applyNumberFormat="1" applyFont="1" applyBorder="1" applyAlignment="1">
      <alignment horizontal="center" vertical="center" wrapText="1"/>
    </xf>
    <xf numFmtId="0" fontId="34" fillId="11" borderId="81" xfId="4" applyFont="1" applyFill="1" applyBorder="1" applyAlignment="1">
      <alignment horizontal="center" vertical="center" wrapText="1"/>
    </xf>
    <xf numFmtId="0" fontId="36" fillId="11" borderId="81" xfId="4" applyFont="1" applyFill="1" applyBorder="1" applyAlignment="1">
      <alignment horizontal="center" vertical="center" wrapText="1"/>
    </xf>
    <xf numFmtId="0" fontId="34" fillId="11" borderId="82" xfId="0" applyFont="1" applyFill="1" applyBorder="1" applyAlignment="1">
      <alignment horizontal="left" vertical="center" wrapText="1"/>
    </xf>
    <xf numFmtId="0" fontId="34" fillId="11" borderId="83" xfId="0" applyFont="1" applyFill="1" applyBorder="1" applyAlignment="1">
      <alignment horizontal="left" vertical="center" wrapText="1"/>
    </xf>
    <xf numFmtId="0" fontId="35" fillId="11" borderId="81" xfId="4" applyFont="1" applyFill="1" applyBorder="1" applyAlignment="1">
      <alignment horizontal="center" vertical="center" wrapText="1"/>
    </xf>
    <xf numFmtId="168" fontId="35" fillId="11" borderId="81" xfId="4" applyNumberFormat="1" applyFont="1" applyFill="1" applyBorder="1" applyAlignment="1" applyProtection="1">
      <alignment horizontal="center" vertical="center" wrapText="1"/>
      <protection locked="0"/>
    </xf>
    <xf numFmtId="168" fontId="35" fillId="11" borderId="84" xfId="4" applyNumberFormat="1" applyFont="1" applyFill="1" applyBorder="1" applyAlignment="1">
      <alignment horizontal="center" vertical="center" wrapText="1"/>
    </xf>
    <xf numFmtId="0" fontId="35" fillId="11" borderId="85" xfId="4" applyFont="1" applyFill="1" applyBorder="1" applyAlignment="1">
      <alignment horizontal="center" vertical="center" wrapText="1"/>
    </xf>
    <xf numFmtId="38" fontId="35" fillId="11" borderId="81" xfId="4" applyNumberFormat="1" applyFont="1" applyFill="1" applyBorder="1" applyAlignment="1">
      <alignment horizontal="center" vertical="center" wrapText="1"/>
    </xf>
    <xf numFmtId="168" fontId="36" fillId="11" borderId="81" xfId="12" applyNumberFormat="1" applyFont="1" applyFill="1" applyBorder="1" applyAlignment="1">
      <alignment horizontal="center" vertical="center" wrapText="1"/>
    </xf>
    <xf numFmtId="168" fontId="36" fillId="11" borderId="86" xfId="12" applyNumberFormat="1" applyFont="1" applyFill="1" applyBorder="1" applyAlignment="1">
      <alignment horizontal="center" vertical="center" wrapText="1"/>
    </xf>
    <xf numFmtId="168" fontId="36" fillId="11" borderId="83" xfId="12" applyNumberFormat="1" applyFont="1" applyFill="1" applyBorder="1" applyAlignment="1">
      <alignment horizontal="center" vertical="center" wrapText="1"/>
    </xf>
    <xf numFmtId="168" fontId="36" fillId="11" borderId="84" xfId="12" applyNumberFormat="1" applyFont="1" applyFill="1" applyBorder="1" applyAlignment="1">
      <alignment horizontal="center" vertical="center" wrapText="1"/>
    </xf>
    <xf numFmtId="0" fontId="35" fillId="11" borderId="84" xfId="4" applyFont="1" applyFill="1" applyBorder="1" applyAlignment="1">
      <alignment horizontal="center" vertical="center" wrapText="1"/>
    </xf>
    <xf numFmtId="38" fontId="35" fillId="11" borderId="86" xfId="4" applyNumberFormat="1" applyFont="1" applyFill="1" applyBorder="1" applyAlignment="1">
      <alignment horizontal="center" vertical="center" wrapText="1"/>
    </xf>
    <xf numFmtId="0" fontId="34" fillId="11" borderId="82" xfId="4" applyFont="1" applyFill="1" applyBorder="1" applyAlignment="1">
      <alignment horizontal="center" vertical="center" wrapText="1"/>
    </xf>
    <xf numFmtId="0" fontId="34" fillId="11" borderId="84" xfId="4" applyFont="1" applyFill="1" applyBorder="1" applyAlignment="1">
      <alignment horizontal="center" vertical="center" wrapText="1"/>
    </xf>
    <xf numFmtId="168" fontId="34" fillId="11" borderId="86" xfId="4" applyNumberFormat="1" applyFont="1" applyFill="1" applyBorder="1" applyAlignment="1">
      <alignment horizontal="center" vertical="center" wrapText="1"/>
    </xf>
    <xf numFmtId="0" fontId="3" fillId="11" borderId="82" xfId="4" applyFont="1" applyFill="1" applyBorder="1" applyAlignment="1">
      <alignment horizontal="left" vertical="center" wrapText="1"/>
    </xf>
    <xf numFmtId="0" fontId="36" fillId="11" borderId="82" xfId="4" applyFont="1" applyFill="1" applyBorder="1" applyAlignment="1">
      <alignment horizontal="center" vertical="center" wrapText="1"/>
    </xf>
    <xf numFmtId="0" fontId="36" fillId="11" borderId="83" xfId="19" applyFont="1" applyFill="1" applyBorder="1" applyAlignment="1">
      <alignment horizontal="left" vertical="center" wrapText="1"/>
    </xf>
    <xf numFmtId="168" fontId="36" fillId="11" borderId="81" xfId="4" applyNumberFormat="1" applyFont="1" applyFill="1" applyBorder="1" applyAlignment="1" applyProtection="1">
      <alignment horizontal="center" vertical="center" wrapText="1"/>
      <protection locked="0"/>
    </xf>
    <xf numFmtId="168" fontId="36" fillId="11" borderId="84" xfId="4" applyNumberFormat="1" applyFont="1" applyFill="1" applyBorder="1" applyAlignment="1">
      <alignment horizontal="center" vertical="center" wrapText="1"/>
    </xf>
    <xf numFmtId="0" fontId="36" fillId="11" borderId="85" xfId="20" applyFont="1" applyFill="1" applyBorder="1" applyAlignment="1">
      <alignment horizontal="center" vertical="center" wrapText="1"/>
    </xf>
    <xf numFmtId="38" fontId="36" fillId="11" borderId="81" xfId="12" applyNumberFormat="1" applyFont="1" applyFill="1" applyBorder="1" applyAlignment="1">
      <alignment horizontal="center" vertical="center" wrapText="1"/>
    </xf>
    <xf numFmtId="166" fontId="36" fillId="11" borderId="83" xfId="12" applyNumberFormat="1" applyFont="1" applyFill="1" applyBorder="1" applyAlignment="1">
      <alignment horizontal="center" vertical="center" wrapText="1"/>
    </xf>
    <xf numFmtId="168" fontId="36" fillId="11" borderId="95" xfId="12" applyNumberFormat="1" applyFont="1" applyFill="1" applyBorder="1" applyAlignment="1">
      <alignment horizontal="center" vertical="center" wrapText="1"/>
    </xf>
    <xf numFmtId="174" fontId="36" fillId="11" borderId="81" xfId="12" applyNumberFormat="1" applyFont="1" applyFill="1" applyBorder="1" applyAlignment="1">
      <alignment horizontal="center" vertical="center" wrapText="1"/>
    </xf>
    <xf numFmtId="168" fontId="34" fillId="11" borderId="82" xfId="4" applyNumberFormat="1" applyFont="1" applyFill="1" applyBorder="1" applyAlignment="1">
      <alignment horizontal="center" vertical="center" wrapText="1"/>
    </xf>
    <xf numFmtId="168" fontId="34" fillId="11" borderId="84" xfId="4" applyNumberFormat="1" applyFont="1" applyFill="1" applyBorder="1" applyAlignment="1">
      <alignment horizontal="center" vertical="center" wrapText="1"/>
    </xf>
    <xf numFmtId="0" fontId="36" fillId="11" borderId="87" xfId="4" applyFont="1" applyFill="1" applyBorder="1" applyAlignment="1">
      <alignment horizontal="center" vertical="center" wrapText="1"/>
    </xf>
    <xf numFmtId="0" fontId="36" fillId="11" borderId="88" xfId="4" applyFont="1" applyFill="1" applyBorder="1" applyAlignment="1">
      <alignment horizontal="center" vertical="center" wrapText="1"/>
    </xf>
    <xf numFmtId="0" fontId="36" fillId="11" borderId="89" xfId="19" applyFont="1" applyFill="1" applyBorder="1" applyAlignment="1">
      <alignment horizontal="left" vertical="center" wrapText="1"/>
    </xf>
    <xf numFmtId="168" fontId="36" fillId="11" borderId="87" xfId="4" applyNumberFormat="1" applyFont="1" applyFill="1" applyBorder="1" applyAlignment="1" applyProtection="1">
      <alignment horizontal="center" vertical="center" wrapText="1"/>
      <protection locked="0"/>
    </xf>
    <xf numFmtId="168" fontId="36" fillId="11" borderId="90" xfId="4" applyNumberFormat="1" applyFont="1" applyFill="1" applyBorder="1" applyAlignment="1">
      <alignment horizontal="center" vertical="center" wrapText="1"/>
    </xf>
    <xf numFmtId="0" fontId="36" fillId="11" borderId="91" xfId="20" applyFont="1" applyFill="1" applyBorder="1" applyAlignment="1">
      <alignment horizontal="center" vertical="center" wrapText="1"/>
    </xf>
    <xf numFmtId="38" fontId="36" fillId="11" borderId="87" xfId="12" applyNumberFormat="1" applyFont="1" applyFill="1" applyBorder="1" applyAlignment="1">
      <alignment horizontal="center" vertical="center" wrapText="1"/>
    </xf>
    <xf numFmtId="168" fontId="36" fillId="11" borderId="87" xfId="12" applyNumberFormat="1" applyFont="1" applyFill="1" applyBorder="1" applyAlignment="1">
      <alignment horizontal="center" vertical="center" wrapText="1"/>
    </xf>
    <xf numFmtId="168" fontId="36" fillId="11" borderId="92" xfId="12" applyNumberFormat="1" applyFont="1" applyFill="1" applyBorder="1" applyAlignment="1">
      <alignment horizontal="center" vertical="center" wrapText="1"/>
    </xf>
    <xf numFmtId="168" fontId="34" fillId="11" borderId="88" xfId="4" applyNumberFormat="1" applyFont="1" applyFill="1" applyBorder="1" applyAlignment="1">
      <alignment horizontal="center" vertical="center" wrapText="1"/>
    </xf>
    <xf numFmtId="168" fontId="34" fillId="11" borderId="90" xfId="4" applyNumberFormat="1" applyFont="1" applyFill="1" applyBorder="1" applyAlignment="1">
      <alignment horizontal="center" vertical="center" wrapText="1"/>
    </xf>
    <xf numFmtId="168" fontId="34" fillId="11" borderId="92" xfId="4" applyNumberFormat="1" applyFont="1" applyFill="1" applyBorder="1" applyAlignment="1">
      <alignment horizontal="center" vertical="center" wrapText="1"/>
    </xf>
    <xf numFmtId="0" fontId="5" fillId="0" borderId="19" xfId="0" applyFont="1" applyBorder="1" applyAlignment="1">
      <alignment horizontal="left" vertical="center" wrapText="1"/>
    </xf>
    <xf numFmtId="168" fontId="25" fillId="0" borderId="1" xfId="4" applyNumberFormat="1" applyFont="1" applyBorder="1" applyAlignment="1" applyProtection="1">
      <alignment horizontal="center" vertical="center" wrapText="1"/>
      <protection locked="0"/>
    </xf>
    <xf numFmtId="0" fontId="25" fillId="0" borderId="73" xfId="20" applyFont="1" applyBorder="1" applyAlignment="1">
      <alignment horizontal="center" vertical="center" wrapText="1"/>
    </xf>
    <xf numFmtId="168" fontId="25" fillId="0" borderId="3" xfId="12" applyNumberFormat="1" applyFont="1" applyBorder="1" applyAlignment="1">
      <alignment horizontal="center" vertical="center" wrapText="1"/>
    </xf>
    <xf numFmtId="0" fontId="25" fillId="0" borderId="2" xfId="20" applyFont="1" applyBorder="1" applyAlignment="1">
      <alignment horizontal="center" vertical="center" wrapText="1"/>
    </xf>
    <xf numFmtId="38" fontId="25" fillId="0" borderId="71" xfId="12" applyNumberFormat="1" applyFont="1" applyBorder="1" applyAlignment="1">
      <alignment horizontal="center" vertical="center" wrapText="1"/>
    </xf>
    <xf numFmtId="0" fontId="25" fillId="0" borderId="20" xfId="4" applyFont="1" applyBorder="1" applyAlignment="1">
      <alignment horizontal="left" vertical="center" wrapText="1"/>
    </xf>
    <xf numFmtId="168" fontId="25" fillId="5" borderId="30" xfId="12" applyNumberFormat="1" applyFont="1" applyFill="1" applyBorder="1" applyAlignment="1">
      <alignment horizontal="center" vertical="center" wrapText="1"/>
    </xf>
    <xf numFmtId="0" fontId="25" fillId="5" borderId="29" xfId="4" applyFont="1" applyFill="1" applyBorder="1" applyAlignment="1">
      <alignment horizontal="center" vertical="center" wrapText="1"/>
    </xf>
    <xf numFmtId="168" fontId="25" fillId="0" borderId="77" xfId="12" applyNumberFormat="1" applyFont="1" applyBorder="1" applyAlignment="1">
      <alignment horizontal="center" vertical="center" wrapText="1"/>
    </xf>
    <xf numFmtId="38" fontId="25" fillId="0" borderId="80" xfId="12" applyNumberFormat="1" applyFont="1" applyBorder="1" applyAlignment="1">
      <alignment horizontal="center" vertical="center" wrapText="1"/>
    </xf>
    <xf numFmtId="168" fontId="5" fillId="0" borderId="76" xfId="12" applyNumberFormat="1" applyFont="1" applyBorder="1" applyAlignment="1">
      <alignment horizontal="center" vertical="center" wrapText="1"/>
    </xf>
    <xf numFmtId="168" fontId="5" fillId="0" borderId="78" xfId="12" applyNumberFormat="1" applyFont="1" applyBorder="1" applyAlignment="1">
      <alignment horizontal="center" vertical="center" wrapText="1"/>
    </xf>
    <xf numFmtId="0" fontId="25" fillId="0" borderId="83" xfId="9" quotePrefix="1" applyFont="1" applyBorder="1" applyAlignment="1">
      <alignment vertical="center" wrapText="1"/>
    </xf>
    <xf numFmtId="0" fontId="25" fillId="0" borderId="89" xfId="9" quotePrefix="1" applyFont="1" applyBorder="1" applyAlignment="1">
      <alignment vertical="center" wrapText="1"/>
    </xf>
    <xf numFmtId="0" fontId="25" fillId="0" borderId="108" xfId="4" applyFont="1" applyBorder="1" applyAlignment="1">
      <alignment horizontal="center" vertical="center" wrapText="1"/>
    </xf>
    <xf numFmtId="168" fontId="5" fillId="0" borderId="106" xfId="12" applyNumberFormat="1" applyFont="1" applyBorder="1" applyAlignment="1">
      <alignment horizontal="center" vertical="center" wrapText="1"/>
    </xf>
    <xf numFmtId="168" fontId="5" fillId="0" borderId="108" xfId="12" applyNumberFormat="1" applyFont="1" applyBorder="1" applyAlignment="1">
      <alignment horizontal="center" vertical="center" wrapText="1"/>
    </xf>
    <xf numFmtId="0" fontId="25" fillId="0" borderId="100" xfId="9" quotePrefix="1" applyFont="1" applyBorder="1" applyAlignment="1">
      <alignment vertical="center" wrapText="1"/>
    </xf>
    <xf numFmtId="168" fontId="25" fillId="0" borderId="101" xfId="4" applyNumberFormat="1" applyFont="1" applyBorder="1" applyAlignment="1">
      <alignment horizontal="center" vertical="center" wrapText="1"/>
    </xf>
    <xf numFmtId="38" fontId="25" fillId="18" borderId="81" xfId="12" applyNumberFormat="1" applyFont="1" applyFill="1" applyBorder="1" applyAlignment="1">
      <alignment horizontal="center" vertical="center" wrapText="1"/>
    </xf>
    <xf numFmtId="0" fontId="25" fillId="0" borderId="84" xfId="4" applyFont="1" applyBorder="1" applyAlignment="1">
      <alignment horizontal="center" vertical="center" wrapText="1"/>
    </xf>
    <xf numFmtId="38" fontId="25" fillId="0" borderId="86" xfId="12" applyNumberFormat="1" applyFont="1" applyBorder="1" applyAlignment="1">
      <alignment horizontal="center" vertical="center" wrapText="1"/>
    </xf>
    <xf numFmtId="168" fontId="5" fillId="0" borderId="82" xfId="12" applyNumberFormat="1" applyFont="1" applyBorder="1" applyAlignment="1">
      <alignment horizontal="center" vertical="center" wrapText="1"/>
    </xf>
    <xf numFmtId="168" fontId="5" fillId="0" borderId="84" xfId="12" applyNumberFormat="1" applyFont="1" applyBorder="1" applyAlignment="1">
      <alignment horizontal="center" vertical="center" wrapText="1"/>
    </xf>
    <xf numFmtId="0" fontId="25" fillId="0" borderId="89" xfId="0" quotePrefix="1" applyFont="1" applyBorder="1" applyAlignment="1">
      <alignment horizontal="left" vertical="center" wrapText="1"/>
    </xf>
    <xf numFmtId="168" fontId="25" fillId="18" borderId="87" xfId="9" applyNumberFormat="1" applyFont="1" applyFill="1" applyBorder="1" applyAlignment="1" applyProtection="1">
      <alignment horizontal="center" vertical="center" wrapText="1"/>
      <protection locked="0"/>
    </xf>
    <xf numFmtId="0" fontId="25" fillId="0" borderId="91" xfId="11" applyFont="1" applyBorder="1" applyAlignment="1">
      <alignment horizontal="center" vertical="center" wrapText="1"/>
    </xf>
    <xf numFmtId="168" fontId="25" fillId="0" borderId="107" xfId="12" applyNumberFormat="1" applyFont="1" applyBorder="1" applyAlignment="1">
      <alignment horizontal="center" vertical="center" wrapText="1"/>
    </xf>
    <xf numFmtId="168" fontId="25" fillId="0" borderId="108" xfId="12" applyNumberFormat="1" applyFont="1" applyBorder="1" applyAlignment="1">
      <alignment horizontal="center" vertical="center" wrapText="1"/>
    </xf>
    <xf numFmtId="38" fontId="25" fillId="0" borderId="110" xfId="12" applyNumberFormat="1" applyFont="1" applyBorder="1" applyAlignment="1">
      <alignment horizontal="center" vertical="center" wrapText="1"/>
    </xf>
    <xf numFmtId="0" fontId="25" fillId="0" borderId="100" xfId="0" quotePrefix="1" applyFont="1" applyBorder="1" applyAlignment="1">
      <alignment horizontal="left" vertical="center" wrapText="1"/>
    </xf>
    <xf numFmtId="168" fontId="25" fillId="18" borderId="95" xfId="9" applyNumberFormat="1" applyFont="1" applyFill="1" applyBorder="1" applyAlignment="1" applyProtection="1">
      <alignment horizontal="center" vertical="center" wrapText="1"/>
      <protection locked="0"/>
    </xf>
    <xf numFmtId="0" fontId="5" fillId="0" borderId="75" xfId="4" applyFont="1" applyBorder="1" applyAlignment="1">
      <alignment horizontal="center" vertical="center" wrapText="1"/>
    </xf>
    <xf numFmtId="0" fontId="5" fillId="0" borderId="76" xfId="0" applyFont="1" applyBorder="1" applyAlignment="1">
      <alignment horizontal="left" vertical="center" wrapText="1"/>
    </xf>
    <xf numFmtId="0" fontId="5" fillId="0" borderId="77" xfId="0" applyFont="1" applyBorder="1" applyAlignment="1">
      <alignment horizontal="left" vertical="center" wrapText="1"/>
    </xf>
    <xf numFmtId="0" fontId="3" fillId="0" borderId="75" xfId="4" applyFont="1" applyBorder="1" applyAlignment="1">
      <alignment horizontal="center" vertical="center" wrapText="1"/>
    </xf>
    <xf numFmtId="168" fontId="3" fillId="0" borderId="75" xfId="4" applyNumberFormat="1" applyFont="1" applyBorder="1" applyAlignment="1" applyProtection="1">
      <alignment horizontal="center" vertical="center" wrapText="1"/>
      <protection locked="0"/>
    </xf>
    <xf numFmtId="168" fontId="3" fillId="0" borderId="78" xfId="4" applyNumberFormat="1" applyFont="1" applyBorder="1" applyAlignment="1">
      <alignment horizontal="center" vertical="center" wrapText="1"/>
    </xf>
    <xf numFmtId="0" fontId="3" fillId="0" borderId="79" xfId="4" applyFont="1" applyBorder="1" applyAlignment="1">
      <alignment horizontal="center" vertical="center" wrapText="1"/>
    </xf>
    <xf numFmtId="38" fontId="3" fillId="0" borderId="75" xfId="4" applyNumberFormat="1" applyFont="1" applyBorder="1" applyAlignment="1">
      <alignment horizontal="center" vertical="center" wrapText="1"/>
    </xf>
    <xf numFmtId="38" fontId="3" fillId="0" borderId="80" xfId="4" applyNumberFormat="1" applyFont="1" applyBorder="1" applyAlignment="1">
      <alignment horizontal="center" vertical="center" wrapText="1"/>
    </xf>
    <xf numFmtId="0" fontId="3" fillId="0" borderId="76" xfId="4" applyFont="1" applyBorder="1" applyAlignment="1">
      <alignment horizontal="left" vertical="center" wrapText="1"/>
    </xf>
    <xf numFmtId="0" fontId="25" fillId="0" borderId="83" xfId="19" applyFont="1" applyBorder="1" applyAlignment="1">
      <alignment horizontal="left" vertical="center" wrapText="1"/>
    </xf>
    <xf numFmtId="168" fontId="25" fillId="0" borderId="81" xfId="4" applyNumberFormat="1" applyFont="1" applyBorder="1" applyAlignment="1" applyProtection="1">
      <alignment horizontal="center" vertical="center" wrapText="1"/>
      <protection locked="0"/>
    </xf>
    <xf numFmtId="38" fontId="25" fillId="18" borderId="81" xfId="4" applyNumberFormat="1" applyFont="1" applyFill="1" applyBorder="1" applyAlignment="1">
      <alignment horizontal="center" vertical="center" wrapText="1"/>
    </xf>
    <xf numFmtId="0" fontId="25" fillId="0" borderId="88" xfId="4" applyFont="1" applyBorder="1" applyAlignment="1">
      <alignment horizontal="center" vertical="center" wrapText="1"/>
    </xf>
    <xf numFmtId="0" fontId="25" fillId="0" borderId="89" xfId="19" applyFont="1" applyBorder="1" applyAlignment="1">
      <alignment horizontal="left" vertical="center" wrapText="1"/>
    </xf>
    <xf numFmtId="168" fontId="25" fillId="18" borderId="87" xfId="4" applyNumberFormat="1" applyFont="1" applyFill="1" applyBorder="1" applyAlignment="1" applyProtection="1">
      <alignment horizontal="center" vertical="center" wrapText="1"/>
      <protection locked="0"/>
    </xf>
    <xf numFmtId="168" fontId="25" fillId="0" borderId="91" xfId="20" applyNumberFormat="1" applyFont="1" applyBorder="1" applyAlignment="1">
      <alignment horizontal="center" vertical="center" wrapText="1"/>
    </xf>
    <xf numFmtId="0" fontId="30" fillId="5" borderId="47" xfId="4" applyFont="1" applyFill="1" applyBorder="1" applyAlignment="1">
      <alignment horizontal="center" vertical="center" wrapText="1"/>
    </xf>
    <xf numFmtId="0" fontId="25" fillId="5" borderId="45" xfId="0" applyFont="1" applyFill="1" applyBorder="1" applyAlignment="1">
      <alignment horizontal="center" vertical="center" wrapText="1"/>
    </xf>
    <xf numFmtId="0" fontId="25" fillId="5" borderId="46" xfId="0" applyFont="1" applyFill="1" applyBorder="1" applyAlignment="1">
      <alignment horizontal="left" vertical="center" wrapText="1"/>
    </xf>
    <xf numFmtId="0" fontId="25" fillId="5" borderId="47" xfId="4" applyFont="1" applyFill="1" applyBorder="1" applyAlignment="1">
      <alignment horizontal="center" vertical="center" wrapText="1"/>
    </xf>
    <xf numFmtId="0" fontId="25" fillId="5" borderId="47" xfId="4" applyFont="1" applyFill="1" applyBorder="1" applyAlignment="1" applyProtection="1">
      <alignment horizontal="center" vertical="center" wrapText="1"/>
      <protection locked="0"/>
    </xf>
    <xf numFmtId="0" fontId="3" fillId="5" borderId="72" xfId="4" applyFont="1" applyFill="1" applyBorder="1" applyAlignment="1">
      <alignment horizontal="center" vertical="center" wrapText="1"/>
    </xf>
    <xf numFmtId="0" fontId="25" fillId="5" borderId="111" xfId="4" applyFont="1" applyFill="1" applyBorder="1" applyAlignment="1">
      <alignment horizontal="center" vertical="center" wrapText="1"/>
    </xf>
    <xf numFmtId="38" fontId="25" fillId="5" borderId="47" xfId="12" applyNumberFormat="1" applyFont="1" applyFill="1" applyBorder="1" applyAlignment="1">
      <alignment horizontal="center" vertical="center" wrapText="1"/>
    </xf>
    <xf numFmtId="168" fontId="25" fillId="5" borderId="47" xfId="12" applyNumberFormat="1" applyFont="1" applyFill="1" applyBorder="1" applyAlignment="1">
      <alignment horizontal="center" vertical="center" wrapText="1"/>
    </xf>
    <xf numFmtId="168" fontId="25" fillId="5" borderId="112" xfId="12" applyNumberFormat="1" applyFont="1" applyFill="1" applyBorder="1" applyAlignment="1">
      <alignment horizontal="center" vertical="center" wrapText="1"/>
    </xf>
    <xf numFmtId="168" fontId="25" fillId="5" borderId="46" xfId="12" applyNumberFormat="1" applyFont="1" applyFill="1" applyBorder="1" applyAlignment="1">
      <alignment horizontal="center" vertical="center" wrapText="1"/>
    </xf>
    <xf numFmtId="168" fontId="25" fillId="5" borderId="72" xfId="12" applyNumberFormat="1" applyFont="1" applyFill="1" applyBorder="1" applyAlignment="1">
      <alignment horizontal="center" vertical="center" wrapText="1"/>
    </xf>
    <xf numFmtId="0" fontId="25" fillId="5" borderId="72" xfId="4" applyFont="1" applyFill="1" applyBorder="1" applyAlignment="1">
      <alignment horizontal="center" vertical="center" wrapText="1"/>
    </xf>
    <xf numFmtId="168" fontId="5" fillId="5" borderId="19" xfId="4" applyNumberFormat="1" applyFont="1" applyFill="1" applyBorder="1" applyAlignment="1">
      <alignment horizontal="center" vertical="center" wrapText="1"/>
    </xf>
    <xf numFmtId="168" fontId="5" fillId="5" borderId="2" xfId="4" applyNumberFormat="1" applyFont="1" applyFill="1" applyBorder="1" applyAlignment="1">
      <alignment horizontal="center" vertical="center" wrapText="1"/>
    </xf>
    <xf numFmtId="168" fontId="5" fillId="5" borderId="71" xfId="12" applyNumberFormat="1" applyFont="1" applyFill="1" applyBorder="1" applyAlignment="1">
      <alignment horizontal="center" vertical="center" wrapText="1"/>
    </xf>
    <xf numFmtId="0" fontId="25" fillId="5" borderId="45" xfId="4" applyFont="1" applyFill="1" applyBorder="1" applyAlignment="1">
      <alignment horizontal="left" vertical="center" wrapText="1"/>
    </xf>
    <xf numFmtId="0" fontId="30" fillId="0" borderId="48" xfId="4" applyFont="1" applyBorder="1" applyAlignment="1">
      <alignment horizontal="center" vertical="center" wrapText="1"/>
    </xf>
    <xf numFmtId="0" fontId="30" fillId="0" borderId="47" xfId="4" applyFont="1" applyBorder="1" applyAlignment="1">
      <alignment horizontal="center" vertical="center" wrapText="1"/>
    </xf>
    <xf numFmtId="0" fontId="25" fillId="0" borderId="46" xfId="9" applyFont="1" applyBorder="1" applyAlignment="1">
      <alignment vertical="center" wrapText="1"/>
    </xf>
    <xf numFmtId="168" fontId="25" fillId="18" borderId="47" xfId="9" applyNumberFormat="1" applyFont="1" applyFill="1" applyBorder="1" applyAlignment="1" applyProtection="1">
      <alignment horizontal="center" vertical="center" wrapText="1"/>
      <protection locked="0"/>
    </xf>
    <xf numFmtId="0" fontId="3" fillId="0" borderId="72" xfId="4" applyFont="1" applyBorder="1" applyAlignment="1">
      <alignment horizontal="center" vertical="center" wrapText="1"/>
    </xf>
    <xf numFmtId="0" fontId="25" fillId="0" borderId="111" xfId="13" applyFont="1" applyBorder="1" applyAlignment="1">
      <alignment horizontal="center" vertical="center" wrapText="1"/>
    </xf>
    <xf numFmtId="38" fontId="25" fillId="0" borderId="47" xfId="12" applyNumberFormat="1" applyFont="1" applyBorder="1" applyAlignment="1">
      <alignment horizontal="center" vertical="center" wrapText="1"/>
    </xf>
    <xf numFmtId="171" fontId="25" fillId="0" borderId="3" xfId="12" quotePrefix="1" applyNumberFormat="1" applyFont="1" applyBorder="1" applyAlignment="1">
      <alignment horizontal="center" vertical="center" wrapText="1"/>
    </xf>
    <xf numFmtId="9" fontId="25" fillId="18" borderId="111" xfId="11" applyNumberFormat="1" applyFont="1" applyFill="1" applyBorder="1" applyAlignment="1">
      <alignment horizontal="center" vertical="center" wrapText="1"/>
    </xf>
    <xf numFmtId="168" fontId="25" fillId="18" borderId="47" xfId="12" applyNumberFormat="1" applyFont="1" applyFill="1" applyBorder="1" applyAlignment="1">
      <alignment horizontal="center" vertical="center" wrapText="1"/>
    </xf>
    <xf numFmtId="168" fontId="5" fillId="0" borderId="0" xfId="4" applyNumberFormat="1" applyFont="1" applyAlignment="1">
      <alignment horizontal="center" vertical="center" wrapText="1"/>
    </xf>
    <xf numFmtId="168" fontId="5" fillId="0" borderId="29" xfId="4" applyNumberFormat="1" applyFont="1" applyBorder="1" applyAlignment="1">
      <alignment horizontal="center" vertical="center" wrapText="1"/>
    </xf>
    <xf numFmtId="168" fontId="5" fillId="0" borderId="98" xfId="4" applyNumberFormat="1" applyFont="1" applyBorder="1" applyAlignment="1">
      <alignment horizontal="center" vertical="center" wrapText="1"/>
    </xf>
    <xf numFmtId="168" fontId="25" fillId="0" borderId="45" xfId="9" applyNumberFormat="1" applyFont="1" applyBorder="1" applyAlignment="1">
      <alignment horizontal="left" vertical="center" wrapText="1"/>
    </xf>
    <xf numFmtId="0" fontId="30" fillId="0" borderId="8" xfId="4" applyFont="1" applyBorder="1" applyAlignment="1">
      <alignment horizontal="center" vertical="center" wrapText="1"/>
    </xf>
    <xf numFmtId="0" fontId="30" fillId="20" borderId="8" xfId="4" applyFont="1" applyFill="1" applyBorder="1" applyAlignment="1">
      <alignment horizontal="center" vertical="center" wrapText="1"/>
    </xf>
    <xf numFmtId="0" fontId="30" fillId="20" borderId="47" xfId="4" applyFont="1" applyFill="1" applyBorder="1" applyAlignment="1">
      <alignment horizontal="center" vertical="center" wrapText="1"/>
    </xf>
    <xf numFmtId="0" fontId="25" fillId="20" borderId="45" xfId="0" applyFont="1" applyFill="1" applyBorder="1" applyAlignment="1">
      <alignment horizontal="center" vertical="center" wrapText="1"/>
    </xf>
    <xf numFmtId="0" fontId="25" fillId="20" borderId="46" xfId="0" applyFont="1" applyFill="1" applyBorder="1" applyAlignment="1">
      <alignment horizontal="left" vertical="center" wrapText="1"/>
    </xf>
    <xf numFmtId="0" fontId="25" fillId="20" borderId="31" xfId="4" applyFont="1" applyFill="1" applyBorder="1" applyAlignment="1">
      <alignment horizontal="center" vertical="center" wrapText="1"/>
    </xf>
    <xf numFmtId="0" fontId="25" fillId="20" borderId="47" xfId="4" applyFont="1" applyFill="1" applyBorder="1" applyAlignment="1" applyProtection="1">
      <alignment horizontal="center" vertical="center" wrapText="1"/>
      <protection locked="0"/>
    </xf>
    <xf numFmtId="0" fontId="3" fillId="20" borderId="72" xfId="4" applyFont="1" applyFill="1" applyBorder="1" applyAlignment="1">
      <alignment horizontal="center" vertical="center" wrapText="1"/>
    </xf>
    <xf numFmtId="0" fontId="30" fillId="7" borderId="72" xfId="4" applyFont="1" applyFill="1" applyBorder="1" applyAlignment="1">
      <alignment horizontal="center" vertical="center" wrapText="1"/>
    </xf>
    <xf numFmtId="0" fontId="5" fillId="7" borderId="72" xfId="4" applyFont="1" applyFill="1" applyBorder="1" applyAlignment="1">
      <alignment horizontal="center" vertical="center" wrapText="1"/>
    </xf>
    <xf numFmtId="0" fontId="25" fillId="9" borderId="45" xfId="4" applyFont="1" applyFill="1" applyBorder="1" applyAlignment="1">
      <alignment horizontal="left" vertical="center" wrapText="1"/>
    </xf>
    <xf numFmtId="0" fontId="25" fillId="20" borderId="21" xfId="4" applyFont="1" applyFill="1" applyBorder="1" applyAlignment="1">
      <alignment horizontal="center" vertical="center" wrapText="1"/>
    </xf>
    <xf numFmtId="0" fontId="25" fillId="20" borderId="1" xfId="4" applyFont="1" applyFill="1" applyBorder="1" applyAlignment="1">
      <alignment horizontal="center" vertical="center" wrapText="1"/>
    </xf>
    <xf numFmtId="0" fontId="25" fillId="20" borderId="19" xfId="4" applyFont="1" applyFill="1" applyBorder="1" applyAlignment="1">
      <alignment horizontal="center" vertical="center" wrapText="1"/>
    </xf>
    <xf numFmtId="0" fontId="25" fillId="20" borderId="46" xfId="19" applyFont="1" applyFill="1" applyBorder="1" applyAlignment="1">
      <alignment horizontal="left" vertical="center" wrapText="1"/>
    </xf>
    <xf numFmtId="0" fontId="25" fillId="20" borderId="9" xfId="4" applyFont="1" applyFill="1" applyBorder="1" applyAlignment="1">
      <alignment horizontal="center" vertical="center" wrapText="1"/>
    </xf>
    <xf numFmtId="168" fontId="25" fillId="20" borderId="1" xfId="4" applyNumberFormat="1" applyFont="1" applyFill="1" applyBorder="1" applyAlignment="1" applyProtection="1">
      <alignment horizontal="center" vertical="center" wrapText="1"/>
      <protection locked="0"/>
    </xf>
    <xf numFmtId="168" fontId="25" fillId="20" borderId="2" xfId="4" applyNumberFormat="1" applyFont="1" applyFill="1" applyBorder="1" applyAlignment="1">
      <alignment horizontal="center" vertical="center" wrapText="1"/>
    </xf>
    <xf numFmtId="168" fontId="53" fillId="3" borderId="113" xfId="12" applyNumberFormat="1" applyFont="1" applyFill="1" applyBorder="1" applyAlignment="1">
      <alignment horizontal="center" vertical="center" wrapText="1"/>
    </xf>
    <xf numFmtId="168" fontId="54" fillId="3" borderId="47" xfId="12" applyNumberFormat="1" applyFont="1" applyFill="1" applyBorder="1" applyAlignment="1">
      <alignment horizontal="center" vertical="center" wrapText="1"/>
    </xf>
    <xf numFmtId="168" fontId="54" fillId="3" borderId="72" xfId="12" applyNumberFormat="1" applyFont="1" applyFill="1" applyBorder="1" applyAlignment="1">
      <alignment horizontal="center" vertical="center" wrapText="1"/>
    </xf>
    <xf numFmtId="168" fontId="54" fillId="3" borderId="112" xfId="12" applyNumberFormat="1" applyFont="1" applyFill="1" applyBorder="1" applyAlignment="1">
      <alignment horizontal="center" vertical="center" wrapText="1"/>
    </xf>
    <xf numFmtId="168" fontId="54" fillId="7" borderId="45" xfId="12" applyNumberFormat="1" applyFont="1" applyFill="1" applyBorder="1" applyAlignment="1">
      <alignment horizontal="center" vertical="center" wrapText="1"/>
    </xf>
    <xf numFmtId="168" fontId="54" fillId="7" borderId="72" xfId="12" applyNumberFormat="1" applyFont="1" applyFill="1" applyBorder="1" applyAlignment="1">
      <alignment horizontal="center" vertical="center" wrapText="1"/>
    </xf>
    <xf numFmtId="168" fontId="5" fillId="7" borderId="72" xfId="12" applyNumberFormat="1" applyFont="1" applyFill="1" applyBorder="1" applyAlignment="1">
      <alignment horizontal="center" vertical="center" wrapText="1"/>
    </xf>
    <xf numFmtId="10" fontId="5" fillId="7" borderId="72" xfId="12" applyNumberFormat="1" applyFont="1" applyFill="1" applyBorder="1" applyAlignment="1">
      <alignment horizontal="center" vertical="center" wrapText="1"/>
    </xf>
    <xf numFmtId="168" fontId="30" fillId="7" borderId="72" xfId="12" applyNumberFormat="1" applyFont="1" applyFill="1" applyBorder="1" applyAlignment="1">
      <alignment horizontal="center" vertical="center" wrapText="1"/>
    </xf>
    <xf numFmtId="0" fontId="54" fillId="8" borderId="111" xfId="20" applyFont="1" applyFill="1" applyBorder="1" applyAlignment="1">
      <alignment horizontal="center" vertical="center" wrapText="1"/>
    </xf>
    <xf numFmtId="168" fontId="54" fillId="8" borderId="47" xfId="12" applyNumberFormat="1" applyFont="1" applyFill="1" applyBorder="1" applyAlignment="1">
      <alignment horizontal="center" vertical="center" wrapText="1"/>
    </xf>
    <xf numFmtId="168" fontId="54" fillId="8" borderId="72" xfId="12" applyNumberFormat="1" applyFont="1" applyFill="1" applyBorder="1" applyAlignment="1">
      <alignment horizontal="center" vertical="center" wrapText="1"/>
    </xf>
    <xf numFmtId="168" fontId="54" fillId="8" borderId="112" xfId="12" applyNumberFormat="1" applyFont="1" applyFill="1" applyBorder="1" applyAlignment="1">
      <alignment horizontal="center" vertical="center" wrapText="1"/>
    </xf>
    <xf numFmtId="168" fontId="54" fillId="21" borderId="46" xfId="12" applyNumberFormat="1" applyFont="1" applyFill="1" applyBorder="1" applyAlignment="1">
      <alignment horizontal="center" vertical="center" wrapText="1"/>
    </xf>
    <xf numFmtId="168" fontId="54" fillId="21" borderId="72" xfId="12" applyNumberFormat="1" applyFont="1" applyFill="1" applyBorder="1" applyAlignment="1">
      <alignment horizontal="center" vertical="center" wrapText="1"/>
    </xf>
    <xf numFmtId="168" fontId="54" fillId="21" borderId="112" xfId="12" applyNumberFormat="1" applyFont="1" applyFill="1" applyBorder="1" applyAlignment="1">
      <alignment horizontal="center" vertical="center" wrapText="1"/>
    </xf>
    <xf numFmtId="0" fontId="25" fillId="9" borderId="19" xfId="4" applyFont="1" applyFill="1" applyBorder="1" applyAlignment="1">
      <alignment horizontal="left" vertical="center" wrapText="1"/>
    </xf>
    <xf numFmtId="0" fontId="30" fillId="5" borderId="1" xfId="4" applyFont="1" applyFill="1" applyBorder="1" applyAlignment="1">
      <alignment horizontal="center" vertical="center" wrapText="1"/>
    </xf>
    <xf numFmtId="0" fontId="25" fillId="5" borderId="19" xfId="4" applyFont="1" applyFill="1" applyBorder="1" applyAlignment="1" applyProtection="1">
      <alignment horizontal="right" vertical="center"/>
      <protection locked="0"/>
    </xf>
    <xf numFmtId="0" fontId="25" fillId="5" borderId="3" xfId="4" applyFont="1" applyFill="1" applyBorder="1" applyAlignment="1" applyProtection="1">
      <alignment horizontal="right" vertical="center"/>
      <protection locked="0"/>
    </xf>
    <xf numFmtId="168" fontId="30" fillId="5" borderId="1" xfId="4" applyNumberFormat="1" applyFont="1" applyFill="1" applyBorder="1" applyAlignment="1">
      <alignment horizontal="center" vertical="center" wrapText="1"/>
    </xf>
    <xf numFmtId="0" fontId="25" fillId="5" borderId="1" xfId="4" applyFont="1" applyFill="1" applyBorder="1" applyAlignment="1">
      <alignment horizontal="left" vertical="center" wrapText="1"/>
    </xf>
    <xf numFmtId="0" fontId="25" fillId="5" borderId="2" xfId="4" applyFont="1" applyFill="1" applyBorder="1" applyAlignment="1">
      <alignment horizontal="centerContinuous" vertical="center" wrapText="1"/>
    </xf>
    <xf numFmtId="0" fontId="25" fillId="5" borderId="68" xfId="4" applyFont="1" applyFill="1" applyBorder="1" applyAlignment="1">
      <alignment horizontal="centerContinuous" vertical="center" wrapText="1"/>
    </xf>
    <xf numFmtId="168" fontId="5" fillId="5" borderId="1" xfId="4" applyNumberFormat="1" applyFont="1" applyFill="1" applyBorder="1" applyAlignment="1">
      <alignment horizontal="center" vertical="center" wrapText="1"/>
    </xf>
    <xf numFmtId="168" fontId="5" fillId="5" borderId="71" xfId="4" applyNumberFormat="1" applyFont="1" applyFill="1" applyBorder="1" applyAlignment="1">
      <alignment horizontal="center" vertical="center" wrapText="1"/>
    </xf>
    <xf numFmtId="168" fontId="5" fillId="5" borderId="73" xfId="4" applyNumberFormat="1" applyFont="1" applyFill="1" applyBorder="1" applyAlignment="1">
      <alignment horizontal="center" vertical="center" wrapText="1"/>
    </xf>
    <xf numFmtId="0" fontId="25" fillId="5" borderId="73" xfId="4" applyFont="1" applyFill="1" applyBorder="1" applyAlignment="1">
      <alignment horizontal="left" vertical="center" wrapText="1"/>
    </xf>
    <xf numFmtId="0" fontId="30" fillId="5" borderId="19" xfId="4" applyFont="1" applyFill="1" applyBorder="1" applyAlignment="1">
      <alignment horizontal="left" vertical="center" wrapText="1"/>
    </xf>
    <xf numFmtId="0" fontId="25" fillId="0" borderId="19" xfId="4" applyFont="1" applyBorder="1" applyAlignment="1" applyProtection="1">
      <alignment horizontal="right" vertical="center"/>
      <protection locked="0"/>
    </xf>
    <xf numFmtId="0" fontId="25" fillId="0" borderId="3" xfId="4" applyFont="1" applyBorder="1" applyAlignment="1" applyProtection="1">
      <alignment horizontal="right" vertical="center"/>
      <protection locked="0"/>
    </xf>
    <xf numFmtId="168" fontId="30" fillId="0" borderId="1" xfId="4" applyNumberFormat="1" applyFont="1" applyBorder="1" applyAlignment="1">
      <alignment horizontal="center" vertical="center" wrapText="1"/>
    </xf>
    <xf numFmtId="0" fontId="25" fillId="0" borderId="1" xfId="4" applyFont="1" applyBorder="1" applyAlignment="1">
      <alignment horizontal="left" vertical="center" wrapText="1"/>
    </xf>
    <xf numFmtId="0" fontId="25" fillId="0" borderId="2" xfId="4" applyFont="1" applyBorder="1" applyAlignment="1">
      <alignment horizontal="centerContinuous" vertical="center" wrapText="1"/>
    </xf>
    <xf numFmtId="0" fontId="25" fillId="0" borderId="68" xfId="4" applyFont="1" applyBorder="1" applyAlignment="1">
      <alignment horizontal="centerContinuous" vertical="center" wrapText="1"/>
    </xf>
    <xf numFmtId="174" fontId="5" fillId="0" borderId="1" xfId="4" applyNumberFormat="1" applyFont="1" applyBorder="1" applyAlignment="1">
      <alignment horizontal="center" vertical="center" wrapText="1"/>
    </xf>
    <xf numFmtId="168" fontId="5" fillId="0" borderId="1" xfId="4" applyNumberFormat="1" applyFont="1" applyBorder="1" applyAlignment="1">
      <alignment horizontal="center" vertical="center" wrapText="1"/>
    </xf>
    <xf numFmtId="166" fontId="5" fillId="0" borderId="71" xfId="4" applyNumberFormat="1" applyFont="1" applyBorder="1" applyAlignment="1">
      <alignment horizontal="center" vertical="center" wrapText="1"/>
    </xf>
    <xf numFmtId="166" fontId="5" fillId="0" borderId="73" xfId="4" applyNumberFormat="1" applyFont="1" applyBorder="1" applyAlignment="1">
      <alignment horizontal="center" vertical="center" wrapText="1"/>
    </xf>
    <xf numFmtId="166" fontId="5" fillId="0" borderId="1" xfId="4" applyNumberFormat="1" applyFont="1" applyBorder="1" applyAlignment="1">
      <alignment horizontal="center" vertical="center" wrapText="1"/>
    </xf>
    <xf numFmtId="166" fontId="25" fillId="0" borderId="73" xfId="4" applyNumberFormat="1" applyFont="1" applyBorder="1" applyAlignment="1">
      <alignment horizontal="left" vertical="center" wrapText="1"/>
    </xf>
    <xf numFmtId="0" fontId="30" fillId="0" borderId="19" xfId="4" applyFont="1" applyBorder="1" applyAlignment="1">
      <alignment horizontal="left" vertical="center" wrapText="1"/>
    </xf>
    <xf numFmtId="174" fontId="5" fillId="0" borderId="71" xfId="4" applyNumberFormat="1" applyFont="1" applyBorder="1" applyAlignment="1">
      <alignment horizontal="center" vertical="center" wrapText="1"/>
    </xf>
    <xf numFmtId="174" fontId="5" fillId="0" borderId="73" xfId="4" applyNumberFormat="1" applyFont="1" applyBorder="1" applyAlignment="1">
      <alignment horizontal="center" vertical="center" wrapText="1"/>
    </xf>
    <xf numFmtId="0" fontId="25" fillId="0" borderId="73" xfId="4" applyFont="1" applyBorder="1" applyAlignment="1">
      <alignment horizontal="left" vertical="center" wrapText="1"/>
    </xf>
    <xf numFmtId="0" fontId="25" fillId="0" borderId="114" xfId="4" applyFont="1" applyBorder="1" applyAlignment="1" applyProtection="1">
      <alignment horizontal="right" vertical="center"/>
      <protection locked="0"/>
    </xf>
    <xf numFmtId="0" fontId="25" fillId="0" borderId="10" xfId="4" applyFont="1" applyBorder="1" applyAlignment="1">
      <alignment horizontal="right" vertical="center" wrapText="1"/>
    </xf>
    <xf numFmtId="0" fontId="25" fillId="0" borderId="49" xfId="4" applyFont="1" applyBorder="1" applyAlignment="1">
      <alignment horizontal="right" vertical="center" wrapText="1"/>
    </xf>
    <xf numFmtId="174" fontId="5" fillId="0" borderId="10" xfId="4" applyNumberFormat="1" applyFont="1" applyBorder="1" applyAlignment="1">
      <alignment horizontal="center" vertical="center" wrapText="1"/>
    </xf>
    <xf numFmtId="174" fontId="5" fillId="0" borderId="114" xfId="4" applyNumberFormat="1" applyFont="1" applyBorder="1" applyAlignment="1">
      <alignment horizontal="center" vertical="center" wrapText="1"/>
    </xf>
    <xf numFmtId="174" fontId="30" fillId="0" borderId="2" xfId="4" applyNumberFormat="1" applyFont="1" applyBorder="1" applyAlignment="1">
      <alignment horizontal="right" vertical="center" wrapText="1"/>
    </xf>
    <xf numFmtId="174" fontId="30" fillId="0" borderId="3" xfId="4" applyNumberFormat="1" applyFont="1" applyBorder="1" applyAlignment="1">
      <alignment horizontal="right" vertical="center" wrapText="1"/>
    </xf>
    <xf numFmtId="174" fontId="5" fillId="0" borderId="19" xfId="4" applyNumberFormat="1" applyFont="1" applyBorder="1" applyAlignment="1">
      <alignment horizontal="right" vertical="center" wrapText="1"/>
    </xf>
    <xf numFmtId="174" fontId="5" fillId="0" borderId="2" xfId="4" applyNumberFormat="1" applyFont="1" applyBorder="1" applyAlignment="1">
      <alignment horizontal="right" vertical="center" wrapText="1"/>
    </xf>
    <xf numFmtId="174" fontId="5" fillId="0" borderId="3" xfId="4" applyNumberFormat="1" applyFont="1" applyBorder="1" applyAlignment="1">
      <alignment horizontal="right" vertical="center" wrapText="1"/>
    </xf>
    <xf numFmtId="0" fontId="30" fillId="0" borderId="10" xfId="4" applyFont="1" applyBorder="1" applyAlignment="1">
      <alignment horizontal="left" vertical="center" wrapText="1"/>
    </xf>
    <xf numFmtId="0" fontId="25" fillId="0" borderId="22" xfId="4" applyFont="1" applyBorder="1" applyAlignment="1">
      <alignment horizontal="center" vertical="center" wrapText="1"/>
    </xf>
    <xf numFmtId="0" fontId="25" fillId="0" borderId="15" xfId="4" applyFont="1" applyBorder="1" applyAlignment="1">
      <alignment horizontal="center" vertical="center" wrapText="1"/>
    </xf>
    <xf numFmtId="0" fontId="30" fillId="0" borderId="60" xfId="4" applyFont="1" applyBorder="1" applyAlignment="1">
      <alignment vertical="center" wrapText="1"/>
    </xf>
    <xf numFmtId="0" fontId="25" fillId="0" borderId="58" xfId="4" applyFont="1" applyBorder="1" applyAlignment="1" applyProtection="1">
      <alignment horizontal="right" vertical="center"/>
      <protection locked="0"/>
    </xf>
    <xf numFmtId="168" fontId="30" fillId="0" borderId="15" xfId="4" applyNumberFormat="1" applyFont="1" applyBorder="1" applyAlignment="1">
      <alignment horizontal="center" vertical="center" wrapText="1"/>
    </xf>
    <xf numFmtId="0" fontId="25" fillId="0" borderId="15" xfId="4" applyFont="1" applyBorder="1" applyAlignment="1">
      <alignment horizontal="left" vertical="center" wrapText="1"/>
    </xf>
    <xf numFmtId="0" fontId="25" fillId="0" borderId="16" xfId="4" applyFont="1" applyBorder="1" applyAlignment="1">
      <alignment horizontal="right" vertical="center" wrapText="1"/>
    </xf>
    <xf numFmtId="0" fontId="25" fillId="0" borderId="58" xfId="4" applyFont="1" applyBorder="1" applyAlignment="1">
      <alignment horizontal="right" vertical="center" wrapText="1"/>
    </xf>
    <xf numFmtId="0" fontId="25" fillId="0" borderId="16" xfId="4" applyFont="1" applyBorder="1" applyAlignment="1">
      <alignment horizontal="center" vertical="center" wrapText="1"/>
    </xf>
    <xf numFmtId="0" fontId="25" fillId="0" borderId="60" xfId="4" applyFont="1" applyBorder="1" applyAlignment="1">
      <alignment horizontal="center" vertical="center" wrapText="1"/>
    </xf>
    <xf numFmtId="169" fontId="5" fillId="0" borderId="16" xfId="4" applyNumberFormat="1" applyFont="1" applyBorder="1" applyAlignment="1">
      <alignment vertical="center" wrapText="1"/>
    </xf>
    <xf numFmtId="169" fontId="5" fillId="0" borderId="58" xfId="4" applyNumberFormat="1" applyFont="1" applyBorder="1" applyAlignment="1">
      <alignment vertical="center" wrapText="1"/>
    </xf>
    <xf numFmtId="169" fontId="5" fillId="0" borderId="60" xfId="4" applyNumberFormat="1" applyFont="1" applyBorder="1" applyAlignment="1">
      <alignment vertical="center" wrapText="1"/>
    </xf>
    <xf numFmtId="169" fontId="5" fillId="0" borderId="60" xfId="4" applyNumberFormat="1" applyFont="1" applyBorder="1" applyAlignment="1">
      <alignment vertical="center" wrapText="1"/>
    </xf>
    <xf numFmtId="0" fontId="30" fillId="0" borderId="16" xfId="4" applyFont="1" applyBorder="1" applyAlignment="1">
      <alignment horizontal="left" vertical="center" wrapText="1"/>
    </xf>
    <xf numFmtId="0" fontId="25" fillId="0" borderId="16" xfId="4" applyFont="1" applyBorder="1" applyAlignment="1">
      <alignment horizontal="left" vertical="center" wrapText="1"/>
    </xf>
    <xf numFmtId="0" fontId="47" fillId="0" borderId="0" xfId="10" applyFont="1" applyAlignment="1">
      <alignment horizontal="centerContinuous" vertical="center"/>
    </xf>
    <xf numFmtId="0" fontId="16" fillId="0" borderId="0" xfId="10" applyFont="1" applyAlignment="1">
      <alignment horizontal="centerContinuous" vertical="center"/>
    </xf>
    <xf numFmtId="166" fontId="16" fillId="0" borderId="0" xfId="10" applyNumberFormat="1" applyFont="1" applyAlignment="1">
      <alignment horizontal="centerContinuous" vertical="center"/>
    </xf>
    <xf numFmtId="0" fontId="16" fillId="0" borderId="0" xfId="10" applyFont="1" applyAlignment="1">
      <alignment vertical="center"/>
    </xf>
    <xf numFmtId="0" fontId="19" fillId="0" borderId="0" xfId="21" applyFont="1" applyAlignment="1">
      <alignment horizontal="left" vertical="center"/>
    </xf>
    <xf numFmtId="0" fontId="16" fillId="0" borderId="0" xfId="21" applyFont="1" applyAlignment="1">
      <alignment vertical="center"/>
    </xf>
    <xf numFmtId="0" fontId="55" fillId="0" borderId="0" xfId="10" applyFont="1" applyAlignment="1">
      <alignment horizontal="centerContinuous" vertical="center"/>
    </xf>
    <xf numFmtId="0" fontId="13" fillId="0" borderId="0" xfId="21" applyFont="1" applyAlignment="1">
      <alignment horizontal="center" vertical="center"/>
    </xf>
    <xf numFmtId="0" fontId="25" fillId="0" borderId="0" xfId="10" applyFont="1" applyAlignment="1">
      <alignment vertical="center"/>
    </xf>
    <xf numFmtId="0" fontId="25" fillId="0" borderId="0" xfId="10" applyFont="1" applyAlignment="1">
      <alignment horizontal="left" vertical="center"/>
    </xf>
    <xf numFmtId="0" fontId="25" fillId="0" borderId="0" xfId="10" applyFont="1" applyAlignment="1">
      <alignment horizontal="centerContinuous" vertical="center"/>
    </xf>
    <xf numFmtId="166" fontId="25" fillId="0" borderId="0" xfId="10" applyNumberFormat="1" applyFont="1" applyAlignment="1">
      <alignment horizontal="centerContinuous" vertical="center"/>
    </xf>
    <xf numFmtId="14" fontId="30" fillId="0" borderId="0" xfId="10" applyNumberFormat="1" applyFont="1" applyAlignment="1">
      <alignment horizontal="right" vertical="center"/>
    </xf>
    <xf numFmtId="0" fontId="25" fillId="0" borderId="0" xfId="21" applyFont="1" applyAlignment="1">
      <alignment vertical="center"/>
    </xf>
    <xf numFmtId="0" fontId="3" fillId="0" borderId="115" xfId="10" applyFont="1" applyBorder="1" applyAlignment="1">
      <alignment horizontal="center" vertical="center"/>
    </xf>
    <xf numFmtId="0" fontId="3" fillId="0" borderId="116" xfId="10" applyFont="1" applyBorder="1" applyAlignment="1">
      <alignment horizontal="center" vertical="center"/>
    </xf>
    <xf numFmtId="0" fontId="3" fillId="0" borderId="117" xfId="10" applyFont="1" applyBorder="1" applyAlignment="1">
      <alignment horizontal="center" vertical="center"/>
    </xf>
    <xf numFmtId="166" fontId="3" fillId="0" borderId="23" xfId="10" applyNumberFormat="1" applyFont="1" applyBorder="1" applyAlignment="1">
      <alignment horizontal="centerContinuous" vertical="center"/>
    </xf>
    <xf numFmtId="166" fontId="3" fillId="0" borderId="25" xfId="10" applyNumberFormat="1" applyFont="1" applyBorder="1" applyAlignment="1">
      <alignment horizontal="centerContinuous" vertical="center"/>
    </xf>
    <xf numFmtId="166" fontId="3" fillId="0" borderId="24" xfId="10" applyNumberFormat="1" applyFont="1" applyBorder="1" applyAlignment="1">
      <alignment horizontal="centerContinuous" vertical="center"/>
    </xf>
    <xf numFmtId="166" fontId="3" fillId="0" borderId="118" xfId="10" applyNumberFormat="1" applyFont="1" applyBorder="1" applyAlignment="1">
      <alignment horizontal="centerContinuous" vertical="center"/>
    </xf>
    <xf numFmtId="0" fontId="3" fillId="0" borderId="25" xfId="10" applyFont="1" applyBorder="1" applyAlignment="1">
      <alignment horizontal="center" vertical="center" wrapText="1"/>
    </xf>
    <xf numFmtId="0" fontId="3" fillId="0" borderId="27" xfId="10" applyFont="1" applyBorder="1" applyAlignment="1">
      <alignment horizontal="center" vertical="center"/>
    </xf>
    <xf numFmtId="0" fontId="3" fillId="0" borderId="0" xfId="10" applyFont="1" applyAlignment="1">
      <alignment vertical="center"/>
    </xf>
    <xf numFmtId="0" fontId="3" fillId="0" borderId="0" xfId="21" applyFont="1" applyAlignment="1">
      <alignment vertical="center"/>
    </xf>
    <xf numFmtId="0" fontId="3" fillId="0" borderId="119" xfId="10" applyFont="1" applyBorder="1" applyAlignment="1">
      <alignment horizontal="center" vertical="center"/>
    </xf>
    <xf numFmtId="0" fontId="3" fillId="0" borderId="120" xfId="10" applyFont="1" applyBorder="1" applyAlignment="1">
      <alignment horizontal="center" vertical="center"/>
    </xf>
    <xf numFmtId="0" fontId="3" fillId="0" borderId="121" xfId="10" applyFont="1" applyBorder="1" applyAlignment="1">
      <alignment horizontal="center" vertical="center"/>
    </xf>
    <xf numFmtId="166" fontId="3" fillId="0" borderId="122" xfId="10" applyNumberFormat="1" applyFont="1" applyBorder="1" applyAlignment="1">
      <alignment horizontal="center" vertical="center"/>
    </xf>
    <xf numFmtId="166" fontId="3" fillId="0" borderId="123" xfId="10" applyNumberFormat="1" applyFont="1" applyBorder="1" applyAlignment="1">
      <alignment horizontal="center" vertical="center" wrapText="1"/>
    </xf>
    <xf numFmtId="166" fontId="3" fillId="0" borderId="124" xfId="10" applyNumberFormat="1" applyFont="1" applyBorder="1" applyAlignment="1">
      <alignment horizontal="center" vertical="center"/>
    </xf>
    <xf numFmtId="0" fontId="3" fillId="0" borderId="125" xfId="10" applyFont="1" applyBorder="1" applyAlignment="1">
      <alignment horizontal="center" vertical="center" wrapText="1"/>
    </xf>
    <xf numFmtId="0" fontId="3" fillId="0" borderId="126" xfId="10" applyFont="1" applyBorder="1" applyAlignment="1">
      <alignment horizontal="center" vertical="center"/>
    </xf>
    <xf numFmtId="0" fontId="25" fillId="0" borderId="127" xfId="10" applyFont="1" applyBorder="1" applyAlignment="1">
      <alignment horizontal="center" vertical="center"/>
    </xf>
    <xf numFmtId="0" fontId="25" fillId="0" borderId="128" xfId="10" applyFont="1" applyBorder="1" applyAlignment="1">
      <alignment horizontal="left" vertical="center"/>
    </xf>
    <xf numFmtId="0" fontId="25" fillId="0" borderId="129" xfId="10" quotePrefix="1" applyFont="1" applyBorder="1" applyAlignment="1">
      <alignment horizontal="center" vertical="center"/>
    </xf>
    <xf numFmtId="166" fontId="56" fillId="0" borderId="128" xfId="10" applyNumberFormat="1" applyFont="1" applyBorder="1" applyAlignment="1">
      <alignment horizontal="center" vertical="center"/>
    </xf>
    <xf numFmtId="38" fontId="56" fillId="0" borderId="130" xfId="10" applyNumberFormat="1" applyFont="1" applyBorder="1" applyAlignment="1">
      <alignment horizontal="center" vertical="center"/>
    </xf>
    <xf numFmtId="38" fontId="56" fillId="0" borderId="131" xfId="10" applyNumberFormat="1" applyFont="1" applyBorder="1" applyAlignment="1">
      <alignment horizontal="right" vertical="center"/>
    </xf>
    <xf numFmtId="176" fontId="56" fillId="0" borderId="128" xfId="10" applyNumberFormat="1" applyFont="1" applyBorder="1" applyAlignment="1">
      <alignment horizontal="center" vertical="center"/>
    </xf>
    <xf numFmtId="38" fontId="56" fillId="0" borderId="132" xfId="10" applyNumberFormat="1" applyFont="1" applyBorder="1" applyAlignment="1">
      <alignment horizontal="right" vertical="center"/>
    </xf>
    <xf numFmtId="168" fontId="56" fillId="0" borderId="133" xfId="10" applyNumberFormat="1" applyFont="1" applyBorder="1" applyAlignment="1">
      <alignment horizontal="center" vertical="center"/>
    </xf>
    <xf numFmtId="0" fontId="5" fillId="0" borderId="134" xfId="10" applyFont="1" applyBorder="1" applyAlignment="1">
      <alignment horizontal="center" vertical="center"/>
    </xf>
    <xf numFmtId="0" fontId="5" fillId="0" borderId="135" xfId="10" applyFont="1" applyBorder="1" applyAlignment="1">
      <alignment horizontal="left" vertical="center"/>
    </xf>
    <xf numFmtId="0" fontId="3" fillId="0" borderId="136" xfId="10" quotePrefix="1" applyFont="1" applyBorder="1" applyAlignment="1">
      <alignment horizontal="center" vertical="center"/>
    </xf>
    <xf numFmtId="166" fontId="41" fillId="0" borderId="135" xfId="10" applyNumberFormat="1" applyFont="1" applyBorder="1" applyAlignment="1">
      <alignment horizontal="center" vertical="center"/>
    </xf>
    <xf numFmtId="38" fontId="41" fillId="0" borderId="137" xfId="10" applyNumberFormat="1" applyFont="1" applyBorder="1" applyAlignment="1">
      <alignment horizontal="center" vertical="center"/>
    </xf>
    <xf numFmtId="38" fontId="41" fillId="0" borderId="138" xfId="10" applyNumberFormat="1" applyFont="1" applyBorder="1" applyAlignment="1">
      <alignment horizontal="right" vertical="center"/>
    </xf>
    <xf numFmtId="176" fontId="41" fillId="0" borderId="135" xfId="10" applyNumberFormat="1" applyFont="1" applyBorder="1" applyAlignment="1">
      <alignment horizontal="center" vertical="center"/>
    </xf>
    <xf numFmtId="38" fontId="41" fillId="0" borderId="105" xfId="10" applyNumberFormat="1" applyFont="1" applyBorder="1" applyAlignment="1">
      <alignment horizontal="right" vertical="center"/>
    </xf>
    <xf numFmtId="168" fontId="41" fillId="0" borderId="139" xfId="10" applyNumberFormat="1" applyFont="1" applyBorder="1" applyAlignment="1">
      <alignment horizontal="left" vertical="center"/>
    </xf>
    <xf numFmtId="0" fontId="57" fillId="0" borderId="135" xfId="10" applyFont="1" applyBorder="1" applyAlignment="1">
      <alignment horizontal="left" vertical="center"/>
    </xf>
    <xf numFmtId="38" fontId="41" fillId="0" borderId="138" xfId="1" applyNumberFormat="1" applyFont="1" applyFill="1" applyBorder="1" applyAlignment="1">
      <alignment horizontal="right" vertical="center"/>
    </xf>
    <xf numFmtId="38" fontId="41" fillId="0" borderId="137" xfId="1" applyNumberFormat="1" applyFont="1" applyFill="1" applyBorder="1" applyAlignment="1">
      <alignment horizontal="center" vertical="center"/>
    </xf>
    <xf numFmtId="38" fontId="41" fillId="0" borderId="105" xfId="1" applyNumberFormat="1" applyFont="1" applyFill="1" applyBorder="1" applyAlignment="1">
      <alignment horizontal="right" vertical="center"/>
    </xf>
    <xf numFmtId="0" fontId="25" fillId="0" borderId="134" xfId="10" applyFont="1" applyBorder="1" applyAlignment="1">
      <alignment horizontal="right" vertical="center"/>
    </xf>
    <xf numFmtId="0" fontId="56" fillId="0" borderId="135" xfId="10" applyFont="1" applyBorder="1" applyAlignment="1">
      <alignment horizontal="left" vertical="center"/>
    </xf>
    <xf numFmtId="0" fontId="25" fillId="0" borderId="136" xfId="10" quotePrefix="1" applyFont="1" applyBorder="1" applyAlignment="1">
      <alignment horizontal="center" vertical="center"/>
    </xf>
    <xf numFmtId="166" fontId="25" fillId="0" borderId="135" xfId="10" applyNumberFormat="1" applyFont="1" applyBorder="1" applyAlignment="1">
      <alignment horizontal="center" vertical="center"/>
    </xf>
    <xf numFmtId="38" fontId="25" fillId="0" borderId="137" xfId="1" applyNumberFormat="1" applyFont="1" applyFill="1" applyBorder="1" applyAlignment="1">
      <alignment horizontal="center" vertical="center"/>
    </xf>
    <xf numFmtId="38" fontId="25" fillId="0" borderId="138" xfId="1" applyNumberFormat="1" applyFont="1" applyFill="1" applyBorder="1" applyAlignment="1">
      <alignment horizontal="right" vertical="center"/>
    </xf>
    <xf numFmtId="176" fontId="25" fillId="0" borderId="135" xfId="10" applyNumberFormat="1" applyFont="1" applyBorder="1" applyAlignment="1">
      <alignment horizontal="center" vertical="center"/>
    </xf>
    <xf numFmtId="38" fontId="25" fillId="0" borderId="81" xfId="1" applyNumberFormat="1" applyFont="1" applyFill="1" applyBorder="1" applyAlignment="1">
      <alignment horizontal="right" vertical="center"/>
    </xf>
    <xf numFmtId="168" fontId="56" fillId="0" borderId="139" xfId="10" applyNumberFormat="1" applyFont="1" applyBorder="1" applyAlignment="1">
      <alignment horizontal="left" vertical="center"/>
    </xf>
    <xf numFmtId="0" fontId="58" fillId="0" borderId="136" xfId="10" quotePrefix="1" applyFont="1" applyBorder="1" applyAlignment="1">
      <alignment horizontal="center" vertical="center"/>
    </xf>
    <xf numFmtId="166" fontId="58" fillId="0" borderId="135" xfId="10" applyNumberFormat="1" applyFont="1" applyBorder="1" applyAlignment="1">
      <alignment horizontal="center" vertical="center"/>
    </xf>
    <xf numFmtId="38" fontId="58" fillId="0" borderId="137" xfId="1" applyNumberFormat="1" applyFont="1" applyFill="1" applyBorder="1" applyAlignment="1">
      <alignment horizontal="center" vertical="center"/>
    </xf>
    <xf numFmtId="38" fontId="58" fillId="0" borderId="138" xfId="1" applyNumberFormat="1" applyFont="1" applyFill="1" applyBorder="1" applyAlignment="1">
      <alignment horizontal="right" vertical="center"/>
    </xf>
    <xf numFmtId="176" fontId="58" fillId="0" borderId="135" xfId="10" applyNumberFormat="1" applyFont="1" applyBorder="1" applyAlignment="1">
      <alignment horizontal="center" vertical="center"/>
    </xf>
    <xf numFmtId="38" fontId="58" fillId="0" borderId="81" xfId="1" applyNumberFormat="1" applyFont="1" applyFill="1" applyBorder="1" applyAlignment="1">
      <alignment horizontal="right" vertical="center"/>
    </xf>
    <xf numFmtId="168" fontId="58" fillId="0" borderId="139" xfId="10" applyNumberFormat="1" applyFont="1" applyBorder="1" applyAlignment="1">
      <alignment horizontal="left" vertical="center"/>
    </xf>
    <xf numFmtId="0" fontId="30" fillId="0" borderId="134" xfId="10" applyFont="1" applyBorder="1" applyAlignment="1">
      <alignment horizontal="center" vertical="center"/>
    </xf>
    <xf numFmtId="0" fontId="30" fillId="0" borderId="135" xfId="10" applyFont="1" applyBorder="1" applyAlignment="1">
      <alignment horizontal="left" vertical="center"/>
    </xf>
    <xf numFmtId="38" fontId="25" fillId="0" borderId="137" xfId="10" applyNumberFormat="1" applyFont="1" applyBorder="1" applyAlignment="1">
      <alignment horizontal="center" vertical="center"/>
    </xf>
    <xf numFmtId="38" fontId="25" fillId="0" borderId="105" xfId="1" applyNumberFormat="1" applyFont="1" applyFill="1" applyBorder="1" applyAlignment="1">
      <alignment horizontal="right" vertical="center"/>
    </xf>
    <xf numFmtId="0" fontId="5" fillId="0" borderId="14" xfId="10" applyFont="1" applyBorder="1" applyAlignment="1">
      <alignment horizontal="centerContinuous" vertical="center"/>
    </xf>
    <xf numFmtId="0" fontId="5" fillId="0" borderId="60" xfId="10" applyFont="1" applyBorder="1" applyAlignment="1">
      <alignment horizontal="centerContinuous" vertical="center"/>
    </xf>
    <xf numFmtId="0" fontId="5" fillId="0" borderId="140" xfId="10" applyFont="1" applyBorder="1" applyAlignment="1">
      <alignment horizontal="center" vertical="center"/>
    </xf>
    <xf numFmtId="166" fontId="30" fillId="0" borderId="141" xfId="22" applyNumberFormat="1" applyFont="1" applyFill="1" applyBorder="1" applyAlignment="1">
      <alignment horizontal="right" vertical="center"/>
    </xf>
    <xf numFmtId="38" fontId="30" fillId="0" borderId="52" xfId="22" applyNumberFormat="1" applyFont="1" applyFill="1" applyBorder="1" applyAlignment="1">
      <alignment horizontal="right" vertical="center"/>
    </xf>
    <xf numFmtId="38" fontId="30" fillId="0" borderId="142" xfId="1" applyNumberFormat="1" applyFont="1" applyFill="1" applyBorder="1" applyAlignment="1">
      <alignment horizontal="right" vertical="center"/>
    </xf>
    <xf numFmtId="176" fontId="30" fillId="0" borderId="141" xfId="22" applyNumberFormat="1" applyFont="1" applyFill="1" applyBorder="1" applyAlignment="1">
      <alignment horizontal="right" vertical="center"/>
    </xf>
    <xf numFmtId="38" fontId="30" fillId="0" borderId="60" xfId="1" applyNumberFormat="1" applyFont="1" applyFill="1" applyBorder="1" applyAlignment="1">
      <alignment horizontal="right" vertical="center"/>
    </xf>
    <xf numFmtId="168" fontId="29" fillId="0" borderId="61" xfId="10" applyNumberFormat="1" applyFont="1" applyBorder="1" applyAlignment="1">
      <alignment horizontal="left" vertical="center"/>
    </xf>
    <xf numFmtId="0" fontId="25" fillId="0" borderId="135" xfId="10" applyFont="1" applyBorder="1" applyAlignment="1">
      <alignment horizontal="left" vertical="center"/>
    </xf>
    <xf numFmtId="166" fontId="3" fillId="0" borderId="135" xfId="10" applyNumberFormat="1" applyFont="1" applyBorder="1" applyAlignment="1">
      <alignment horizontal="center" vertical="center"/>
    </xf>
    <xf numFmtId="38" fontId="3" fillId="0" borderId="137" xfId="10" applyNumberFormat="1" applyFont="1" applyBorder="1" applyAlignment="1">
      <alignment horizontal="center" vertical="center"/>
    </xf>
    <xf numFmtId="38" fontId="3" fillId="0" borderId="138" xfId="1" applyNumberFormat="1" applyFont="1" applyFill="1" applyBorder="1" applyAlignment="1">
      <alignment horizontal="right" vertical="center"/>
    </xf>
    <xf numFmtId="176" fontId="3" fillId="0" borderId="135" xfId="10" applyNumberFormat="1" applyFont="1" applyBorder="1" applyAlignment="1">
      <alignment horizontal="center" vertical="center"/>
    </xf>
    <xf numFmtId="38" fontId="3" fillId="0" borderId="137" xfId="1" applyNumberFormat="1" applyFont="1" applyFill="1" applyBorder="1" applyAlignment="1">
      <alignment horizontal="center" vertical="center"/>
    </xf>
    <xf numFmtId="38" fontId="3" fillId="0" borderId="105" xfId="1" applyNumberFormat="1" applyFont="1" applyFill="1" applyBorder="1" applyAlignment="1">
      <alignment horizontal="right" vertical="center"/>
    </xf>
    <xf numFmtId="0" fontId="25" fillId="0" borderId="135" xfId="10" quotePrefix="1" applyFont="1" applyBorder="1" applyAlignment="1">
      <alignment horizontal="left" vertical="center"/>
    </xf>
    <xf numFmtId="38" fontId="25" fillId="0" borderId="105" xfId="22" applyNumberFormat="1" applyFont="1" applyFill="1" applyBorder="1" applyAlignment="1">
      <alignment horizontal="right" vertical="center"/>
    </xf>
    <xf numFmtId="168" fontId="56" fillId="0" borderId="139" xfId="10" applyNumberFormat="1" applyFont="1" applyBorder="1" applyAlignment="1">
      <alignment horizontal="left" vertical="center" wrapText="1"/>
    </xf>
    <xf numFmtId="0" fontId="25" fillId="0" borderId="135" xfId="10" applyFont="1" applyBorder="1" applyAlignment="1">
      <alignment horizontal="left" vertical="center" wrapText="1"/>
    </xf>
    <xf numFmtId="0" fontId="25" fillId="0" borderId="134" xfId="10" applyFont="1" applyBorder="1" applyAlignment="1">
      <alignment horizontal="center" vertical="center"/>
    </xf>
    <xf numFmtId="0" fontId="25" fillId="0" borderId="143" xfId="10" quotePrefix="1" applyFont="1" applyBorder="1" applyAlignment="1">
      <alignment horizontal="center" vertical="center"/>
    </xf>
    <xf numFmtId="38" fontId="25" fillId="0" borderId="105" xfId="10" applyNumberFormat="1" applyFont="1" applyBorder="1" applyAlignment="1">
      <alignment horizontal="right" vertical="center"/>
    </xf>
    <xf numFmtId="38" fontId="3" fillId="0" borderId="105" xfId="22" applyNumberFormat="1" applyFont="1" applyFill="1" applyBorder="1" applyAlignment="1">
      <alignment horizontal="right" vertical="center"/>
    </xf>
    <xf numFmtId="38" fontId="25" fillId="0" borderId="81" xfId="22" applyNumberFormat="1" applyFont="1" applyFill="1" applyBorder="1" applyAlignment="1">
      <alignment horizontal="right" vertical="center"/>
    </xf>
    <xf numFmtId="168" fontId="56" fillId="0" borderId="139" xfId="10" quotePrefix="1" applyNumberFormat="1" applyFont="1" applyBorder="1" applyAlignment="1">
      <alignment horizontal="left" vertical="center" wrapText="1"/>
    </xf>
    <xf numFmtId="2" fontId="25" fillId="0" borderId="134" xfId="10" applyNumberFormat="1" applyFont="1" applyBorder="1" applyAlignment="1">
      <alignment horizontal="right" vertical="center"/>
    </xf>
    <xf numFmtId="38" fontId="25" fillId="0" borderId="144" xfId="1" applyNumberFormat="1" applyFont="1" applyFill="1" applyBorder="1" applyAlignment="1">
      <alignment horizontal="center" vertical="center"/>
    </xf>
    <xf numFmtId="38" fontId="25" fillId="0" borderId="107" xfId="1" applyNumberFormat="1" applyFont="1" applyFill="1" applyBorder="1" applyAlignment="1">
      <alignment horizontal="right" vertical="center"/>
    </xf>
    <xf numFmtId="0" fontId="30" fillId="0" borderId="134" xfId="10" applyFont="1" applyBorder="1" applyAlignment="1">
      <alignment horizontal="right" vertical="center"/>
    </xf>
    <xf numFmtId="176" fontId="25" fillId="0" borderId="135" xfId="10" quotePrefix="1" applyNumberFormat="1" applyFont="1" applyBorder="1" applyAlignment="1">
      <alignment horizontal="center" vertical="center"/>
    </xf>
    <xf numFmtId="0" fontId="25" fillId="0" borderId="135" xfId="10" quotePrefix="1" applyFont="1" applyBorder="1" applyAlignment="1">
      <alignment horizontal="left" vertical="center" wrapText="1"/>
    </xf>
    <xf numFmtId="166" fontId="25" fillId="0" borderId="135" xfId="10" quotePrefix="1" applyNumberFormat="1" applyFont="1" applyBorder="1" applyAlignment="1">
      <alignment horizontal="center" vertical="center"/>
    </xf>
    <xf numFmtId="176" fontId="5" fillId="0" borderId="141" xfId="22" applyNumberFormat="1" applyFont="1" applyFill="1" applyBorder="1" applyAlignment="1">
      <alignment horizontal="right" vertical="center"/>
    </xf>
    <xf numFmtId="38" fontId="5" fillId="0" borderId="52" xfId="22" applyNumberFormat="1" applyFont="1" applyFill="1" applyBorder="1" applyAlignment="1">
      <alignment horizontal="right" vertical="center"/>
    </xf>
    <xf numFmtId="166" fontId="25" fillId="0" borderId="145" xfId="1" applyNumberFormat="1" applyFont="1" applyFill="1" applyBorder="1" applyAlignment="1">
      <alignment vertical="center"/>
    </xf>
    <xf numFmtId="38" fontId="25" fillId="0" borderId="146" xfId="1" applyNumberFormat="1" applyFont="1" applyFill="1" applyBorder="1" applyAlignment="1">
      <alignment horizontal="center" vertical="center"/>
    </xf>
    <xf numFmtId="166" fontId="25" fillId="0" borderId="135" xfId="1" applyNumberFormat="1" applyFont="1" applyFill="1" applyBorder="1" applyAlignment="1">
      <alignment vertical="center"/>
    </xf>
    <xf numFmtId="0" fontId="25" fillId="0" borderId="147" xfId="10" applyFont="1" applyBorder="1" applyAlignment="1">
      <alignment horizontal="center" vertical="center"/>
    </xf>
    <xf numFmtId="0" fontId="25" fillId="0" borderId="145" xfId="10" applyFont="1" applyBorder="1" applyAlignment="1">
      <alignment vertical="center"/>
    </xf>
    <xf numFmtId="0" fontId="25" fillId="0" borderId="143" xfId="10" applyFont="1" applyBorder="1" applyAlignment="1">
      <alignment horizontal="center" vertical="center"/>
    </xf>
    <xf numFmtId="176" fontId="25" fillId="0" borderId="145" xfId="22" applyNumberFormat="1" applyFont="1" applyFill="1" applyBorder="1" applyAlignment="1">
      <alignment horizontal="center" vertical="center"/>
    </xf>
    <xf numFmtId="38" fontId="25" fillId="0" borderId="144" xfId="22" applyNumberFormat="1" applyFont="1" applyFill="1" applyBorder="1" applyAlignment="1">
      <alignment horizontal="center" vertical="center"/>
    </xf>
    <xf numFmtId="176" fontId="25" fillId="0" borderId="148" xfId="22" applyNumberFormat="1" applyFont="1" applyFill="1" applyBorder="1" applyAlignment="1">
      <alignment horizontal="center" vertical="center"/>
    </xf>
    <xf numFmtId="38" fontId="25" fillId="0" borderId="149" xfId="1" applyNumberFormat="1" applyFont="1" applyFill="1" applyBorder="1" applyAlignment="1">
      <alignment horizontal="center" vertical="center"/>
    </xf>
    <xf numFmtId="0" fontId="25" fillId="0" borderId="150" xfId="10" applyFont="1" applyBorder="1" applyAlignment="1">
      <alignment horizontal="left" vertical="center"/>
    </xf>
    <xf numFmtId="166" fontId="5" fillId="0" borderId="141" xfId="22" applyNumberFormat="1" applyFont="1" applyFill="1" applyBorder="1" applyAlignment="1">
      <alignment horizontal="right" vertical="center"/>
    </xf>
    <xf numFmtId="38" fontId="30" fillId="0" borderId="60" xfId="22" applyNumberFormat="1" applyFont="1" applyFill="1" applyBorder="1" applyAlignment="1">
      <alignment horizontal="right" vertical="center"/>
    </xf>
    <xf numFmtId="168" fontId="5" fillId="0" borderId="61" xfId="10" applyNumberFormat="1" applyFont="1" applyBorder="1" applyAlignment="1">
      <alignment horizontal="center" vertical="center"/>
    </xf>
    <xf numFmtId="0" fontId="5" fillId="0" borderId="151" xfId="10" applyFont="1" applyBorder="1" applyAlignment="1">
      <alignment horizontal="centerContinuous" vertical="center"/>
    </xf>
    <xf numFmtId="0" fontId="5" fillId="0" borderId="62" xfId="10" applyFont="1" applyBorder="1" applyAlignment="1">
      <alignment horizontal="centerContinuous" vertical="center"/>
    </xf>
    <xf numFmtId="38" fontId="5" fillId="0" borderId="152" xfId="10" applyNumberFormat="1" applyFont="1" applyBorder="1" applyAlignment="1">
      <alignment horizontal="right" vertical="center"/>
    </xf>
    <xf numFmtId="166" fontId="30" fillId="0" borderId="153" xfId="22" applyNumberFormat="1" applyFont="1" applyFill="1" applyBorder="1" applyAlignment="1">
      <alignment horizontal="right" vertical="center"/>
    </xf>
    <xf numFmtId="166" fontId="30" fillId="0" borderId="154" xfId="22" applyNumberFormat="1" applyFont="1" applyFill="1" applyBorder="1" applyAlignment="1">
      <alignment horizontal="right" vertical="center"/>
    </xf>
    <xf numFmtId="38" fontId="30" fillId="0" borderId="155" xfId="1" applyNumberFormat="1" applyFont="1" applyFill="1" applyBorder="1" applyAlignment="1">
      <alignment horizontal="right" vertical="center"/>
    </xf>
    <xf numFmtId="166" fontId="30" fillId="0" borderId="62" xfId="22" applyNumberFormat="1" applyFont="1" applyFill="1" applyBorder="1" applyAlignment="1">
      <alignment horizontal="right" vertical="center"/>
    </xf>
    <xf numFmtId="168" fontId="5" fillId="0" borderId="156" xfId="10" applyNumberFormat="1" applyFont="1" applyBorder="1" applyAlignment="1">
      <alignment horizontal="center" vertical="center"/>
    </xf>
    <xf numFmtId="0" fontId="5" fillId="0" borderId="0" xfId="10" applyFont="1" applyAlignment="1">
      <alignment vertical="center"/>
    </xf>
    <xf numFmtId="0" fontId="25" fillId="0" borderId="157" xfId="10" applyFont="1" applyBorder="1" applyAlignment="1">
      <alignment vertical="center"/>
    </xf>
    <xf numFmtId="0" fontId="25" fillId="0" borderId="118" xfId="10" applyFont="1" applyBorder="1" applyAlignment="1">
      <alignment vertical="center"/>
    </xf>
    <xf numFmtId="166" fontId="25" fillId="0" borderId="118" xfId="10" applyNumberFormat="1" applyFont="1" applyBorder="1" applyAlignment="1">
      <alignment vertical="center"/>
    </xf>
    <xf numFmtId="0" fontId="25" fillId="0" borderId="67" xfId="10" applyFont="1" applyBorder="1" applyAlignment="1">
      <alignment vertical="center"/>
    </xf>
    <xf numFmtId="0" fontId="30" fillId="0" borderId="158" xfId="10" applyFont="1" applyBorder="1" applyAlignment="1">
      <alignment vertical="center"/>
    </xf>
    <xf numFmtId="166" fontId="25" fillId="0" borderId="0" xfId="10" applyNumberFormat="1" applyFont="1" applyAlignment="1">
      <alignment vertical="center"/>
    </xf>
    <xf numFmtId="166" fontId="30" fillId="0" borderId="0" xfId="10" applyNumberFormat="1" applyFont="1" applyAlignment="1">
      <alignment vertical="center"/>
    </xf>
    <xf numFmtId="0" fontId="25" fillId="0" borderId="70" xfId="10" applyFont="1" applyBorder="1" applyAlignment="1">
      <alignment vertical="center"/>
    </xf>
    <xf numFmtId="0" fontId="25" fillId="0" borderId="151" xfId="10" applyFont="1" applyBorder="1" applyAlignment="1">
      <alignment vertical="center"/>
    </xf>
    <xf numFmtId="0" fontId="25" fillId="0" borderId="62" xfId="10" applyFont="1" applyBorder="1" applyAlignment="1">
      <alignment vertical="center"/>
    </xf>
    <xf numFmtId="166" fontId="25" fillId="0" borderId="62" xfId="10" applyNumberFormat="1" applyFont="1" applyBorder="1" applyAlignment="1">
      <alignment vertical="center"/>
    </xf>
    <xf numFmtId="0" fontId="25" fillId="0" borderId="156" xfId="10" applyFont="1" applyBorder="1" applyAlignment="1">
      <alignment vertical="center"/>
    </xf>
    <xf numFmtId="0" fontId="59" fillId="0" borderId="0" xfId="10" applyFont="1" applyAlignment="1">
      <alignment vertical="center"/>
    </xf>
    <xf numFmtId="166" fontId="53" fillId="0" borderId="0" xfId="10" applyNumberFormat="1" applyFont="1" applyAlignment="1">
      <alignment horizontal="right" vertical="center"/>
    </xf>
    <xf numFmtId="166" fontId="53" fillId="0" borderId="0" xfId="23" applyNumberFormat="1" applyFont="1" applyAlignment="1">
      <alignment horizontal="right" vertical="center"/>
    </xf>
    <xf numFmtId="166" fontId="53" fillId="0" borderId="0" xfId="23" applyNumberFormat="1" applyFont="1" applyAlignment="1">
      <alignment horizontal="center" vertical="center"/>
    </xf>
    <xf numFmtId="177" fontId="53" fillId="0" borderId="0" xfId="24" applyFont="1" applyAlignment="1">
      <alignment horizontal="center" vertical="center"/>
    </xf>
    <xf numFmtId="166" fontId="53" fillId="0" borderId="0" xfId="10" applyNumberFormat="1" applyFont="1" applyAlignment="1">
      <alignment vertical="center"/>
    </xf>
    <xf numFmtId="169" fontId="59" fillId="0" borderId="0" xfId="22" applyFont="1" applyFill="1" applyAlignment="1">
      <alignment horizontal="right" vertical="center"/>
    </xf>
    <xf numFmtId="166" fontId="53" fillId="0" borderId="0" xfId="10" applyNumberFormat="1" applyFont="1" applyAlignment="1">
      <alignment horizontal="center" vertical="center"/>
    </xf>
    <xf numFmtId="166" fontId="53" fillId="0" borderId="0" xfId="10" applyNumberFormat="1" applyFont="1" applyAlignment="1">
      <alignment horizontal="left" vertical="center"/>
    </xf>
    <xf numFmtId="168" fontId="53" fillId="0" borderId="0" xfId="1" applyNumberFormat="1" applyFont="1" applyFill="1" applyAlignment="1">
      <alignment horizontal="right" vertical="center"/>
    </xf>
    <xf numFmtId="0" fontId="53" fillId="0" borderId="0" xfId="10" applyFont="1" applyAlignment="1">
      <alignment vertical="center"/>
    </xf>
    <xf numFmtId="169" fontId="53" fillId="0" borderId="0" xfId="1" applyFont="1" applyFill="1" applyAlignment="1">
      <alignment horizontal="center" vertical="center"/>
    </xf>
    <xf numFmtId="166" fontId="25" fillId="0" borderId="0" xfId="10" applyNumberFormat="1" applyFont="1" applyAlignment="1">
      <alignment horizontal="center" vertical="center"/>
    </xf>
    <xf numFmtId="0" fontId="25" fillId="0" borderId="0" xfId="10" applyFont="1" applyAlignment="1">
      <alignment horizontal="center" vertical="center"/>
    </xf>
    <xf numFmtId="0" fontId="30" fillId="0" borderId="0" xfId="10" applyFont="1" applyAlignment="1">
      <alignment vertical="center"/>
    </xf>
    <xf numFmtId="166" fontId="30" fillId="0" borderId="0" xfId="10" applyNumberFormat="1" applyFont="1" applyAlignment="1">
      <alignment horizontal="center" vertical="center"/>
    </xf>
    <xf numFmtId="169" fontId="25" fillId="0" borderId="0" xfId="22" applyFont="1" applyFill="1" applyAlignment="1">
      <alignment vertical="center"/>
    </xf>
    <xf numFmtId="166" fontId="52" fillId="0" borderId="0" xfId="10" applyNumberFormat="1" applyFont="1" applyAlignment="1">
      <alignment vertical="center"/>
    </xf>
    <xf numFmtId="166" fontId="30" fillId="0" borderId="1" xfId="10" applyNumberFormat="1" applyFont="1" applyBorder="1" applyAlignment="1">
      <alignment vertical="center"/>
    </xf>
    <xf numFmtId="0" fontId="30" fillId="0" borderId="1" xfId="10" applyFont="1" applyBorder="1" applyAlignment="1">
      <alignment vertical="center"/>
    </xf>
    <xf numFmtId="166" fontId="25" fillId="0" borderId="1" xfId="10" applyNumberFormat="1" applyFont="1" applyBorder="1" applyAlignment="1">
      <alignment vertical="center"/>
    </xf>
    <xf numFmtId="38" fontId="25" fillId="0" borderId="1" xfId="10" applyNumberFormat="1" applyFont="1" applyBorder="1" applyAlignment="1">
      <alignment horizontal="right" vertical="center"/>
    </xf>
    <xf numFmtId="167" fontId="25" fillId="0" borderId="0" xfId="21" applyNumberFormat="1" applyFont="1" applyAlignment="1">
      <alignment horizontal="left" vertical="center"/>
    </xf>
    <xf numFmtId="166" fontId="3" fillId="0" borderId="0" xfId="10" applyNumberFormat="1" applyFont="1" applyAlignment="1">
      <alignment vertical="center"/>
    </xf>
    <xf numFmtId="166" fontId="16" fillId="0" borderId="0" xfId="21" applyNumberFormat="1" applyFont="1" applyAlignment="1">
      <alignment vertical="center"/>
    </xf>
    <xf numFmtId="169" fontId="16" fillId="0" borderId="0" xfId="22" applyFont="1" applyFill="1" applyAlignment="1">
      <alignment vertical="center"/>
    </xf>
    <xf numFmtId="169" fontId="16" fillId="0" borderId="0" xfId="22" applyFont="1" applyFill="1" applyAlignment="1">
      <alignment horizontal="right" vertical="center"/>
    </xf>
    <xf numFmtId="0" fontId="13" fillId="0" borderId="0" xfId="21" applyFont="1" applyAlignment="1">
      <alignment horizontal="left" vertical="center"/>
    </xf>
    <xf numFmtId="0" fontId="55" fillId="0" borderId="0" xfId="10" quotePrefix="1" applyFont="1" applyAlignment="1">
      <alignment horizontal="centerContinuous" vertical="center"/>
    </xf>
    <xf numFmtId="166" fontId="3" fillId="0" borderId="159" xfId="10" applyNumberFormat="1" applyFont="1" applyBorder="1" applyAlignment="1">
      <alignment horizontal="center" vertical="center"/>
    </xf>
    <xf numFmtId="166" fontId="25" fillId="0" borderId="128" xfId="10" applyNumberFormat="1" applyFont="1" applyBorder="1" applyAlignment="1">
      <alignment horizontal="center" vertical="center"/>
    </xf>
    <xf numFmtId="166" fontId="25" fillId="0" borderId="130" xfId="10" applyNumberFormat="1" applyFont="1" applyBorder="1" applyAlignment="1">
      <alignment horizontal="center" vertical="center"/>
    </xf>
    <xf numFmtId="166" fontId="25" fillId="0" borderId="129" xfId="10" applyNumberFormat="1" applyFont="1" applyBorder="1" applyAlignment="1">
      <alignment horizontal="center" vertical="center"/>
    </xf>
    <xf numFmtId="166" fontId="25" fillId="0" borderId="131" xfId="10" applyNumberFormat="1" applyFont="1" applyBorder="1" applyAlignment="1">
      <alignment horizontal="center" vertical="center"/>
    </xf>
    <xf numFmtId="176" fontId="25" fillId="0" borderId="128" xfId="10" applyNumberFormat="1" applyFont="1" applyBorder="1" applyAlignment="1">
      <alignment horizontal="center" vertical="center"/>
    </xf>
    <xf numFmtId="168" fontId="25" fillId="0" borderId="132" xfId="10" applyNumberFormat="1" applyFont="1" applyBorder="1" applyAlignment="1">
      <alignment horizontal="center" vertical="center"/>
    </xf>
    <xf numFmtId="168" fontId="25" fillId="0" borderId="133" xfId="10" applyNumberFormat="1" applyFont="1" applyBorder="1" applyAlignment="1">
      <alignment horizontal="center" vertical="center"/>
    </xf>
    <xf numFmtId="166" fontId="3" fillId="0" borderId="136" xfId="10" applyNumberFormat="1" applyFont="1" applyBorder="1" applyAlignment="1">
      <alignment horizontal="center" vertical="center"/>
    </xf>
    <xf numFmtId="166" fontId="3" fillId="0" borderId="137" xfId="10" applyNumberFormat="1" applyFont="1" applyBorder="1" applyAlignment="1">
      <alignment horizontal="center" vertical="center"/>
    </xf>
    <xf numFmtId="166" fontId="3" fillId="0" borderId="138" xfId="10" applyNumberFormat="1" applyFont="1" applyBorder="1" applyAlignment="1">
      <alignment horizontal="center" vertical="center"/>
    </xf>
    <xf numFmtId="168" fontId="3" fillId="0" borderId="105" xfId="10" applyNumberFormat="1" applyFont="1" applyBorder="1" applyAlignment="1">
      <alignment horizontal="center" vertical="center"/>
    </xf>
    <xf numFmtId="168" fontId="3" fillId="0" borderId="139" xfId="10" applyNumberFormat="1" applyFont="1" applyBorder="1" applyAlignment="1">
      <alignment horizontal="left" vertical="center"/>
    </xf>
    <xf numFmtId="178" fontId="3" fillId="0" borderId="136" xfId="1" applyNumberFormat="1" applyFont="1" applyFill="1" applyBorder="1" applyAlignment="1">
      <alignment horizontal="center" vertical="center"/>
    </xf>
    <xf numFmtId="178" fontId="3" fillId="0" borderId="135" xfId="1" applyNumberFormat="1" applyFont="1" applyFill="1" applyBorder="1" applyAlignment="1">
      <alignment horizontal="center" vertical="center"/>
    </xf>
    <xf numFmtId="178" fontId="3" fillId="0" borderId="137" xfId="1" applyNumberFormat="1" applyFont="1" applyFill="1" applyBorder="1" applyAlignment="1">
      <alignment horizontal="center" vertical="center"/>
    </xf>
    <xf numFmtId="178" fontId="3" fillId="0" borderId="138" xfId="1" applyNumberFormat="1" applyFont="1" applyFill="1" applyBorder="1" applyAlignment="1">
      <alignment horizontal="center" vertical="center"/>
    </xf>
    <xf numFmtId="178" fontId="3" fillId="0" borderId="105" xfId="1" applyNumberFormat="1" applyFont="1" applyFill="1" applyBorder="1" applyAlignment="1">
      <alignment horizontal="center" vertical="center"/>
    </xf>
    <xf numFmtId="38" fontId="25" fillId="0" borderId="136" xfId="1" applyNumberFormat="1" applyFont="1" applyFill="1" applyBorder="1" applyAlignment="1">
      <alignment vertical="center"/>
    </xf>
    <xf numFmtId="38" fontId="25" fillId="0" borderId="138" xfId="1" applyNumberFormat="1" applyFont="1" applyFill="1" applyBorder="1" applyAlignment="1">
      <alignment vertical="center"/>
    </xf>
    <xf numFmtId="38" fontId="25" fillId="0" borderId="81" xfId="1" applyNumberFormat="1" applyFont="1" applyFill="1" applyBorder="1" applyAlignment="1">
      <alignment vertical="center"/>
    </xf>
    <xf numFmtId="168" fontId="25" fillId="0" borderId="139" xfId="10" applyNumberFormat="1" applyFont="1" applyBorder="1" applyAlignment="1">
      <alignment horizontal="left" vertical="center"/>
    </xf>
    <xf numFmtId="0" fontId="36" fillId="0" borderId="136" xfId="10" quotePrefix="1" applyFont="1" applyBorder="1" applyAlignment="1">
      <alignment horizontal="center" vertical="center"/>
    </xf>
    <xf numFmtId="166" fontId="36" fillId="0" borderId="135" xfId="10" applyNumberFormat="1" applyFont="1" applyBorder="1" applyAlignment="1">
      <alignment horizontal="center" vertical="center"/>
    </xf>
    <xf numFmtId="38" fontId="36" fillId="0" borderId="137" xfId="1" applyNumberFormat="1" applyFont="1" applyFill="1" applyBorder="1" applyAlignment="1">
      <alignment horizontal="center" vertical="center"/>
    </xf>
    <xf numFmtId="38" fontId="36" fillId="0" borderId="136" xfId="1" applyNumberFormat="1" applyFont="1" applyFill="1" applyBorder="1" applyAlignment="1">
      <alignment vertical="center"/>
    </xf>
    <xf numFmtId="38" fontId="36" fillId="0" borderId="138" xfId="1" applyNumberFormat="1" applyFont="1" applyFill="1" applyBorder="1" applyAlignment="1">
      <alignment vertical="center"/>
    </xf>
    <xf numFmtId="168" fontId="36" fillId="0" borderId="139" xfId="10" applyNumberFormat="1" applyFont="1" applyBorder="1" applyAlignment="1">
      <alignment horizontal="left" vertical="center"/>
    </xf>
    <xf numFmtId="168" fontId="25" fillId="0" borderId="139" xfId="10" quotePrefix="1" applyNumberFormat="1" applyFont="1" applyBorder="1" applyAlignment="1">
      <alignment horizontal="left" vertical="center"/>
    </xf>
    <xf numFmtId="38" fontId="25" fillId="0" borderId="105" xfId="1" applyNumberFormat="1" applyFont="1" applyFill="1" applyBorder="1" applyAlignment="1">
      <alignment vertical="center"/>
    </xf>
    <xf numFmtId="38" fontId="30" fillId="0" borderId="140" xfId="1" applyNumberFormat="1" applyFont="1" applyFill="1" applyBorder="1" applyAlignment="1">
      <alignment vertical="center"/>
    </xf>
    <xf numFmtId="166" fontId="30" fillId="0" borderId="141" xfId="22" applyNumberFormat="1" applyFont="1" applyFill="1" applyBorder="1" applyAlignment="1">
      <alignment horizontal="center" vertical="center"/>
    </xf>
    <xf numFmtId="38" fontId="30" fillId="0" borderId="142" xfId="1" applyNumberFormat="1" applyFont="1" applyFill="1" applyBorder="1" applyAlignment="1">
      <alignment vertical="center"/>
    </xf>
    <xf numFmtId="168" fontId="30" fillId="0" borderId="61" xfId="10" applyNumberFormat="1" applyFont="1" applyBorder="1" applyAlignment="1">
      <alignment horizontal="left" vertical="center"/>
    </xf>
    <xf numFmtId="38" fontId="3" fillId="0" borderId="136" xfId="1" applyNumberFormat="1" applyFont="1" applyFill="1" applyBorder="1" applyAlignment="1">
      <alignment vertical="center"/>
    </xf>
    <xf numFmtId="38" fontId="3" fillId="0" borderId="138" xfId="1" applyNumberFormat="1" applyFont="1" applyFill="1" applyBorder="1" applyAlignment="1">
      <alignment vertical="center"/>
    </xf>
    <xf numFmtId="38" fontId="3" fillId="0" borderId="105" xfId="1" applyNumberFormat="1" applyFont="1" applyFill="1" applyBorder="1" applyAlignment="1">
      <alignment vertical="center"/>
    </xf>
    <xf numFmtId="166" fontId="25" fillId="0" borderId="135" xfId="1" applyNumberFormat="1" applyFont="1" applyFill="1" applyBorder="1" applyAlignment="1">
      <alignment horizontal="center" vertical="center"/>
    </xf>
    <xf numFmtId="168" fontId="25" fillId="0" borderId="139" xfId="10" applyNumberFormat="1" applyFont="1" applyBorder="1" applyAlignment="1">
      <alignment horizontal="left" vertical="center" wrapText="1"/>
    </xf>
    <xf numFmtId="38" fontId="25" fillId="0" borderId="105" xfId="10" applyNumberFormat="1" applyFont="1" applyBorder="1" applyAlignment="1">
      <alignment vertical="center"/>
    </xf>
    <xf numFmtId="38" fontId="3" fillId="0" borderId="105" xfId="22" applyNumberFormat="1" applyFont="1" applyFill="1" applyBorder="1" applyAlignment="1">
      <alignment vertical="center"/>
    </xf>
    <xf numFmtId="168" fontId="25" fillId="0" borderId="139" xfId="10" quotePrefix="1" applyNumberFormat="1" applyFont="1" applyBorder="1" applyAlignment="1">
      <alignment horizontal="left" vertical="center" wrapText="1"/>
    </xf>
    <xf numFmtId="38" fontId="25" fillId="0" borderId="105" xfId="22" applyNumberFormat="1" applyFont="1" applyFill="1" applyBorder="1" applyAlignment="1">
      <alignment vertical="center"/>
    </xf>
    <xf numFmtId="179" fontId="25" fillId="0" borderId="139" xfId="2" applyFont="1" applyFill="1" applyBorder="1" applyAlignment="1">
      <alignment horizontal="left" vertical="center"/>
    </xf>
    <xf numFmtId="176" fontId="30" fillId="0" borderId="141" xfId="22" applyNumberFormat="1" applyFont="1" applyFill="1" applyBorder="1" applyAlignment="1">
      <alignment horizontal="center" vertical="center"/>
    </xf>
    <xf numFmtId="176" fontId="25" fillId="0" borderId="145" xfId="1" applyNumberFormat="1" applyFont="1" applyFill="1" applyBorder="1" applyAlignment="1">
      <alignment horizontal="center" vertical="center"/>
    </xf>
    <xf numFmtId="176" fontId="25" fillId="0" borderId="135" xfId="1" applyNumberFormat="1" applyFont="1" applyFill="1" applyBorder="1" applyAlignment="1">
      <alignment horizontal="center" vertical="center"/>
    </xf>
    <xf numFmtId="38" fontId="30" fillId="0" borderId="15" xfId="1" applyNumberFormat="1" applyFont="1" applyFill="1" applyBorder="1" applyAlignment="1">
      <alignment vertical="center"/>
    </xf>
    <xf numFmtId="0" fontId="25" fillId="0" borderId="84" xfId="10" applyFont="1" applyBorder="1" applyAlignment="1">
      <alignment vertical="center"/>
    </xf>
    <xf numFmtId="0" fontId="25" fillId="0" borderId="160" xfId="10" applyFont="1" applyBorder="1" applyAlignment="1">
      <alignment horizontal="center" vertical="center"/>
    </xf>
    <xf numFmtId="176" fontId="25" fillId="0" borderId="161" xfId="22" applyNumberFormat="1" applyFont="1" applyFill="1" applyBorder="1" applyAlignment="1">
      <alignment horizontal="center" vertical="center"/>
    </xf>
    <xf numFmtId="38" fontId="25" fillId="0" borderId="162" xfId="1" applyNumberFormat="1" applyFont="1" applyFill="1" applyBorder="1" applyAlignment="1">
      <alignment vertical="center"/>
    </xf>
    <xf numFmtId="38" fontId="25" fillId="0" borderId="81" xfId="22" applyNumberFormat="1" applyFont="1" applyFill="1" applyBorder="1" applyAlignment="1">
      <alignment vertical="center"/>
    </xf>
    <xf numFmtId="0" fontId="5" fillId="0" borderId="142" xfId="10" applyFont="1" applyBorder="1" applyAlignment="1">
      <alignment horizontal="center" vertical="center"/>
    </xf>
    <xf numFmtId="166" fontId="30" fillId="0" borderId="163" xfId="22" applyNumberFormat="1" applyFont="1" applyFill="1" applyBorder="1" applyAlignment="1">
      <alignment horizontal="right" vertical="center"/>
    </xf>
    <xf numFmtId="166" fontId="30" fillId="0" borderId="52" xfId="22" applyNumberFormat="1" applyFont="1" applyFill="1" applyBorder="1" applyAlignment="1">
      <alignment horizontal="right" vertical="center"/>
    </xf>
    <xf numFmtId="166" fontId="30" fillId="0" borderId="60" xfId="22" applyNumberFormat="1" applyFont="1" applyFill="1" applyBorder="1" applyAlignment="1">
      <alignment horizontal="right" vertical="center"/>
    </xf>
    <xf numFmtId="38" fontId="5" fillId="0" borderId="164" xfId="10" applyNumberFormat="1" applyFont="1" applyBorder="1" applyAlignment="1">
      <alignment horizontal="right" vertical="center"/>
    </xf>
    <xf numFmtId="166" fontId="30" fillId="0" borderId="165" xfId="22" applyNumberFormat="1" applyFont="1" applyFill="1" applyBorder="1" applyAlignment="1">
      <alignment horizontal="right" vertical="center"/>
    </xf>
    <xf numFmtId="38" fontId="30" fillId="0" borderId="166" xfId="1" applyNumberFormat="1" applyFont="1" applyFill="1" applyBorder="1" applyAlignment="1">
      <alignment vertical="center"/>
    </xf>
    <xf numFmtId="38" fontId="30" fillId="0" borderId="155" xfId="1" applyNumberFormat="1" applyFont="1" applyFill="1" applyBorder="1" applyAlignment="1">
      <alignment vertical="center"/>
    </xf>
    <xf numFmtId="168" fontId="53" fillId="0" borderId="0" xfId="1" applyNumberFormat="1" applyFont="1" applyFill="1" applyAlignment="1">
      <alignment vertical="center"/>
    </xf>
    <xf numFmtId="168" fontId="53" fillId="0" borderId="0" xfId="1" applyNumberFormat="1" applyFont="1" applyFill="1" applyAlignment="1">
      <alignment horizontal="right" vertical="center"/>
    </xf>
    <xf numFmtId="38" fontId="25" fillId="0" borderId="0" xfId="10" applyNumberFormat="1" applyFont="1" applyAlignment="1">
      <alignment horizontal="right" vertical="center"/>
    </xf>
    <xf numFmtId="166" fontId="56" fillId="0" borderId="130" xfId="10" applyNumberFormat="1" applyFont="1" applyBorder="1" applyAlignment="1">
      <alignment horizontal="center" vertical="center"/>
    </xf>
    <xf numFmtId="166" fontId="56" fillId="0" borderId="129" xfId="10" applyNumberFormat="1" applyFont="1" applyBorder="1" applyAlignment="1">
      <alignment horizontal="center" vertical="center"/>
    </xf>
    <xf numFmtId="166" fontId="56" fillId="0" borderId="131" xfId="10" applyNumberFormat="1" applyFont="1" applyBorder="1" applyAlignment="1">
      <alignment horizontal="center" vertical="center"/>
    </xf>
    <xf numFmtId="168" fontId="56" fillId="0" borderId="132" xfId="10" applyNumberFormat="1" applyFont="1" applyBorder="1" applyAlignment="1">
      <alignment horizontal="center" vertical="center"/>
    </xf>
    <xf numFmtId="166" fontId="41" fillId="0" borderId="136" xfId="10" applyNumberFormat="1" applyFont="1" applyBorder="1" applyAlignment="1">
      <alignment horizontal="center" vertical="center"/>
    </xf>
    <xf numFmtId="166" fontId="41" fillId="0" borderId="137" xfId="10" applyNumberFormat="1" applyFont="1" applyBorder="1" applyAlignment="1">
      <alignment horizontal="center" vertical="center"/>
    </xf>
    <xf numFmtId="166" fontId="41" fillId="0" borderId="138" xfId="10" applyNumberFormat="1" applyFont="1" applyBorder="1" applyAlignment="1">
      <alignment horizontal="center" vertical="center"/>
    </xf>
    <xf numFmtId="168" fontId="41" fillId="0" borderId="105" xfId="10" applyNumberFormat="1" applyFont="1" applyBorder="1" applyAlignment="1">
      <alignment horizontal="center" vertical="center"/>
    </xf>
    <xf numFmtId="178" fontId="41" fillId="0" borderId="136" xfId="1" applyNumberFormat="1" applyFont="1" applyFill="1" applyBorder="1" applyAlignment="1">
      <alignment horizontal="center" vertical="center"/>
    </xf>
    <xf numFmtId="178" fontId="41" fillId="0" borderId="135" xfId="1" applyNumberFormat="1" applyFont="1" applyFill="1" applyBorder="1" applyAlignment="1">
      <alignment horizontal="center" vertical="center"/>
    </xf>
    <xf numFmtId="178" fontId="41" fillId="0" borderId="137" xfId="1" applyNumberFormat="1" applyFont="1" applyFill="1" applyBorder="1" applyAlignment="1">
      <alignment horizontal="center" vertical="center"/>
    </xf>
    <xf numFmtId="178" fontId="41" fillId="0" borderId="138" xfId="1" applyNumberFormat="1" applyFont="1" applyFill="1" applyBorder="1" applyAlignment="1">
      <alignment horizontal="center" vertical="center"/>
    </xf>
    <xf numFmtId="178" fontId="41" fillId="0" borderId="105" xfId="1" applyNumberFormat="1" applyFont="1" applyFill="1" applyBorder="1" applyAlignment="1">
      <alignment horizontal="center" vertical="center"/>
    </xf>
    <xf numFmtId="38" fontId="58" fillId="0" borderId="136" xfId="1" applyNumberFormat="1" applyFont="1" applyFill="1" applyBorder="1" applyAlignment="1">
      <alignment vertical="center"/>
    </xf>
    <xf numFmtId="38" fontId="58" fillId="0" borderId="138" xfId="1" applyNumberFormat="1" applyFont="1" applyFill="1" applyBorder="1" applyAlignment="1">
      <alignment vertical="center"/>
    </xf>
    <xf numFmtId="168" fontId="56" fillId="0" borderId="139" xfId="10" quotePrefix="1" applyNumberFormat="1" applyFont="1" applyBorder="1" applyAlignment="1">
      <alignment horizontal="left" vertical="center"/>
    </xf>
    <xf numFmtId="0" fontId="24" fillId="6" borderId="0" xfId="4" applyFont="1" applyFill="1" applyAlignment="1">
      <alignment horizontal="center" vertical="center"/>
    </xf>
    <xf numFmtId="0" fontId="24" fillId="6" borderId="0" xfId="4" applyFont="1" applyFill="1" applyAlignment="1">
      <alignment horizontal="centerContinuous" vertical="center"/>
    </xf>
    <xf numFmtId="0" fontId="39" fillId="0" borderId="0" xfId="4" applyFont="1"/>
    <xf numFmtId="0" fontId="13" fillId="21" borderId="2" xfId="4" applyFont="1" applyFill="1" applyBorder="1" applyAlignment="1">
      <alignment horizontal="center" vertical="center" wrapText="1"/>
    </xf>
    <xf numFmtId="0" fontId="13" fillId="21" borderId="19" xfId="4" applyFont="1" applyFill="1" applyBorder="1" applyAlignment="1">
      <alignment horizontal="center" vertical="center" wrapText="1"/>
    </xf>
    <xf numFmtId="0" fontId="13" fillId="21" borderId="3" xfId="4" applyFont="1" applyFill="1" applyBorder="1" applyAlignment="1">
      <alignment horizontal="center" vertical="center" wrapText="1"/>
    </xf>
    <xf numFmtId="0" fontId="25" fillId="6" borderId="0" xfId="4" applyFont="1" applyFill="1"/>
    <xf numFmtId="0" fontId="26" fillId="6" borderId="0" xfId="4" applyFont="1" applyFill="1" applyAlignment="1">
      <alignment vertical="top"/>
    </xf>
    <xf numFmtId="0" fontId="61" fillId="4" borderId="2" xfId="4" quotePrefix="1" applyFont="1" applyFill="1" applyBorder="1" applyAlignment="1">
      <alignment horizontal="center" vertical="center"/>
    </xf>
    <xf numFmtId="0" fontId="61" fillId="4" borderId="19" xfId="4" quotePrefix="1" applyFont="1" applyFill="1" applyBorder="1" applyAlignment="1">
      <alignment horizontal="center" vertical="center"/>
    </xf>
    <xf numFmtId="0" fontId="61" fillId="4" borderId="3" xfId="4" quotePrefix="1" applyFont="1" applyFill="1" applyBorder="1" applyAlignment="1">
      <alignment horizontal="center" vertical="center"/>
    </xf>
    <xf numFmtId="0" fontId="5" fillId="6" borderId="0" xfId="4" applyFont="1" applyFill="1" applyAlignment="1">
      <alignment horizontal="left" vertical="center" wrapText="1"/>
    </xf>
    <xf numFmtId="0" fontId="25" fillId="6" borderId="0" xfId="4" quotePrefix="1" applyFont="1" applyFill="1" applyAlignment="1">
      <alignment horizontal="center" vertical="center"/>
    </xf>
    <xf numFmtId="0" fontId="25" fillId="6" borderId="0" xfId="4" quotePrefix="1" applyFont="1" applyFill="1" applyAlignment="1">
      <alignment horizontal="left" vertical="center"/>
    </xf>
    <xf numFmtId="0" fontId="5" fillId="6" borderId="0" xfId="4" applyFont="1" applyFill="1" applyAlignment="1">
      <alignment vertical="center" wrapText="1"/>
    </xf>
    <xf numFmtId="0" fontId="25" fillId="6" borderId="0" xfId="4" applyFont="1" applyFill="1" applyAlignment="1">
      <alignment vertical="center"/>
    </xf>
    <xf numFmtId="0" fontId="25" fillId="6" borderId="0" xfId="4" applyFont="1" applyFill="1" applyAlignment="1">
      <alignment horizontal="center" vertical="center"/>
    </xf>
    <xf numFmtId="0" fontId="5" fillId="6" borderId="0" xfId="4" applyFont="1" applyFill="1" applyAlignment="1">
      <alignment horizontal="center" vertical="center" wrapText="1"/>
    </xf>
    <xf numFmtId="14" fontId="25" fillId="6" borderId="0" xfId="4" applyNumberFormat="1" applyFont="1" applyFill="1" applyAlignment="1">
      <alignment vertical="center"/>
    </xf>
    <xf numFmtId="0" fontId="5" fillId="21" borderId="55" xfId="4" applyFont="1" applyFill="1" applyBorder="1" applyAlignment="1">
      <alignment horizontal="center" vertical="center" wrapText="1"/>
    </xf>
    <xf numFmtId="0" fontId="5" fillId="21" borderId="56" xfId="4" applyFont="1" applyFill="1" applyBorder="1" applyAlignment="1">
      <alignment horizontal="center" vertical="center" wrapText="1"/>
    </xf>
    <xf numFmtId="0" fontId="5" fillId="21" borderId="23" xfId="4" applyFont="1" applyFill="1" applyBorder="1" applyAlignment="1">
      <alignment horizontal="center" vertical="center" wrapText="1"/>
    </xf>
    <xf numFmtId="0" fontId="5" fillId="21" borderId="24" xfId="4" applyFont="1" applyFill="1" applyBorder="1" applyAlignment="1">
      <alignment horizontal="center" vertical="center" wrapText="1"/>
    </xf>
    <xf numFmtId="0" fontId="5" fillId="7" borderId="23" xfId="4" applyFont="1" applyFill="1" applyBorder="1" applyAlignment="1">
      <alignment horizontal="center" vertical="center" wrapText="1"/>
    </xf>
    <xf numFmtId="0" fontId="5" fillId="7" borderId="118" xfId="4" applyFont="1" applyFill="1" applyBorder="1" applyAlignment="1">
      <alignment horizontal="center" vertical="center" wrapText="1"/>
    </xf>
    <xf numFmtId="0" fontId="5" fillId="8" borderId="5" xfId="25" applyFont="1" applyFill="1" applyBorder="1" applyAlignment="1">
      <alignment horizontal="center" vertical="center" wrapText="1"/>
    </xf>
    <xf numFmtId="0" fontId="13" fillId="9" borderId="167" xfId="4" applyFont="1" applyFill="1" applyBorder="1" applyAlignment="1">
      <alignment horizontal="center" vertical="center" wrapText="1"/>
    </xf>
    <xf numFmtId="0" fontId="5" fillId="2" borderId="0" xfId="25" applyFont="1" applyFill="1" applyAlignment="1">
      <alignment horizontal="left" vertical="center" wrapText="1"/>
    </xf>
    <xf numFmtId="0" fontId="5" fillId="21" borderId="21" xfId="4" applyFont="1" applyFill="1" applyBorder="1" applyAlignment="1">
      <alignment horizontal="center" vertical="center" wrapText="1"/>
    </xf>
    <xf numFmtId="0" fontId="5" fillId="21" borderId="1" xfId="4" applyFont="1" applyFill="1" applyBorder="1" applyAlignment="1">
      <alignment horizontal="center" vertical="center" wrapText="1"/>
    </xf>
    <xf numFmtId="0" fontId="5" fillId="21" borderId="29" xfId="4" applyFont="1" applyFill="1" applyBorder="1" applyAlignment="1">
      <alignment horizontal="center" vertical="center" wrapText="1"/>
    </xf>
    <xf numFmtId="0" fontId="5" fillId="21" borderId="30" xfId="4" applyFont="1" applyFill="1" applyBorder="1" applyAlignment="1">
      <alignment horizontal="center" vertical="center" wrapText="1"/>
    </xf>
    <xf numFmtId="0" fontId="5" fillId="7" borderId="1" xfId="4" applyFont="1" applyFill="1" applyBorder="1" applyAlignment="1">
      <alignment horizontal="center" vertical="center" wrapText="1"/>
    </xf>
    <xf numFmtId="0" fontId="5" fillId="8" borderId="2" xfId="25" applyFont="1" applyFill="1" applyBorder="1" applyAlignment="1">
      <alignment horizontal="center" vertical="center" wrapText="1"/>
    </xf>
    <xf numFmtId="0" fontId="29" fillId="9" borderId="36" xfId="6" applyFont="1" applyFill="1" applyBorder="1" applyAlignment="1">
      <alignment horizontal="center" vertical="center" wrapText="1"/>
    </xf>
    <xf numFmtId="0" fontId="29" fillId="9" borderId="37" xfId="7" applyFont="1" applyFill="1" applyBorder="1" applyAlignment="1">
      <alignment horizontal="center" vertical="center" wrapText="1"/>
    </xf>
    <xf numFmtId="0" fontId="30" fillId="9" borderId="43" xfId="4" applyFont="1" applyFill="1" applyBorder="1" applyAlignment="1">
      <alignment horizontal="center" vertical="center" wrapText="1"/>
    </xf>
    <xf numFmtId="0" fontId="5" fillId="21" borderId="72" xfId="4" applyFont="1" applyFill="1" applyBorder="1" applyAlignment="1">
      <alignment horizontal="center" vertical="center" wrapText="1"/>
    </xf>
    <xf numFmtId="0" fontId="5" fillId="21" borderId="46" xfId="4" applyFont="1" applyFill="1" applyBorder="1" applyAlignment="1">
      <alignment horizontal="center" vertical="center" wrapText="1"/>
    </xf>
    <xf numFmtId="0" fontId="5" fillId="7" borderId="1" xfId="26" applyFont="1" applyFill="1" applyBorder="1" applyAlignment="1">
      <alignment horizontal="center" vertical="center" wrapText="1"/>
    </xf>
    <xf numFmtId="0" fontId="5" fillId="0" borderId="10" xfId="0" applyFont="1" applyBorder="1" applyAlignment="1">
      <alignment horizontal="left" vertical="center"/>
    </xf>
    <xf numFmtId="0" fontId="5" fillId="0" borderId="49" xfId="0" applyFont="1" applyBorder="1" applyAlignment="1">
      <alignment horizontal="left" vertical="center"/>
    </xf>
    <xf numFmtId="168" fontId="25" fillId="0" borderId="1" xfId="4" applyNumberFormat="1" applyFont="1" applyBorder="1" applyAlignment="1">
      <alignment horizontal="center" vertical="center" wrapText="1"/>
    </xf>
    <xf numFmtId="0" fontId="5" fillId="10" borderId="2" xfId="25" applyFont="1" applyFill="1" applyBorder="1" applyAlignment="1">
      <alignment horizontal="left" vertical="center" wrapText="1"/>
    </xf>
    <xf numFmtId="0" fontId="25" fillId="10" borderId="36" xfId="9" applyFont="1" applyFill="1" applyBorder="1" applyAlignment="1">
      <alignment horizontal="center" vertical="center" wrapText="1"/>
    </xf>
    <xf numFmtId="0" fontId="5" fillId="12" borderId="0" xfId="25" applyFont="1" applyFill="1" applyAlignment="1">
      <alignment horizontal="left" vertical="center" wrapText="1"/>
    </xf>
    <xf numFmtId="0" fontId="17" fillId="0" borderId="10" xfId="0" applyFont="1" applyBorder="1" applyAlignment="1">
      <alignment horizontal="left" vertical="center"/>
    </xf>
    <xf numFmtId="0" fontId="17" fillId="0" borderId="49" xfId="0" applyFont="1" applyBorder="1" applyAlignment="1">
      <alignment horizontal="left" vertical="center"/>
    </xf>
    <xf numFmtId="0" fontId="25" fillId="10" borderId="2" xfId="4" applyFont="1" applyFill="1" applyBorder="1" applyAlignment="1">
      <alignment vertical="center" wrapText="1"/>
    </xf>
    <xf numFmtId="0" fontId="25" fillId="10" borderId="36" xfId="27" applyFont="1" applyFill="1" applyBorder="1" applyAlignment="1">
      <alignment horizontal="center" vertical="center" wrapText="1"/>
    </xf>
    <xf numFmtId="0" fontId="41" fillId="0" borderId="3" xfId="10" applyFont="1" applyBorder="1" applyAlignment="1">
      <alignment horizontal="left" vertical="center"/>
    </xf>
    <xf numFmtId="0" fontId="3" fillId="10" borderId="2" xfId="4" applyFont="1" applyFill="1" applyBorder="1" applyAlignment="1">
      <alignment vertical="center" wrapText="1"/>
    </xf>
    <xf numFmtId="168" fontId="25" fillId="5" borderId="1" xfId="4" applyNumberFormat="1" applyFont="1" applyFill="1" applyBorder="1" applyAlignment="1">
      <alignment horizontal="center" vertical="center" wrapText="1"/>
    </xf>
    <xf numFmtId="0" fontId="25" fillId="5" borderId="1" xfId="4" applyFont="1" applyFill="1" applyBorder="1" applyAlignment="1">
      <alignment horizontal="center" vertical="center" wrapText="1"/>
    </xf>
    <xf numFmtId="168" fontId="3" fillId="0" borderId="1" xfId="4" quotePrefix="1" applyNumberFormat="1" applyFont="1" applyBorder="1" applyAlignment="1">
      <alignment horizontal="center" vertical="center" wrapText="1"/>
    </xf>
    <xf numFmtId="0" fontId="25" fillId="10" borderId="168" xfId="25" quotePrefix="1" applyFont="1" applyFill="1" applyBorder="1" applyAlignment="1">
      <alignment horizontal="left" vertical="center" wrapText="1"/>
    </xf>
    <xf numFmtId="0" fontId="25" fillId="12" borderId="0" xfId="25" quotePrefix="1" applyFont="1" applyFill="1" applyAlignment="1">
      <alignment horizontal="left" vertical="center" wrapText="1"/>
    </xf>
    <xf numFmtId="0" fontId="56" fillId="0" borderId="3" xfId="10" applyFont="1" applyBorder="1" applyAlignment="1">
      <alignment horizontal="left" vertical="center"/>
    </xf>
    <xf numFmtId="0" fontId="3" fillId="5" borderId="1" xfId="28" applyFont="1" applyFill="1" applyBorder="1" applyAlignment="1">
      <alignment horizontal="center" vertical="center" wrapText="1"/>
    </xf>
    <xf numFmtId="168" fontId="3" fillId="0" borderId="3" xfId="4" applyNumberFormat="1" applyFont="1" applyBorder="1" applyAlignment="1">
      <alignment horizontal="center" vertical="center" wrapText="1"/>
    </xf>
    <xf numFmtId="168" fontId="3" fillId="5" borderId="1" xfId="4" applyNumberFormat="1" applyFont="1" applyFill="1" applyBorder="1" applyAlignment="1">
      <alignment horizontal="center" vertical="center" wrapText="1"/>
    </xf>
    <xf numFmtId="0" fontId="3" fillId="5" borderId="1" xfId="4" applyFont="1" applyFill="1" applyBorder="1" applyAlignment="1">
      <alignment horizontal="center" vertical="center" wrapText="1"/>
    </xf>
    <xf numFmtId="168" fontId="3" fillId="0" borderId="1" xfId="4" applyNumberFormat="1" applyFont="1" applyBorder="1" applyAlignment="1">
      <alignment horizontal="center" vertical="center" wrapText="1"/>
    </xf>
    <xf numFmtId="0" fontId="3" fillId="4" borderId="1" xfId="4" applyFont="1" applyFill="1" applyBorder="1" applyAlignment="1">
      <alignment horizontal="center" vertical="center" wrapText="1"/>
    </xf>
    <xf numFmtId="0" fontId="25" fillId="10" borderId="19" xfId="25" quotePrefix="1" applyFont="1" applyFill="1" applyBorder="1" applyAlignment="1">
      <alignment horizontal="left" vertical="center" wrapText="1"/>
    </xf>
    <xf numFmtId="168" fontId="25" fillId="4" borderId="1" xfId="4" applyNumberFormat="1" applyFont="1" applyFill="1" applyBorder="1" applyAlignment="1">
      <alignment horizontal="center" vertical="center" wrapText="1"/>
    </xf>
    <xf numFmtId="0" fontId="25" fillId="4" borderId="1" xfId="4" applyFont="1" applyFill="1" applyBorder="1" applyAlignment="1">
      <alignment horizontal="center" vertical="center" wrapText="1"/>
    </xf>
    <xf numFmtId="0" fontId="25" fillId="10" borderId="36" xfId="4" applyFont="1" applyFill="1" applyBorder="1" applyAlignment="1">
      <alignment horizontal="center" vertical="center" wrapText="1"/>
    </xf>
    <xf numFmtId="0" fontId="25" fillId="10" borderId="168" xfId="4" applyFont="1" applyFill="1" applyBorder="1" applyAlignment="1">
      <alignment vertical="center" wrapText="1"/>
    </xf>
    <xf numFmtId="0" fontId="25" fillId="10" borderId="36" xfId="29" applyFont="1" applyFill="1" applyBorder="1" applyAlignment="1">
      <alignment horizontal="center" vertical="center" wrapText="1"/>
    </xf>
    <xf numFmtId="46" fontId="25" fillId="10" borderId="36" xfId="29" quotePrefix="1" applyNumberFormat="1" applyFont="1" applyFill="1" applyBorder="1" applyAlignment="1">
      <alignment horizontal="center" vertical="center" wrapText="1"/>
    </xf>
    <xf numFmtId="0" fontId="32" fillId="4" borderId="1" xfId="4" applyFont="1" applyFill="1" applyBorder="1" applyAlignment="1">
      <alignment horizontal="center" vertical="center" wrapText="1"/>
    </xf>
    <xf numFmtId="174" fontId="25" fillId="4" borderId="1" xfId="4" applyNumberFormat="1" applyFont="1" applyFill="1" applyBorder="1" applyAlignment="1">
      <alignment horizontal="center" vertical="center" wrapText="1"/>
    </xf>
    <xf numFmtId="168" fontId="3" fillId="5" borderId="2" xfId="4" applyNumberFormat="1" applyFont="1" applyFill="1" applyBorder="1" applyAlignment="1">
      <alignment horizontal="center" vertical="center" wrapText="1"/>
    </xf>
    <xf numFmtId="168" fontId="3" fillId="5" borderId="19" xfId="4" applyNumberFormat="1" applyFont="1" applyFill="1" applyBorder="1" applyAlignment="1">
      <alignment horizontal="center" vertical="center" wrapText="1"/>
    </xf>
    <xf numFmtId="168" fontId="3" fillId="5" borderId="3" xfId="4" applyNumberFormat="1" applyFont="1" applyFill="1" applyBorder="1" applyAlignment="1">
      <alignment horizontal="center" vertical="center" wrapText="1"/>
    </xf>
    <xf numFmtId="0" fontId="3" fillId="10" borderId="36" xfId="4" applyFont="1" applyFill="1" applyBorder="1" applyAlignment="1">
      <alignment horizontal="center" vertical="center" wrapText="1"/>
    </xf>
    <xf numFmtId="0" fontId="56" fillId="10" borderId="36" xfId="27" applyFont="1" applyFill="1" applyBorder="1" applyAlignment="1">
      <alignment horizontal="center" vertical="center" wrapText="1"/>
    </xf>
    <xf numFmtId="0" fontId="34" fillId="11" borderId="1" xfId="4" applyFont="1" applyFill="1" applyBorder="1" applyAlignment="1">
      <alignment horizontal="center" vertical="center" wrapText="1"/>
    </xf>
    <xf numFmtId="0" fontId="36" fillId="11" borderId="2" xfId="0" applyFont="1" applyFill="1" applyBorder="1" applyAlignment="1">
      <alignment horizontal="center" vertical="center" wrapText="1"/>
    </xf>
    <xf numFmtId="168" fontId="36" fillId="11" borderId="1" xfId="4" applyNumberFormat="1" applyFont="1" applyFill="1" applyBorder="1" applyAlignment="1">
      <alignment horizontal="center" vertical="center" wrapText="1"/>
    </xf>
    <xf numFmtId="0" fontId="35" fillId="11" borderId="1" xfId="4" applyFont="1" applyFill="1" applyBorder="1" applyAlignment="1">
      <alignment vertical="center" wrapText="1"/>
    </xf>
    <xf numFmtId="0" fontId="35" fillId="11" borderId="169" xfId="4" applyFont="1" applyFill="1" applyBorder="1" applyAlignment="1">
      <alignment horizontal="center" vertical="center" wrapText="1"/>
    </xf>
    <xf numFmtId="0" fontId="25" fillId="11" borderId="43" xfId="30" applyFont="1" applyFill="1" applyBorder="1" applyAlignment="1">
      <alignment horizontal="left" vertical="center" wrapText="1"/>
    </xf>
    <xf numFmtId="0" fontId="36" fillId="11" borderId="1" xfId="30" applyFont="1" applyFill="1" applyBorder="1" applyAlignment="1">
      <alignment horizontal="left" vertical="center" wrapText="1"/>
    </xf>
    <xf numFmtId="0" fontId="62" fillId="11" borderId="169" xfId="27" applyFont="1" applyFill="1" applyBorder="1" applyAlignment="1">
      <alignment horizontal="center" vertical="center" wrapText="1"/>
    </xf>
    <xf numFmtId="0" fontId="34" fillId="0" borderId="21" xfId="4" applyFont="1" applyBorder="1" applyAlignment="1">
      <alignment horizontal="center" vertical="center" wrapText="1"/>
    </xf>
    <xf numFmtId="0" fontId="34" fillId="0" borderId="1" xfId="4" applyFont="1" applyBorder="1" applyAlignment="1">
      <alignment horizontal="center" vertical="center" wrapText="1"/>
    </xf>
    <xf numFmtId="0" fontId="36" fillId="0" borderId="2" xfId="0" applyFont="1" applyBorder="1" applyAlignment="1">
      <alignment horizontal="center" vertical="center" wrapText="1"/>
    </xf>
    <xf numFmtId="0" fontId="62" fillId="0" borderId="3" xfId="10" applyFont="1" applyBorder="1" applyAlignment="1">
      <alignment horizontal="left" vertical="center"/>
    </xf>
    <xf numFmtId="0" fontId="36" fillId="0" borderId="1" xfId="4" applyFont="1" applyBorder="1" applyAlignment="1">
      <alignment horizontal="center" vertical="center" wrapText="1"/>
    </xf>
    <xf numFmtId="168" fontId="36" fillId="0" borderId="1" xfId="4" applyNumberFormat="1" applyFont="1" applyBorder="1" applyAlignment="1">
      <alignment horizontal="center" vertical="center" wrapText="1"/>
    </xf>
    <xf numFmtId="46" fontId="25" fillId="10" borderId="2" xfId="31" quotePrefix="1" applyNumberFormat="1" applyFont="1" applyFill="1" applyBorder="1" applyAlignment="1">
      <alignment vertical="center" wrapText="1"/>
    </xf>
    <xf numFmtId="46" fontId="25" fillId="12" borderId="0" xfId="31" quotePrefix="1" applyNumberFormat="1" applyFont="1" applyFill="1" applyAlignment="1">
      <alignment vertical="center" wrapText="1"/>
    </xf>
    <xf numFmtId="168" fontId="30" fillId="5" borderId="2" xfId="4" applyNumberFormat="1" applyFont="1" applyFill="1" applyBorder="1" applyAlignment="1">
      <alignment horizontal="center" vertical="center" wrapText="1"/>
    </xf>
    <xf numFmtId="168" fontId="30" fillId="5" borderId="19" xfId="4" applyNumberFormat="1" applyFont="1" applyFill="1" applyBorder="1" applyAlignment="1">
      <alignment horizontal="center" vertical="center" wrapText="1"/>
    </xf>
    <xf numFmtId="168" fontId="30" fillId="5" borderId="3" xfId="4" applyNumberFormat="1" applyFont="1" applyFill="1" applyBorder="1" applyAlignment="1">
      <alignment horizontal="center" vertical="center" wrapText="1"/>
    </xf>
    <xf numFmtId="0" fontId="25" fillId="10" borderId="43" xfId="32" quotePrefix="1" applyFont="1" applyFill="1" applyBorder="1" applyAlignment="1">
      <alignment horizontal="left" vertical="center" wrapText="1"/>
    </xf>
    <xf numFmtId="0" fontId="25" fillId="0" borderId="10" xfId="0" applyFont="1" applyBorder="1" applyAlignment="1">
      <alignment horizontal="center" vertical="center" wrapText="1"/>
    </xf>
    <xf numFmtId="0" fontId="56" fillId="0" borderId="49" xfId="10" applyFont="1" applyBorder="1" applyAlignment="1">
      <alignment horizontal="left" vertical="center"/>
    </xf>
    <xf numFmtId="0" fontId="25" fillId="6" borderId="1" xfId="27" applyFont="1" applyFill="1" applyBorder="1" applyAlignment="1">
      <alignment horizontal="center" vertical="center" wrapText="1"/>
    </xf>
    <xf numFmtId="0" fontId="25" fillId="0" borderId="1" xfId="27" applyFont="1" applyBorder="1" applyAlignment="1">
      <alignment horizontal="center" vertical="center" wrapText="1"/>
    </xf>
    <xf numFmtId="0" fontId="5" fillId="0" borderId="22" xfId="4" applyFont="1" applyBorder="1" applyAlignment="1">
      <alignment horizontal="center" vertical="center" wrapText="1"/>
    </xf>
    <xf numFmtId="0" fontId="5" fillId="0" borderId="15" xfId="4" applyFont="1" applyBorder="1" applyAlignment="1">
      <alignment horizontal="center" vertical="center" wrapText="1"/>
    </xf>
    <xf numFmtId="0" fontId="5" fillId="0" borderId="16" xfId="0" applyFont="1" applyBorder="1" applyAlignment="1">
      <alignment vertical="center" wrapText="1"/>
    </xf>
    <xf numFmtId="0" fontId="5" fillId="0" borderId="58" xfId="0" applyFont="1" applyBorder="1" applyAlignment="1">
      <alignment vertical="center" wrapText="1"/>
    </xf>
    <xf numFmtId="0" fontId="3" fillId="0" borderId="15" xfId="4" applyFont="1" applyBorder="1" applyAlignment="1">
      <alignment horizontal="center" vertical="center" wrapText="1"/>
    </xf>
    <xf numFmtId="168" fontId="5" fillId="0" borderId="15" xfId="4" applyNumberFormat="1" applyFont="1" applyBorder="1" applyAlignment="1">
      <alignment horizontal="center" vertical="center" wrapText="1"/>
    </xf>
    <xf numFmtId="168" fontId="5" fillId="0" borderId="58" xfId="4" applyNumberFormat="1" applyFont="1" applyBorder="1" applyAlignment="1">
      <alignment horizontal="center" vertical="center" wrapText="1"/>
    </xf>
    <xf numFmtId="0" fontId="5" fillId="10" borderId="16" xfId="25" applyFont="1" applyFill="1" applyBorder="1" applyAlignment="1">
      <alignment horizontal="left" vertical="center" wrapText="1"/>
    </xf>
    <xf numFmtId="0" fontId="25" fillId="10" borderId="141" xfId="27" applyFont="1" applyFill="1" applyBorder="1" applyAlignment="1">
      <alignment horizontal="center" vertical="center" wrapText="1"/>
    </xf>
    <xf numFmtId="0" fontId="3" fillId="10" borderId="53" xfId="4" applyFont="1" applyFill="1" applyBorder="1" applyAlignment="1">
      <alignment vertical="center" wrapText="1"/>
    </xf>
    <xf numFmtId="0" fontId="63" fillId="0" borderId="0" xfId="18" applyFont="1" applyAlignment="1">
      <alignment horizontal="centerContinuous"/>
    </xf>
    <xf numFmtId="0" fontId="64" fillId="0" borderId="0" xfId="18" applyFont="1" applyAlignment="1">
      <alignment horizontal="centerContinuous"/>
    </xf>
    <xf numFmtId="0" fontId="65" fillId="0" borderId="0" xfId="0" applyFont="1" applyAlignment="1">
      <alignment horizontal="centerContinuous" wrapText="1"/>
    </xf>
    <xf numFmtId="0" fontId="65" fillId="0" borderId="0" xfId="0" applyFont="1" applyAlignment="1">
      <alignment horizontal="centerContinuous"/>
    </xf>
    <xf numFmtId="0" fontId="41" fillId="5" borderId="1" xfId="18" applyFont="1" applyFill="1" applyBorder="1"/>
    <xf numFmtId="0" fontId="41" fillId="0" borderId="0" xfId="18" applyFont="1" applyAlignment="1">
      <alignment vertical="center"/>
    </xf>
    <xf numFmtId="0" fontId="41" fillId="13" borderId="1" xfId="18" applyFont="1" applyFill="1" applyBorder="1"/>
    <xf numFmtId="0" fontId="13" fillId="7" borderId="5" xfId="4" applyFont="1" applyFill="1" applyBorder="1" applyAlignment="1">
      <alignment horizontal="center" vertical="center" wrapText="1"/>
    </xf>
    <xf numFmtId="0" fontId="30" fillId="0" borderId="21" xfId="0" applyFont="1" applyBorder="1" applyAlignment="1">
      <alignment horizontal="center" vertical="center" wrapText="1"/>
    </xf>
    <xf numFmtId="0" fontId="30" fillId="0" borderId="2"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19"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2" xfId="0" applyFont="1" applyBorder="1" applyAlignment="1">
      <alignment horizontal="center" vertical="center" wrapText="1"/>
    </xf>
    <xf numFmtId="0" fontId="66" fillId="18" borderId="1" xfId="0" applyFont="1" applyFill="1" applyBorder="1" applyAlignment="1">
      <alignment horizontal="center" vertical="center" wrapText="1"/>
    </xf>
    <xf numFmtId="0" fontId="30" fillId="0" borderId="9" xfId="0" applyFont="1" applyBorder="1" applyAlignment="1">
      <alignment horizontal="center" vertical="center" wrapText="1"/>
    </xf>
    <xf numFmtId="0" fontId="30" fillId="0" borderId="1" xfId="0" applyFont="1" applyBorder="1" applyAlignment="1">
      <alignment horizontal="left" vertical="center" wrapText="1"/>
    </xf>
    <xf numFmtId="9" fontId="25" fillId="14" borderId="1" xfId="0" quotePrefix="1" applyNumberFormat="1" applyFont="1" applyFill="1" applyBorder="1" applyAlignment="1">
      <alignment horizontal="center" vertical="center" wrapText="1"/>
    </xf>
    <xf numFmtId="0" fontId="3" fillId="13" borderId="1" xfId="18" applyFont="1" applyFill="1" applyBorder="1" applyAlignment="1">
      <alignment horizontal="center" vertical="center"/>
    </xf>
    <xf numFmtId="169" fontId="67" fillId="0" borderId="11" xfId="1" applyFont="1" applyBorder="1" applyAlignment="1">
      <alignment horizontal="center" vertical="center" wrapText="1"/>
    </xf>
    <xf numFmtId="0" fontId="30" fillId="0" borderId="9" xfId="4" applyFont="1" applyBorder="1" applyAlignment="1">
      <alignment horizontal="center" vertical="center" wrapText="1"/>
    </xf>
    <xf numFmtId="0" fontId="6" fillId="0" borderId="11" xfId="0" applyFont="1" applyBorder="1" applyAlignment="1">
      <alignment horizontal="left" vertical="center" wrapText="1"/>
    </xf>
    <xf numFmtId="170" fontId="25" fillId="18" borderId="1" xfId="10" applyNumberFormat="1" applyFont="1" applyFill="1" applyBorder="1" applyAlignment="1">
      <alignment horizontal="left" vertical="center" wrapText="1"/>
    </xf>
    <xf numFmtId="0" fontId="3" fillId="18"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30" fillId="0" borderId="31" xfId="0" applyFont="1" applyBorder="1" applyAlignment="1">
      <alignment horizontal="center" vertical="center" wrapText="1"/>
    </xf>
    <xf numFmtId="169" fontId="67" fillId="0" borderId="44" xfId="1" applyFont="1" applyBorder="1" applyAlignment="1">
      <alignment horizontal="center" vertical="center" wrapText="1"/>
    </xf>
    <xf numFmtId="0" fontId="30" fillId="0" borderId="31" xfId="4" applyFont="1" applyBorder="1" applyAlignment="1">
      <alignment horizontal="center" vertical="center" wrapText="1"/>
    </xf>
    <xf numFmtId="0" fontId="6" fillId="0" borderId="32" xfId="0" applyFont="1" applyBorder="1" applyAlignment="1">
      <alignment horizontal="left" vertical="center" wrapText="1"/>
    </xf>
    <xf numFmtId="0" fontId="3" fillId="18" borderId="31" xfId="0" applyFont="1" applyFill="1" applyBorder="1" applyAlignment="1">
      <alignment horizontal="center" vertical="center" wrapText="1"/>
    </xf>
    <xf numFmtId="0" fontId="3" fillId="0" borderId="31" xfId="0" applyFont="1" applyBorder="1" applyAlignment="1">
      <alignment horizontal="center" vertical="center" wrapText="1"/>
    </xf>
    <xf numFmtId="170" fontId="25" fillId="0" borderId="32" xfId="10" applyNumberFormat="1" applyFont="1" applyBorder="1" applyAlignment="1">
      <alignment horizontal="left" vertical="center" wrapText="1"/>
    </xf>
    <xf numFmtId="0" fontId="30" fillId="0" borderId="1" xfId="0" applyFont="1" applyBorder="1" applyAlignment="1">
      <alignment vertical="center" wrapText="1"/>
    </xf>
    <xf numFmtId="0" fontId="41" fillId="13" borderId="1" xfId="18" applyFont="1" applyFill="1" applyBorder="1" applyAlignment="1">
      <alignment horizontal="center" vertical="center"/>
    </xf>
    <xf numFmtId="169" fontId="6" fillId="0" borderId="11" xfId="1" applyFont="1" applyFill="1" applyBorder="1" applyAlignment="1">
      <alignment horizontal="left" vertical="center" wrapText="1"/>
    </xf>
    <xf numFmtId="0" fontId="3" fillId="18" borderId="1" xfId="0" applyFont="1" applyFill="1" applyBorder="1" applyAlignment="1">
      <alignment horizontal="center" vertical="center" wrapText="1"/>
    </xf>
    <xf numFmtId="170" fontId="56" fillId="0" borderId="1" xfId="10" applyNumberFormat="1" applyFont="1" applyBorder="1" applyAlignment="1">
      <alignment horizontal="left" vertical="center" wrapText="1"/>
    </xf>
    <xf numFmtId="170" fontId="56" fillId="18" borderId="1" xfId="10" applyNumberFormat="1" applyFont="1" applyFill="1" applyBorder="1" applyAlignment="1">
      <alignment horizontal="left" vertical="center" wrapText="1"/>
    </xf>
    <xf numFmtId="169" fontId="6" fillId="0" borderId="32" xfId="1" applyFont="1" applyFill="1" applyBorder="1" applyAlignment="1">
      <alignment horizontal="left" vertical="center" wrapText="1"/>
    </xf>
    <xf numFmtId="0" fontId="30" fillId="0" borderId="47" xfId="0" applyFont="1" applyBorder="1" applyAlignment="1">
      <alignment horizontal="center" vertical="center" wrapText="1"/>
    </xf>
    <xf numFmtId="169" fontId="6" fillId="0" borderId="44" xfId="1" applyFont="1" applyFill="1" applyBorder="1" applyAlignment="1">
      <alignment horizontal="left" vertical="center" wrapText="1"/>
    </xf>
    <xf numFmtId="0" fontId="30" fillId="0" borderId="9" xfId="4" applyFont="1" applyBorder="1" applyAlignment="1">
      <alignment horizontal="left" vertical="center" wrapText="1"/>
    </xf>
    <xf numFmtId="9" fontId="25" fillId="5" borderId="1" xfId="0" quotePrefix="1" applyNumberFormat="1" applyFont="1" applyFill="1" applyBorder="1" applyAlignment="1">
      <alignment horizontal="center" vertical="center" wrapText="1"/>
    </xf>
    <xf numFmtId="0" fontId="25" fillId="6" borderId="2" xfId="0" applyFont="1" applyFill="1" applyBorder="1" applyAlignment="1">
      <alignment horizontal="left" vertical="center" wrapText="1"/>
    </xf>
    <xf numFmtId="0" fontId="30" fillId="0" borderId="31" xfId="4" applyFont="1" applyBorder="1" applyAlignment="1">
      <alignment horizontal="left" vertical="center" wrapText="1"/>
    </xf>
    <xf numFmtId="0" fontId="25" fillId="5" borderId="1" xfId="0" applyFont="1" applyFill="1" applyBorder="1" applyAlignment="1">
      <alignment horizontal="center" vertical="center" wrapText="1"/>
    </xf>
    <xf numFmtId="0" fontId="3" fillId="18" borderId="47" xfId="0" applyFont="1" applyFill="1" applyBorder="1" applyAlignment="1">
      <alignment horizontal="center" vertical="center" wrapText="1"/>
    </xf>
    <xf numFmtId="0" fontId="3" fillId="0" borderId="47" xfId="0" applyFont="1" applyBorder="1" applyAlignment="1">
      <alignment horizontal="center" vertical="center" wrapText="1"/>
    </xf>
    <xf numFmtId="0" fontId="30" fillId="0" borderId="47" xfId="4" applyFont="1" applyBorder="1" applyAlignment="1">
      <alignment horizontal="left" vertical="center" wrapText="1"/>
    </xf>
    <xf numFmtId="0" fontId="25" fillId="18" borderId="1" xfId="0" applyFont="1" applyFill="1" applyBorder="1" applyAlignment="1">
      <alignment horizontal="center" vertical="center" wrapText="1"/>
    </xf>
    <xf numFmtId="170" fontId="25" fillId="18" borderId="1" xfId="10" applyNumberFormat="1" applyFont="1" applyFill="1" applyBorder="1" applyAlignment="1">
      <alignment vertical="center" wrapText="1"/>
    </xf>
    <xf numFmtId="170" fontId="56" fillId="0" borderId="1" xfId="10" applyNumberFormat="1" applyFont="1" applyBorder="1" applyAlignment="1">
      <alignment vertical="center" wrapText="1"/>
    </xf>
    <xf numFmtId="0" fontId="3" fillId="0" borderId="11" xfId="0" applyFont="1" applyBorder="1" applyAlignment="1">
      <alignment horizontal="left" vertical="center" wrapText="1"/>
    </xf>
    <xf numFmtId="0" fontId="30" fillId="0" borderId="47" xfId="4" applyFont="1" applyBorder="1" applyAlignment="1">
      <alignment horizontal="center" vertical="center" wrapText="1"/>
    </xf>
    <xf numFmtId="0" fontId="6" fillId="0" borderId="44" xfId="0" applyFont="1" applyBorder="1" applyAlignment="1">
      <alignment horizontal="left" vertical="center" wrapText="1"/>
    </xf>
    <xf numFmtId="0" fontId="3" fillId="0" borderId="32" xfId="0" applyFont="1" applyBorder="1" applyAlignment="1">
      <alignment horizontal="left" vertical="center" wrapText="1"/>
    </xf>
    <xf numFmtId="0" fontId="3" fillId="0" borderId="44" xfId="0" applyFont="1" applyBorder="1" applyAlignment="1">
      <alignment horizontal="left" vertical="center" wrapText="1"/>
    </xf>
    <xf numFmtId="170" fontId="25" fillId="18" borderId="9" xfId="10" applyNumberFormat="1" applyFont="1" applyFill="1" applyBorder="1" applyAlignment="1">
      <alignment vertical="center" wrapText="1"/>
    </xf>
    <xf numFmtId="170" fontId="25" fillId="0" borderId="9" xfId="10" applyNumberFormat="1" applyFont="1" applyBorder="1" applyAlignment="1">
      <alignment horizontal="left" vertical="center" wrapText="1"/>
    </xf>
    <xf numFmtId="0" fontId="3" fillId="5" borderId="9" xfId="0" applyFont="1" applyFill="1" applyBorder="1" applyAlignment="1">
      <alignment horizontal="center" vertical="center" wrapText="1"/>
    </xf>
    <xf numFmtId="170" fontId="25" fillId="0" borderId="31" xfId="10" applyNumberFormat="1" applyFont="1" applyBorder="1" applyAlignment="1">
      <alignment horizontal="left" vertical="center" wrapText="1"/>
    </xf>
    <xf numFmtId="0" fontId="3" fillId="5" borderId="31" xfId="0" applyFont="1" applyFill="1" applyBorder="1" applyAlignment="1">
      <alignment horizontal="center" vertical="center" wrapText="1"/>
    </xf>
    <xf numFmtId="170" fontId="25" fillId="0" borderId="47" xfId="10" applyNumberFormat="1" applyFont="1" applyBorder="1" applyAlignment="1">
      <alignment horizontal="left" vertical="center" wrapText="1"/>
    </xf>
    <xf numFmtId="0" fontId="3" fillId="5" borderId="47" xfId="0" applyFont="1" applyFill="1" applyBorder="1" applyAlignment="1">
      <alignment horizontal="center" vertical="center" wrapText="1"/>
    </xf>
    <xf numFmtId="0" fontId="25" fillId="18" borderId="9" xfId="10" applyFont="1" applyFill="1" applyBorder="1" applyAlignment="1">
      <alignment horizontal="left" vertical="center" wrapText="1"/>
    </xf>
    <xf numFmtId="0" fontId="3" fillId="18" borderId="9" xfId="0" applyFont="1" applyFill="1" applyBorder="1" applyAlignment="1">
      <alignment horizontal="center" vertical="center" wrapText="1"/>
    </xf>
    <xf numFmtId="0" fontId="3" fillId="0" borderId="11" xfId="0" quotePrefix="1" applyFont="1" applyBorder="1" applyAlignment="1">
      <alignment vertical="center" wrapText="1"/>
    </xf>
    <xf numFmtId="9" fontId="3" fillId="14" borderId="9" xfId="0" applyNumberFormat="1" applyFont="1" applyFill="1" applyBorder="1" applyAlignment="1">
      <alignment horizontal="center" vertical="center" wrapText="1"/>
    </xf>
    <xf numFmtId="9" fontId="3" fillId="5" borderId="9" xfId="0" applyNumberFormat="1" applyFont="1" applyFill="1" applyBorder="1" applyAlignment="1">
      <alignment horizontal="center" vertical="center" wrapText="1"/>
    </xf>
    <xf numFmtId="0" fontId="3" fillId="22" borderId="9" xfId="0" applyFont="1" applyFill="1" applyBorder="1" applyAlignment="1">
      <alignment horizontal="center" vertical="center" wrapText="1"/>
    </xf>
    <xf numFmtId="0" fontId="3" fillId="18" borderId="9" xfId="0" applyFont="1" applyFill="1" applyBorder="1" applyAlignment="1">
      <alignment horizontal="left" vertical="center" wrapText="1"/>
    </xf>
    <xf numFmtId="0" fontId="5" fillId="0" borderId="9" xfId="0" applyFont="1" applyBorder="1" applyAlignment="1">
      <alignment horizontal="center" vertical="center" wrapText="1"/>
    </xf>
    <xf numFmtId="0" fontId="30" fillId="6" borderId="9" xfId="0" applyFont="1" applyFill="1" applyBorder="1" applyAlignment="1">
      <alignment horizontal="center" vertical="center" wrapText="1"/>
    </xf>
    <xf numFmtId="0" fontId="41" fillId="0" borderId="1" xfId="18" applyFont="1" applyBorder="1" applyAlignment="1">
      <alignment horizontal="center" vertical="center"/>
    </xf>
    <xf numFmtId="0" fontId="30" fillId="6" borderId="31" xfId="0" applyFont="1" applyFill="1" applyBorder="1" applyAlignment="1">
      <alignment horizontal="center" vertical="center" wrapText="1"/>
    </xf>
    <xf numFmtId="0" fontId="30" fillId="6" borderId="47" xfId="0" applyFont="1" applyFill="1" applyBorder="1" applyAlignment="1">
      <alignment horizontal="center" vertical="center" wrapText="1"/>
    </xf>
    <xf numFmtId="0" fontId="41" fillId="5" borderId="1" xfId="18" applyFont="1" applyFill="1" applyBorder="1" applyAlignment="1">
      <alignment horizontal="center" vertical="center"/>
    </xf>
    <xf numFmtId="0" fontId="5" fillId="0" borderId="9" xfId="0" applyFont="1" applyBorder="1" applyAlignment="1">
      <alignment horizontal="center" vertical="center" wrapText="1"/>
    </xf>
    <xf numFmtId="0" fontId="3" fillId="22" borderId="1" xfId="0" applyFont="1" applyFill="1" applyBorder="1" applyAlignment="1">
      <alignment horizontal="center" vertical="center" wrapText="1"/>
    </xf>
    <xf numFmtId="0" fontId="5" fillId="0" borderId="47" xfId="0" applyFont="1" applyBorder="1" applyAlignment="1">
      <alignment horizontal="center" vertical="center" wrapText="1"/>
    </xf>
    <xf numFmtId="0" fontId="25" fillId="6" borderId="10" xfId="0" applyFont="1" applyFill="1" applyBorder="1" applyAlignment="1">
      <alignment horizontal="left" vertical="center" wrapText="1"/>
    </xf>
    <xf numFmtId="0" fontId="68" fillId="0" borderId="9" xfId="0" applyFont="1" applyBorder="1" applyAlignment="1">
      <alignment horizontal="center" vertical="center" wrapText="1"/>
    </xf>
    <xf numFmtId="0" fontId="34" fillId="2" borderId="9" xfId="0" applyFont="1" applyFill="1" applyBorder="1" applyAlignment="1">
      <alignment horizontal="center" vertical="center" wrapText="1"/>
    </xf>
    <xf numFmtId="0" fontId="36" fillId="2" borderId="1" xfId="0" quotePrefix="1" applyFont="1" applyFill="1" applyBorder="1" applyAlignment="1">
      <alignment horizontal="left" vertical="center" wrapText="1"/>
    </xf>
    <xf numFmtId="0" fontId="36" fillId="2" borderId="1" xfId="0" applyFont="1" applyFill="1" applyBorder="1" applyAlignment="1">
      <alignment horizontal="center" vertical="center" wrapText="1"/>
    </xf>
    <xf numFmtId="9" fontId="36" fillId="2" borderId="1" xfId="0" quotePrefix="1" applyNumberFormat="1" applyFont="1" applyFill="1" applyBorder="1" applyAlignment="1">
      <alignment horizontal="center" vertical="center" wrapText="1"/>
    </xf>
    <xf numFmtId="0" fontId="35" fillId="2" borderId="1" xfId="0" applyFont="1" applyFill="1" applyBorder="1" applyAlignment="1">
      <alignment horizontal="center" vertical="center" wrapText="1"/>
    </xf>
    <xf numFmtId="0" fontId="69" fillId="2" borderId="1" xfId="18" applyFont="1" applyFill="1" applyBorder="1" applyAlignment="1">
      <alignment horizontal="center" vertical="center"/>
    </xf>
    <xf numFmtId="0" fontId="35" fillId="2" borderId="9" xfId="0" applyFont="1" applyFill="1" applyBorder="1" applyAlignment="1">
      <alignment horizontal="center" vertical="center" wrapText="1"/>
    </xf>
    <xf numFmtId="0" fontId="25" fillId="2" borderId="11" xfId="0" applyFont="1" applyFill="1" applyBorder="1" applyAlignment="1">
      <alignment horizontal="left" vertical="center" wrapText="1"/>
    </xf>
    <xf numFmtId="0" fontId="34" fillId="2" borderId="31" xfId="0" applyFont="1" applyFill="1" applyBorder="1" applyAlignment="1">
      <alignment horizontal="center" vertical="center" wrapText="1"/>
    </xf>
    <xf numFmtId="0" fontId="34" fillId="2" borderId="47" xfId="0" applyFont="1" applyFill="1" applyBorder="1" applyAlignment="1">
      <alignment horizontal="center" vertical="center" wrapText="1"/>
    </xf>
    <xf numFmtId="0" fontId="3" fillId="0" borderId="48" xfId="0" applyFont="1" applyBorder="1" applyAlignment="1">
      <alignment horizontal="center" vertical="center" wrapText="1"/>
    </xf>
    <xf numFmtId="170" fontId="25" fillId="0" borderId="9" xfId="10" applyNumberFormat="1" applyFont="1" applyBorder="1" applyAlignment="1">
      <alignment vertical="center" wrapText="1"/>
    </xf>
    <xf numFmtId="0" fontId="30" fillId="0" borderId="9" xfId="0" applyFont="1" applyBorder="1" applyAlignment="1">
      <alignment horizontal="center" vertical="center" wrapText="1"/>
    </xf>
    <xf numFmtId="0" fontId="30" fillId="0" borderId="46" xfId="4" applyFont="1" applyBorder="1" applyAlignment="1">
      <alignment horizontal="center" vertical="center" wrapText="1"/>
    </xf>
    <xf numFmtId="0" fontId="25" fillId="6" borderId="16" xfId="0" applyFont="1" applyFill="1" applyBorder="1" applyAlignment="1">
      <alignment horizontal="left" vertical="center" wrapText="1"/>
    </xf>
    <xf numFmtId="0" fontId="25" fillId="6" borderId="58" xfId="27" applyFont="1" applyFill="1" applyBorder="1" applyAlignment="1">
      <alignment vertical="center" wrapText="1"/>
    </xf>
    <xf numFmtId="0" fontId="3" fillId="23" borderId="21" xfId="0" applyFont="1" applyFill="1" applyBorder="1" applyAlignment="1">
      <alignment horizontal="center" vertical="center" wrapText="1"/>
    </xf>
    <xf numFmtId="0" fontId="5" fillId="23" borderId="9" xfId="0" applyFont="1" applyFill="1" applyBorder="1" applyAlignment="1">
      <alignment horizontal="left" vertical="center" wrapText="1"/>
    </xf>
    <xf numFmtId="0" fontId="5" fillId="23" borderId="31" xfId="0" applyFont="1" applyFill="1" applyBorder="1" applyAlignment="1">
      <alignment horizontal="left" vertical="center" wrapText="1"/>
    </xf>
    <xf numFmtId="0" fontId="5" fillId="23" borderId="47" xfId="0" applyFont="1" applyFill="1" applyBorder="1" applyAlignment="1">
      <alignment horizontal="left" vertical="center" wrapText="1"/>
    </xf>
    <xf numFmtId="0" fontId="3" fillId="23" borderId="1" xfId="0" applyFont="1" applyFill="1" applyBorder="1" applyAlignment="1">
      <alignment horizontal="left" vertical="center" wrapText="1"/>
    </xf>
    <xf numFmtId="0" fontId="25" fillId="23" borderId="1" xfId="10" applyFont="1" applyFill="1" applyBorder="1" applyAlignment="1">
      <alignment horizontal="left" vertical="center" wrapText="1"/>
    </xf>
    <xf numFmtId="0" fontId="25" fillId="23" borderId="1" xfId="10" applyFont="1" applyFill="1" applyBorder="1" applyAlignment="1">
      <alignment horizontal="left" vertical="center" wrapText="1"/>
    </xf>
    <xf numFmtId="0" fontId="25" fillId="23" borderId="1" xfId="10" quotePrefix="1" applyFont="1" applyFill="1" applyBorder="1" applyAlignment="1">
      <alignment horizontal="left" vertical="center" wrapText="1"/>
    </xf>
    <xf numFmtId="0" fontId="5" fillId="23" borderId="1" xfId="0" applyFont="1" applyFill="1" applyBorder="1" applyAlignment="1">
      <alignment horizontal="left" vertical="center" wrapText="1"/>
    </xf>
    <xf numFmtId="0" fontId="3" fillId="23" borderId="1" xfId="0" quotePrefix="1" applyFont="1" applyFill="1" applyBorder="1" applyAlignment="1">
      <alignment horizontal="left" vertical="center" wrapText="1"/>
    </xf>
    <xf numFmtId="0" fontId="3" fillId="23" borderId="1" xfId="0" quotePrefix="1" applyFont="1" applyFill="1" applyBorder="1" applyAlignment="1">
      <alignment horizontal="left" vertical="center" wrapText="1"/>
    </xf>
    <xf numFmtId="0" fontId="3" fillId="23" borderId="1" xfId="0" applyFont="1" applyFill="1" applyBorder="1" applyAlignment="1">
      <alignment horizontal="left" vertical="center" wrapText="1"/>
    </xf>
    <xf numFmtId="0" fontId="25" fillId="23" borderId="1" xfId="10" quotePrefix="1" applyFont="1" applyFill="1" applyBorder="1" applyAlignment="1">
      <alignment horizontal="left" vertical="center" wrapText="1"/>
    </xf>
    <xf numFmtId="0" fontId="3" fillId="23" borderId="9" xfId="0" applyFont="1" applyFill="1" applyBorder="1" applyAlignment="1">
      <alignment horizontal="left" vertical="center" wrapText="1"/>
    </xf>
    <xf numFmtId="0" fontId="3" fillId="23" borderId="1" xfId="0" applyFont="1" applyFill="1" applyBorder="1" applyAlignment="1">
      <alignment vertical="center" wrapText="1"/>
    </xf>
    <xf numFmtId="0" fontId="5" fillId="23" borderId="1" xfId="0" applyFont="1" applyFill="1" applyBorder="1" applyAlignment="1">
      <alignment horizontal="left" vertical="center" wrapText="1"/>
    </xf>
    <xf numFmtId="0" fontId="3" fillId="23" borderId="9" xfId="0" applyFont="1" applyFill="1" applyBorder="1" applyAlignment="1">
      <alignment horizontal="left" vertical="center" wrapText="1"/>
    </xf>
    <xf numFmtId="0" fontId="3" fillId="23" borderId="47" xfId="0" applyFont="1" applyFill="1" applyBorder="1" applyAlignment="1">
      <alignment horizontal="left" vertical="center" wrapText="1"/>
    </xf>
    <xf numFmtId="0" fontId="3" fillId="23" borderId="47" xfId="0" applyFont="1" applyFill="1" applyBorder="1" applyAlignment="1">
      <alignment horizontal="left" vertical="center" wrapText="1"/>
    </xf>
    <xf numFmtId="0" fontId="61" fillId="0" borderId="0" xfId="4" applyFont="1" applyAlignment="1">
      <alignment vertical="center"/>
    </xf>
    <xf numFmtId="0" fontId="19" fillId="0" borderId="0" xfId="4" applyFont="1" applyAlignment="1">
      <alignment wrapText="1"/>
    </xf>
    <xf numFmtId="0" fontId="25" fillId="12" borderId="0" xfId="4" applyFont="1" applyFill="1"/>
    <xf numFmtId="169" fontId="5" fillId="13" borderId="56" xfId="1" applyFont="1" applyFill="1" applyBorder="1" applyAlignment="1" applyProtection="1">
      <alignment vertical="center" wrapText="1"/>
      <protection locked="0"/>
    </xf>
    <xf numFmtId="0" fontId="42" fillId="0" borderId="6" xfId="4" applyFont="1" applyBorder="1" applyAlignment="1">
      <alignment horizontal="left" vertical="center" wrapText="1"/>
    </xf>
    <xf numFmtId="0" fontId="42" fillId="0" borderId="7" xfId="4" applyFont="1" applyBorder="1" applyAlignment="1">
      <alignment horizontal="left" vertical="center" wrapText="1"/>
    </xf>
    <xf numFmtId="0" fontId="42" fillId="0" borderId="0" xfId="4" applyFont="1" applyAlignment="1">
      <alignment horizontal="left" vertical="center" wrapText="1"/>
    </xf>
    <xf numFmtId="0" fontId="25" fillId="12" borderId="0" xfId="4" applyFont="1" applyFill="1" applyAlignment="1">
      <alignment vertical="center"/>
    </xf>
    <xf numFmtId="169" fontId="5" fillId="13" borderId="47" xfId="1" applyFont="1" applyFill="1" applyBorder="1" applyAlignment="1" applyProtection="1">
      <alignment vertical="center" wrapText="1"/>
      <protection locked="0"/>
    </xf>
    <xf numFmtId="169" fontId="5" fillId="13" borderId="1" xfId="1" applyFont="1" applyFill="1" applyBorder="1" applyAlignment="1" applyProtection="1">
      <alignment vertical="center" wrapText="1"/>
      <protection locked="0"/>
    </xf>
    <xf numFmtId="169" fontId="5" fillId="13" borderId="9" xfId="1" applyFont="1" applyFill="1" applyBorder="1" applyAlignment="1" applyProtection="1">
      <alignment vertical="center" wrapText="1"/>
      <protection locked="0"/>
    </xf>
    <xf numFmtId="0" fontId="5" fillId="12" borderId="0" xfId="4" applyFont="1" applyFill="1" applyAlignment="1">
      <alignment vertical="center"/>
    </xf>
    <xf numFmtId="0" fontId="5" fillId="0" borderId="14" xfId="4" applyFont="1" applyBorder="1" applyAlignment="1">
      <alignment horizontal="left" vertical="center" wrapText="1"/>
    </xf>
    <xf numFmtId="169" fontId="5" fillId="13" borderId="15" xfId="1" applyFont="1" applyFill="1" applyBorder="1" applyAlignment="1" applyProtection="1">
      <alignment vertical="center" wrapText="1"/>
      <protection locked="0"/>
    </xf>
    <xf numFmtId="0" fontId="25" fillId="6" borderId="0" xfId="4" applyFont="1" applyFill="1" applyAlignment="1">
      <alignment vertical="center" wrapText="1"/>
    </xf>
    <xf numFmtId="14" fontId="17" fillId="13" borderId="0" xfId="10" applyNumberFormat="1" applyFont="1" applyFill="1" applyAlignment="1">
      <alignment horizontal="right" vertical="center"/>
    </xf>
    <xf numFmtId="0" fontId="5" fillId="21" borderId="65" xfId="4" applyFont="1" applyFill="1" applyBorder="1" applyAlignment="1">
      <alignment horizontal="center" vertical="center" wrapText="1"/>
    </xf>
    <xf numFmtId="0" fontId="5" fillId="21" borderId="73" xfId="4" applyFont="1" applyFill="1" applyBorder="1" applyAlignment="1">
      <alignment horizontal="center" vertical="center" wrapText="1"/>
    </xf>
    <xf numFmtId="0" fontId="30" fillId="21" borderId="73" xfId="4" applyFont="1" applyFill="1" applyBorder="1" applyAlignment="1">
      <alignment horizontal="center" vertical="center" wrapText="1"/>
    </xf>
    <xf numFmtId="0" fontId="5" fillId="20" borderId="18" xfId="4" applyFont="1" applyFill="1" applyBorder="1" applyAlignment="1">
      <alignment horizontal="center" vertical="center" wrapText="1"/>
    </xf>
    <xf numFmtId="0" fontId="5" fillId="20" borderId="30" xfId="4" applyFont="1" applyFill="1" applyBorder="1" applyAlignment="1">
      <alignment horizontal="center" vertical="center" wrapText="1"/>
    </xf>
    <xf numFmtId="0" fontId="5" fillId="20" borderId="0" xfId="4" applyFont="1" applyFill="1" applyAlignment="1">
      <alignment horizontal="center" vertical="center" wrapText="1"/>
    </xf>
    <xf numFmtId="0" fontId="5" fillId="20" borderId="31" xfId="4" applyFont="1" applyFill="1" applyBorder="1" applyAlignment="1">
      <alignment horizontal="center" vertical="center" wrapText="1"/>
    </xf>
    <xf numFmtId="0" fontId="5" fillId="20" borderId="29" xfId="4" applyFont="1" applyFill="1" applyBorder="1" applyAlignment="1">
      <alignment horizontal="center" vertical="center" wrapText="1"/>
    </xf>
    <xf numFmtId="0" fontId="5" fillId="8" borderId="73" xfId="26" applyFont="1" applyFill="1" applyBorder="1" applyAlignment="1">
      <alignment horizontal="center" vertical="center" wrapText="1"/>
    </xf>
    <xf numFmtId="0" fontId="5" fillId="8" borderId="1" xfId="26" applyFont="1" applyFill="1" applyBorder="1" applyAlignment="1">
      <alignment horizontal="center" vertical="center" wrapText="1"/>
    </xf>
    <xf numFmtId="0" fontId="5" fillId="9" borderId="70" xfId="4" applyFont="1" applyFill="1" applyBorder="1" applyAlignment="1">
      <alignment horizontal="center" vertical="center" wrapText="1"/>
    </xf>
    <xf numFmtId="0" fontId="3" fillId="0" borderId="76" xfId="0" applyFont="1" applyBorder="1" applyAlignment="1">
      <alignment horizontal="center" vertical="center" wrapText="1"/>
    </xf>
    <xf numFmtId="0" fontId="3" fillId="0" borderId="77" xfId="0" applyFont="1" applyBorder="1" applyAlignment="1">
      <alignment horizontal="left" vertical="center" wrapText="1"/>
    </xf>
    <xf numFmtId="0" fontId="3" fillId="0" borderId="75" xfId="4" applyFont="1" applyBorder="1" applyAlignment="1" applyProtection="1">
      <alignment horizontal="center" vertical="center" wrapText="1"/>
      <protection locked="0"/>
    </xf>
    <xf numFmtId="0" fontId="3" fillId="0" borderId="78" xfId="4" applyFont="1" applyBorder="1" applyAlignment="1" applyProtection="1">
      <alignment horizontal="center" vertical="center" wrapText="1"/>
      <protection locked="0"/>
    </xf>
    <xf numFmtId="38" fontId="3" fillId="0" borderId="75" xfId="29" applyNumberFormat="1" applyFont="1" applyBorder="1" applyAlignment="1">
      <alignment horizontal="center" vertical="center" wrapText="1"/>
    </xf>
    <xf numFmtId="38" fontId="3" fillId="0" borderId="80" xfId="29" applyNumberFormat="1" applyFont="1" applyBorder="1" applyAlignment="1">
      <alignment horizontal="center" vertical="center" wrapText="1"/>
    </xf>
    <xf numFmtId="166" fontId="3" fillId="0" borderId="77" xfId="29" applyNumberFormat="1" applyFont="1" applyBorder="1" applyAlignment="1">
      <alignment horizontal="center" vertical="center" wrapText="1"/>
    </xf>
    <xf numFmtId="166" fontId="3" fillId="0" borderId="75" xfId="29" applyNumberFormat="1" applyFont="1" applyBorder="1" applyAlignment="1">
      <alignment horizontal="center" vertical="center" wrapText="1"/>
    </xf>
    <xf numFmtId="168" fontId="3" fillId="10" borderId="75" xfId="4" applyNumberFormat="1" applyFont="1" applyFill="1" applyBorder="1" applyAlignment="1">
      <alignment horizontal="center" vertical="center" wrapText="1"/>
    </xf>
    <xf numFmtId="38" fontId="3" fillId="10" borderId="78" xfId="29" applyNumberFormat="1" applyFont="1" applyFill="1" applyBorder="1" applyAlignment="1">
      <alignment horizontal="center" vertical="center" wrapText="1"/>
    </xf>
    <xf numFmtId="168" fontId="3" fillId="10" borderId="79" xfId="4" applyNumberFormat="1" applyFont="1" applyFill="1" applyBorder="1" applyAlignment="1">
      <alignment horizontal="center" vertical="center" wrapText="1"/>
    </xf>
    <xf numFmtId="38" fontId="3" fillId="10" borderId="75" xfId="29" applyNumberFormat="1" applyFont="1" applyFill="1" applyBorder="1" applyAlignment="1">
      <alignment horizontal="center" vertical="center" wrapText="1"/>
    </xf>
    <xf numFmtId="168" fontId="3" fillId="0" borderId="81" xfId="4" applyNumberFormat="1" applyFont="1" applyBorder="1" applyAlignment="1">
      <alignment horizontal="center" vertical="center" wrapText="1"/>
    </xf>
    <xf numFmtId="168" fontId="3" fillId="0" borderId="86" xfId="4" applyNumberFormat="1" applyFont="1" applyBorder="1" applyAlignment="1">
      <alignment horizontal="center" vertical="center" wrapText="1"/>
    </xf>
    <xf numFmtId="168" fontId="17" fillId="0" borderId="170" xfId="4" applyNumberFormat="1" applyFont="1" applyBorder="1" applyAlignment="1">
      <alignment horizontal="center" vertical="center" wrapText="1"/>
    </xf>
    <xf numFmtId="168" fontId="17" fillId="0" borderId="78" xfId="4" applyNumberFormat="1" applyFont="1" applyBorder="1" applyAlignment="1">
      <alignment horizontal="center" vertical="center" wrapText="1"/>
    </xf>
    <xf numFmtId="168" fontId="17" fillId="0" borderId="80" xfId="4" applyNumberFormat="1" applyFont="1" applyBorder="1" applyAlignment="1">
      <alignment horizontal="center" vertical="center" wrapText="1"/>
    </xf>
    <xf numFmtId="0" fontId="3" fillId="0" borderId="93" xfId="4" applyFont="1" applyBorder="1" applyAlignment="1">
      <alignment horizontal="left" vertical="center" wrapText="1"/>
    </xf>
    <xf numFmtId="0" fontId="5" fillId="0" borderId="87" xfId="4" applyFont="1" applyBorder="1" applyAlignment="1">
      <alignment horizontal="center" vertical="center" wrapText="1"/>
    </xf>
    <xf numFmtId="0" fontId="3" fillId="0" borderId="88" xfId="0" applyFont="1" applyBorder="1" applyAlignment="1">
      <alignment horizontal="center" vertical="center" wrapText="1"/>
    </xf>
    <xf numFmtId="0" fontId="3" fillId="0" borderId="89" xfId="0" applyFont="1" applyBorder="1" applyAlignment="1">
      <alignment horizontal="left" vertical="center" wrapText="1"/>
    </xf>
    <xf numFmtId="0" fontId="3" fillId="0" borderId="87" xfId="4" applyFont="1" applyBorder="1" applyAlignment="1">
      <alignment horizontal="center" vertical="center" wrapText="1"/>
    </xf>
    <xf numFmtId="0" fontId="3" fillId="0" borderId="87" xfId="4" applyFont="1" applyBorder="1" applyAlignment="1" applyProtection="1">
      <alignment horizontal="center" vertical="center" wrapText="1"/>
      <protection locked="0"/>
    </xf>
    <xf numFmtId="0" fontId="3" fillId="0" borderId="90" xfId="4" applyFont="1" applyBorder="1" applyAlignment="1" applyProtection="1">
      <alignment horizontal="center" vertical="center" wrapText="1"/>
      <protection locked="0"/>
    </xf>
    <xf numFmtId="0" fontId="3" fillId="0" borderId="91" xfId="4" applyFont="1" applyBorder="1" applyAlignment="1">
      <alignment horizontal="center" vertical="center" wrapText="1"/>
    </xf>
    <xf numFmtId="38" fontId="3" fillId="0" borderId="87" xfId="29" applyNumberFormat="1" applyFont="1" applyBorder="1" applyAlignment="1">
      <alignment horizontal="center" vertical="center" wrapText="1"/>
    </xf>
    <xf numFmtId="168" fontId="3" fillId="0" borderId="87" xfId="29" applyNumberFormat="1" applyFont="1" applyBorder="1" applyAlignment="1">
      <alignment horizontal="center" vertical="center" wrapText="1"/>
    </xf>
    <xf numFmtId="38" fontId="3" fillId="0" borderId="92" xfId="29" applyNumberFormat="1" applyFont="1" applyBorder="1" applyAlignment="1">
      <alignment horizontal="center" vertical="center" wrapText="1"/>
    </xf>
    <xf numFmtId="166" fontId="41" fillId="0" borderId="89" xfId="29" applyNumberFormat="1" applyFont="1" applyBorder="1" applyAlignment="1">
      <alignment horizontal="center" vertical="center" wrapText="1"/>
    </xf>
    <xf numFmtId="38" fontId="41" fillId="0" borderId="87" xfId="29" applyNumberFormat="1" applyFont="1" applyBorder="1" applyAlignment="1">
      <alignment horizontal="center" vertical="center" wrapText="1"/>
    </xf>
    <xf numFmtId="166" fontId="41" fillId="0" borderId="87" xfId="29" applyNumberFormat="1" applyFont="1" applyBorder="1" applyAlignment="1">
      <alignment horizontal="center" vertical="center" wrapText="1"/>
    </xf>
    <xf numFmtId="168" fontId="3" fillId="10" borderId="87" xfId="4" applyNumberFormat="1" applyFont="1" applyFill="1" applyBorder="1" applyAlignment="1">
      <alignment horizontal="center" vertical="center" wrapText="1"/>
    </xf>
    <xf numFmtId="38" fontId="3" fillId="10" borderId="90" xfId="29" applyNumberFormat="1" applyFont="1" applyFill="1" applyBorder="1" applyAlignment="1">
      <alignment horizontal="center" vertical="center" wrapText="1"/>
    </xf>
    <xf numFmtId="168" fontId="3" fillId="10" borderId="91" xfId="4" applyNumberFormat="1" applyFont="1" applyFill="1" applyBorder="1" applyAlignment="1">
      <alignment horizontal="center" vertical="center" wrapText="1"/>
    </xf>
    <xf numFmtId="38" fontId="3" fillId="10" borderId="87" xfId="29" applyNumberFormat="1" applyFont="1" applyFill="1" applyBorder="1" applyAlignment="1">
      <alignment horizontal="center" vertical="center" wrapText="1"/>
    </xf>
    <xf numFmtId="168" fontId="3" fillId="0" borderId="87" xfId="4" applyNumberFormat="1" applyFont="1" applyBorder="1" applyAlignment="1">
      <alignment horizontal="center" vertical="center" wrapText="1"/>
    </xf>
    <xf numFmtId="38" fontId="17" fillId="0" borderId="171" xfId="4" applyNumberFormat="1" applyFont="1" applyBorder="1" applyAlignment="1">
      <alignment horizontal="center" vertical="center" wrapText="1"/>
    </xf>
    <xf numFmtId="38" fontId="17" fillId="0" borderId="90" xfId="4" applyNumberFormat="1" applyFont="1" applyBorder="1" applyAlignment="1">
      <alignment horizontal="center" vertical="center" wrapText="1"/>
    </xf>
    <xf numFmtId="38" fontId="17" fillId="0" borderId="92" xfId="4" applyNumberFormat="1" applyFont="1" applyBorder="1" applyAlignment="1">
      <alignment horizontal="center" vertical="center" wrapText="1"/>
    </xf>
    <xf numFmtId="0" fontId="3" fillId="0" borderId="96" xfId="4" applyFont="1" applyBorder="1" applyAlignment="1">
      <alignment horizontal="left" vertical="center" wrapText="1"/>
    </xf>
    <xf numFmtId="0" fontId="3" fillId="0" borderId="84" xfId="4" applyFont="1" applyBorder="1" applyAlignment="1" applyProtection="1">
      <alignment horizontal="center" vertical="center" wrapText="1"/>
      <protection locked="0"/>
    </xf>
    <xf numFmtId="38" fontId="3" fillId="10" borderId="78" xfId="4" applyNumberFormat="1" applyFont="1" applyFill="1" applyBorder="1" applyAlignment="1">
      <alignment horizontal="center" vertical="center" wrapText="1"/>
    </xf>
    <xf numFmtId="38" fontId="3" fillId="10" borderId="75" xfId="4" applyNumberFormat="1" applyFont="1" applyFill="1" applyBorder="1" applyAlignment="1">
      <alignment horizontal="center" vertical="center" wrapText="1"/>
    </xf>
    <xf numFmtId="38" fontId="3" fillId="10" borderId="108" xfId="4" applyNumberFormat="1" applyFont="1" applyFill="1" applyBorder="1" applyAlignment="1">
      <alignment horizontal="center" vertical="center" wrapText="1"/>
    </xf>
    <xf numFmtId="38" fontId="17" fillId="0" borderId="170" xfId="4" applyNumberFormat="1" applyFont="1" applyBorder="1" applyAlignment="1">
      <alignment horizontal="center" vertical="center" wrapText="1"/>
    </xf>
    <xf numFmtId="38" fontId="17" fillId="0" borderId="78" xfId="4" applyNumberFormat="1" applyFont="1" applyBorder="1" applyAlignment="1">
      <alignment horizontal="center" vertical="center" wrapText="1"/>
    </xf>
    <xf numFmtId="38" fontId="17" fillId="0" borderId="80" xfId="4" applyNumberFormat="1" applyFont="1" applyBorder="1" applyAlignment="1">
      <alignment horizontal="center" vertical="center" wrapText="1"/>
    </xf>
    <xf numFmtId="0" fontId="3" fillId="0" borderId="82" xfId="0" applyFont="1" applyBorder="1" applyAlignment="1">
      <alignment horizontal="center" vertical="center" wrapText="1"/>
    </xf>
    <xf numFmtId="0" fontId="3" fillId="0" borderId="83" xfId="0" applyFont="1" applyBorder="1" applyAlignment="1">
      <alignment horizontal="left" vertical="center" wrapText="1"/>
    </xf>
    <xf numFmtId="0" fontId="3" fillId="0" borderId="81" xfId="4" applyFont="1" applyBorder="1" applyAlignment="1" applyProtection="1">
      <alignment horizontal="center" vertical="center" wrapText="1"/>
      <protection locked="0"/>
    </xf>
    <xf numFmtId="38" fontId="3" fillId="0" borderId="81" xfId="29" applyNumberFormat="1" applyFont="1" applyBorder="1" applyAlignment="1">
      <alignment horizontal="center" vertical="center" wrapText="1"/>
    </xf>
    <xf numFmtId="166" fontId="3" fillId="0" borderId="83" xfId="4" applyNumberFormat="1" applyFont="1" applyBorder="1" applyAlignment="1">
      <alignment horizontal="center" vertical="center" wrapText="1"/>
    </xf>
    <xf numFmtId="166" fontId="3" fillId="0" borderId="81" xfId="4" applyNumberFormat="1" applyFont="1" applyBorder="1" applyAlignment="1">
      <alignment horizontal="center" vertical="center" wrapText="1"/>
    </xf>
    <xf numFmtId="168" fontId="3" fillId="10" borderId="81" xfId="4" applyNumberFormat="1" applyFont="1" applyFill="1" applyBorder="1" applyAlignment="1">
      <alignment horizontal="center" vertical="center" wrapText="1"/>
    </xf>
    <xf numFmtId="38" fontId="3" fillId="10" borderId="84" xfId="4" applyNumberFormat="1" applyFont="1" applyFill="1" applyBorder="1" applyAlignment="1">
      <alignment horizontal="center" vertical="center" wrapText="1"/>
    </xf>
    <xf numFmtId="168" fontId="3" fillId="10" borderId="85" xfId="4" applyNumberFormat="1" applyFont="1" applyFill="1" applyBorder="1" applyAlignment="1">
      <alignment horizontal="center" vertical="center" wrapText="1"/>
    </xf>
    <xf numFmtId="38" fontId="3" fillId="10" borderId="81" xfId="4" applyNumberFormat="1" applyFont="1" applyFill="1" applyBorder="1" applyAlignment="1">
      <alignment horizontal="center" vertical="center" wrapText="1"/>
    </xf>
    <xf numFmtId="38" fontId="17" fillId="0" borderId="172" xfId="4" applyNumberFormat="1" applyFont="1" applyBorder="1" applyAlignment="1">
      <alignment horizontal="center" vertical="center" wrapText="1"/>
    </xf>
    <xf numFmtId="38" fontId="17" fillId="0" borderId="84" xfId="4" applyNumberFormat="1" applyFont="1" applyBorder="1" applyAlignment="1">
      <alignment horizontal="center" vertical="center" wrapText="1"/>
    </xf>
    <xf numFmtId="38" fontId="17" fillId="0" borderId="86" xfId="4" applyNumberFormat="1" applyFont="1" applyBorder="1" applyAlignment="1">
      <alignment horizontal="center" vertical="center" wrapText="1"/>
    </xf>
    <xf numFmtId="0" fontId="3" fillId="0" borderId="94" xfId="4" applyFont="1" applyBorder="1" applyAlignment="1">
      <alignment horizontal="left" vertical="center" wrapText="1"/>
    </xf>
    <xf numFmtId="0" fontId="5" fillId="0" borderId="95" xfId="4" applyFont="1" applyBorder="1" applyAlignment="1">
      <alignment horizontal="center" vertical="center" wrapText="1"/>
    </xf>
    <xf numFmtId="0" fontId="3" fillId="0" borderId="99" xfId="0" applyFont="1" applyBorder="1" applyAlignment="1">
      <alignment horizontal="center" vertical="center" wrapText="1"/>
    </xf>
    <xf numFmtId="0" fontId="3" fillId="0" borderId="100" xfId="0" applyFont="1" applyBorder="1" applyAlignment="1">
      <alignment horizontal="left" vertical="center" wrapText="1"/>
    </xf>
    <xf numFmtId="168" fontId="3" fillId="0" borderId="81" xfId="29" applyNumberFormat="1" applyFont="1" applyBorder="1" applyAlignment="1">
      <alignment horizontal="center" vertical="center" wrapText="1"/>
    </xf>
    <xf numFmtId="38" fontId="3" fillId="0" borderId="86" xfId="29" applyNumberFormat="1" applyFont="1" applyBorder="1" applyAlignment="1">
      <alignment horizontal="center" vertical="center" wrapText="1"/>
    </xf>
    <xf numFmtId="38" fontId="3" fillId="0" borderId="82" xfId="4" applyNumberFormat="1" applyFont="1" applyBorder="1" applyAlignment="1">
      <alignment horizontal="center" vertical="center" wrapText="1"/>
    </xf>
    <xf numFmtId="38" fontId="3" fillId="0" borderId="84" xfId="4" applyNumberFormat="1" applyFont="1" applyBorder="1" applyAlignment="1">
      <alignment horizontal="center" vertical="center" wrapText="1"/>
    </xf>
    <xf numFmtId="38" fontId="3" fillId="0" borderId="172" xfId="4" applyNumberFormat="1" applyFont="1" applyBorder="1" applyAlignment="1">
      <alignment horizontal="center" vertical="center" wrapText="1"/>
    </xf>
    <xf numFmtId="168" fontId="17" fillId="0" borderId="85" xfId="4" applyNumberFormat="1" applyFont="1" applyBorder="1" applyAlignment="1">
      <alignment horizontal="center" vertical="center" wrapText="1"/>
    </xf>
    <xf numFmtId="168" fontId="17" fillId="0" borderId="81" xfId="4" applyNumberFormat="1" applyFont="1" applyBorder="1" applyAlignment="1">
      <alignment horizontal="center" vertical="center" wrapText="1"/>
    </xf>
    <xf numFmtId="168" fontId="17" fillId="0" borderId="86" xfId="4" applyNumberFormat="1" applyFont="1" applyBorder="1" applyAlignment="1">
      <alignment horizontal="center" vertical="center" wrapText="1"/>
    </xf>
    <xf numFmtId="38" fontId="3" fillId="0" borderId="84" xfId="29" applyNumberFormat="1" applyFont="1" applyBorder="1" applyAlignment="1">
      <alignment horizontal="center" vertical="center" wrapText="1"/>
    </xf>
    <xf numFmtId="168" fontId="3" fillId="0" borderId="85" xfId="4" applyNumberFormat="1" applyFont="1" applyBorder="1" applyAlignment="1">
      <alignment horizontal="center" vertical="center" wrapText="1"/>
    </xf>
    <xf numFmtId="166" fontId="3" fillId="0" borderId="100" xfId="4" applyNumberFormat="1" applyFont="1" applyBorder="1" applyAlignment="1">
      <alignment horizontal="center" vertical="center" wrapText="1"/>
    </xf>
    <xf numFmtId="168" fontId="3" fillId="0" borderId="95" xfId="4" applyNumberFormat="1" applyFont="1" applyBorder="1" applyAlignment="1">
      <alignment horizontal="center" vertical="center" wrapText="1"/>
    </xf>
    <xf numFmtId="166" fontId="3" fillId="0" borderId="77" xfId="4" applyNumberFormat="1" applyFont="1" applyBorder="1" applyAlignment="1">
      <alignment horizontal="center" vertical="center" wrapText="1"/>
    </xf>
    <xf numFmtId="168" fontId="3" fillId="0" borderId="75" xfId="4" applyNumberFormat="1" applyFont="1" applyBorder="1" applyAlignment="1">
      <alignment horizontal="center" vertical="center" wrapText="1"/>
    </xf>
    <xf numFmtId="38" fontId="3" fillId="0" borderId="78" xfId="4" applyNumberFormat="1" applyFont="1" applyBorder="1" applyAlignment="1">
      <alignment horizontal="center" vertical="center" wrapText="1"/>
    </xf>
    <xf numFmtId="168" fontId="3" fillId="0" borderId="102" xfId="4" applyNumberFormat="1" applyFont="1" applyBorder="1" applyAlignment="1">
      <alignment horizontal="center" vertical="center" wrapText="1"/>
    </xf>
    <xf numFmtId="166" fontId="3" fillId="0" borderId="89" xfId="4" applyNumberFormat="1" applyFont="1" applyBorder="1" applyAlignment="1">
      <alignment horizontal="center" vertical="center" wrapText="1"/>
    </xf>
    <xf numFmtId="168" fontId="3" fillId="10" borderId="90" xfId="4" applyNumberFormat="1" applyFont="1" applyFill="1" applyBorder="1" applyAlignment="1">
      <alignment horizontal="center" vertical="center" wrapText="1"/>
    </xf>
    <xf numFmtId="168" fontId="3" fillId="0" borderId="92" xfId="4" applyNumberFormat="1" applyFont="1" applyBorder="1" applyAlignment="1">
      <alignment horizontal="center" vertical="center" wrapText="1"/>
    </xf>
    <xf numFmtId="0" fontId="5" fillId="5" borderId="31" xfId="4"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30" xfId="0" applyFont="1" applyFill="1" applyBorder="1" applyAlignment="1">
      <alignment horizontal="left" vertical="center" wrapText="1"/>
    </xf>
    <xf numFmtId="0" fontId="3" fillId="5" borderId="31" xfId="4" applyFont="1" applyFill="1" applyBorder="1" applyAlignment="1">
      <alignment horizontal="center" vertical="center" wrapText="1"/>
    </xf>
    <xf numFmtId="0" fontId="3" fillId="5" borderId="31" xfId="4" applyFont="1" applyFill="1" applyBorder="1" applyAlignment="1" applyProtection="1">
      <alignment horizontal="center" vertical="center" wrapText="1"/>
      <protection locked="0"/>
    </xf>
    <xf numFmtId="0" fontId="3" fillId="5" borderId="29" xfId="4" applyFont="1" applyFill="1" applyBorder="1" applyAlignment="1" applyProtection="1">
      <alignment horizontal="center" vertical="center" wrapText="1"/>
      <protection locked="0"/>
    </xf>
    <xf numFmtId="0" fontId="3" fillId="5" borderId="97" xfId="4" applyFont="1" applyFill="1" applyBorder="1" applyAlignment="1">
      <alignment horizontal="center" vertical="center" wrapText="1"/>
    </xf>
    <xf numFmtId="38" fontId="3" fillId="5" borderId="31" xfId="29" applyNumberFormat="1" applyFont="1" applyFill="1" applyBorder="1" applyAlignment="1">
      <alignment horizontal="center" vertical="center" wrapText="1"/>
    </xf>
    <xf numFmtId="38" fontId="3" fillId="5" borderId="1" xfId="29" applyNumberFormat="1" applyFont="1" applyFill="1" applyBorder="1" applyAlignment="1">
      <alignment horizontal="center" vertical="center" wrapText="1"/>
    </xf>
    <xf numFmtId="168" fontId="3" fillId="5" borderId="1" xfId="29" applyNumberFormat="1" applyFont="1" applyFill="1" applyBorder="1" applyAlignment="1">
      <alignment horizontal="center" vertical="center" wrapText="1"/>
    </xf>
    <xf numFmtId="38" fontId="3" fillId="5" borderId="71" xfId="29" applyNumberFormat="1" applyFont="1" applyFill="1" applyBorder="1" applyAlignment="1">
      <alignment horizontal="center" vertical="center" wrapText="1"/>
    </xf>
    <xf numFmtId="166" fontId="3" fillId="5" borderId="3" xfId="29" applyNumberFormat="1" applyFont="1" applyFill="1" applyBorder="1" applyAlignment="1">
      <alignment horizontal="center" vertical="center" wrapText="1"/>
    </xf>
    <xf numFmtId="38" fontId="3" fillId="5" borderId="2" xfId="29" applyNumberFormat="1" applyFont="1" applyFill="1" applyBorder="1" applyAlignment="1">
      <alignment horizontal="center" vertical="center" wrapText="1"/>
    </xf>
    <xf numFmtId="38" fontId="3" fillId="5" borderId="97" xfId="29" applyNumberFormat="1" applyFont="1" applyFill="1" applyBorder="1" applyAlignment="1">
      <alignment horizontal="center" vertical="center" wrapText="1"/>
    </xf>
    <xf numFmtId="38" fontId="3" fillId="5" borderId="98" xfId="29" applyNumberFormat="1" applyFont="1" applyFill="1" applyBorder="1" applyAlignment="1">
      <alignment horizontal="center" vertical="center" wrapText="1"/>
    </xf>
    <xf numFmtId="38" fontId="17" fillId="5" borderId="173" xfId="4" applyNumberFormat="1" applyFont="1" applyFill="1" applyBorder="1" applyAlignment="1">
      <alignment horizontal="center" vertical="center" wrapText="1"/>
    </xf>
    <xf numFmtId="38" fontId="17" fillId="5" borderId="31" xfId="29" applyNumberFormat="1" applyFont="1" applyFill="1" applyBorder="1" applyAlignment="1">
      <alignment horizontal="center" vertical="center" wrapText="1"/>
    </xf>
    <xf numFmtId="38" fontId="17" fillId="5" borderId="98" xfId="29" applyNumberFormat="1" applyFont="1" applyFill="1" applyBorder="1" applyAlignment="1">
      <alignment horizontal="center" vertical="center" wrapText="1"/>
    </xf>
    <xf numFmtId="0" fontId="3" fillId="5" borderId="70" xfId="4" applyFont="1" applyFill="1" applyBorder="1" applyAlignment="1">
      <alignment horizontal="left" vertical="center" wrapText="1"/>
    </xf>
    <xf numFmtId="0" fontId="3" fillId="0" borderId="77" xfId="4" applyFont="1" applyBorder="1" applyAlignment="1">
      <alignment horizontal="left" vertical="center"/>
    </xf>
    <xf numFmtId="38" fontId="3" fillId="0" borderId="77" xfId="29" applyNumberFormat="1" applyFont="1" applyBorder="1" applyAlignment="1">
      <alignment horizontal="center" vertical="center" wrapText="1"/>
    </xf>
    <xf numFmtId="38" fontId="3" fillId="0" borderId="78" xfId="29" applyNumberFormat="1" applyFont="1" applyBorder="1" applyAlignment="1">
      <alignment horizontal="center" vertical="center" wrapText="1"/>
    </xf>
    <xf numFmtId="168" fontId="3" fillId="0" borderId="79" xfId="4" applyNumberFormat="1" applyFont="1" applyBorder="1" applyAlignment="1">
      <alignment horizontal="center" vertical="center" wrapText="1"/>
    </xf>
    <xf numFmtId="0" fontId="5" fillId="0" borderId="82" xfId="0" applyFont="1" applyBorder="1" applyAlignment="1">
      <alignment horizontal="left" vertical="center" wrapText="1"/>
    </xf>
    <xf numFmtId="0" fontId="3" fillId="0" borderId="83" xfId="27" quotePrefix="1" applyFont="1" applyBorder="1" applyAlignment="1">
      <alignment vertical="center" wrapText="1"/>
    </xf>
    <xf numFmtId="0" fontId="3" fillId="18" borderId="81" xfId="4" applyFont="1" applyFill="1" applyBorder="1" applyAlignment="1" applyProtection="1">
      <alignment horizontal="center" vertical="center" wrapText="1"/>
      <protection locked="0"/>
    </xf>
    <xf numFmtId="0" fontId="3" fillId="0" borderId="85" xfId="33" applyFont="1" applyBorder="1" applyAlignment="1">
      <alignment horizontal="center" vertical="center" wrapText="1"/>
    </xf>
    <xf numFmtId="38" fontId="3" fillId="0" borderId="83" xfId="29" applyNumberFormat="1" applyFont="1" applyBorder="1" applyAlignment="1">
      <alignment horizontal="center" vertical="center" wrapText="1"/>
    </xf>
    <xf numFmtId="164" fontId="3" fillId="0" borderId="84" xfId="29" applyNumberFormat="1" applyFont="1" applyBorder="1" applyAlignment="1">
      <alignment horizontal="center" vertical="center" wrapText="1"/>
    </xf>
    <xf numFmtId="0" fontId="3" fillId="0" borderId="83" xfId="0" quotePrefix="1" applyFont="1" applyBorder="1" applyAlignment="1">
      <alignment horizontal="left" vertical="center" wrapText="1"/>
    </xf>
    <xf numFmtId="0" fontId="3" fillId="0" borderId="81" xfId="33" applyFont="1" applyBorder="1" applyAlignment="1">
      <alignment horizontal="center" vertical="center" wrapText="1"/>
    </xf>
    <xf numFmtId="0" fontId="3" fillId="0" borderId="86" xfId="33" applyFont="1" applyBorder="1" applyAlignment="1">
      <alignment horizontal="center" vertical="center" wrapText="1"/>
    </xf>
    <xf numFmtId="168" fontId="3" fillId="0" borderId="85" xfId="33" applyNumberFormat="1" applyFont="1" applyBorder="1" applyAlignment="1">
      <alignment horizontal="center" vertical="center" wrapText="1"/>
    </xf>
    <xf numFmtId="164" fontId="3" fillId="0" borderId="81" xfId="29" applyNumberFormat="1" applyFont="1" applyBorder="1" applyAlignment="1">
      <alignment horizontal="center" vertical="center" wrapText="1"/>
    </xf>
    <xf numFmtId="168" fontId="3" fillId="0" borderId="81" xfId="33" applyNumberFormat="1" applyFont="1" applyBorder="1" applyAlignment="1">
      <alignment horizontal="center" vertical="center" wrapText="1"/>
    </xf>
    <xf numFmtId="168" fontId="3" fillId="18" borderId="81" xfId="27" applyNumberFormat="1" applyFont="1" applyFill="1" applyBorder="1" applyAlignment="1" applyProtection="1">
      <alignment horizontal="center" vertical="center" wrapText="1"/>
      <protection locked="0"/>
    </xf>
    <xf numFmtId="38" fontId="3" fillId="0" borderId="81" xfId="33" applyNumberFormat="1" applyFont="1" applyBorder="1" applyAlignment="1">
      <alignment horizontal="center" vertical="center" wrapText="1"/>
    </xf>
    <xf numFmtId="0" fontId="3" fillId="0" borderId="100" xfId="27" quotePrefix="1" applyFont="1" applyBorder="1" applyAlignment="1">
      <alignment vertical="center" wrapText="1"/>
    </xf>
    <xf numFmtId="0" fontId="3" fillId="0" borderId="95" xfId="27" applyFont="1" applyBorder="1" applyAlignment="1">
      <alignment horizontal="center" vertical="center" wrapText="1"/>
    </xf>
    <xf numFmtId="0" fontId="3" fillId="0" borderId="101" xfId="4" applyFont="1" applyBorder="1" applyAlignment="1" applyProtection="1">
      <alignment horizontal="center" vertical="center" wrapText="1"/>
      <protection locked="0"/>
    </xf>
    <xf numFmtId="0" fontId="3" fillId="0" borderId="103" xfId="33" applyFont="1" applyBorder="1" applyAlignment="1">
      <alignment horizontal="center" vertical="center" wrapText="1"/>
    </xf>
    <xf numFmtId="38" fontId="3" fillId="0" borderId="95" xfId="33" applyNumberFormat="1" applyFont="1" applyBorder="1" applyAlignment="1">
      <alignment horizontal="center" vertical="center" wrapText="1"/>
    </xf>
    <xf numFmtId="38" fontId="3" fillId="0" borderId="102" xfId="29" applyNumberFormat="1" applyFont="1" applyBorder="1" applyAlignment="1">
      <alignment horizontal="center" vertical="center" wrapText="1"/>
    </xf>
    <xf numFmtId="38" fontId="3" fillId="0" borderId="100" xfId="29" applyNumberFormat="1" applyFont="1" applyBorder="1" applyAlignment="1">
      <alignment horizontal="center" vertical="center" wrapText="1"/>
    </xf>
    <xf numFmtId="38" fontId="3" fillId="0" borderId="95" xfId="29" applyNumberFormat="1" applyFont="1" applyBorder="1" applyAlignment="1">
      <alignment horizontal="center" vertical="center" wrapText="1"/>
    </xf>
    <xf numFmtId="166" fontId="3" fillId="0" borderId="95" xfId="4" applyNumberFormat="1" applyFont="1" applyBorder="1" applyAlignment="1">
      <alignment horizontal="center" vertical="center" wrapText="1"/>
    </xf>
    <xf numFmtId="38" fontId="3" fillId="0" borderId="101" xfId="29" applyNumberFormat="1" applyFont="1" applyBorder="1" applyAlignment="1">
      <alignment horizontal="center" vertical="center" wrapText="1"/>
    </xf>
    <xf numFmtId="164" fontId="3" fillId="0" borderId="90" xfId="29" applyNumberFormat="1" applyFont="1" applyBorder="1" applyAlignment="1">
      <alignment horizontal="center" vertical="center" wrapText="1"/>
    </xf>
    <xf numFmtId="38" fontId="17" fillId="0" borderId="174" xfId="4" applyNumberFormat="1" applyFont="1" applyBorder="1" applyAlignment="1">
      <alignment horizontal="center" vertical="center" wrapText="1"/>
    </xf>
    <xf numFmtId="38" fontId="17" fillId="0" borderId="101" xfId="4" applyNumberFormat="1" applyFont="1" applyBorder="1" applyAlignment="1">
      <alignment horizontal="center" vertical="center" wrapText="1"/>
    </xf>
    <xf numFmtId="38" fontId="17" fillId="0" borderId="102" xfId="4" applyNumberFormat="1" applyFont="1" applyBorder="1" applyAlignment="1">
      <alignment horizontal="center" vertical="center" wrapText="1"/>
    </xf>
    <xf numFmtId="0" fontId="3" fillId="0" borderId="175" xfId="27" applyFont="1" applyBorder="1" applyAlignment="1">
      <alignment horizontal="left" vertical="center" wrapText="1"/>
    </xf>
    <xf numFmtId="0" fontId="3" fillId="0" borderId="77" xfId="27" applyFont="1" applyBorder="1" applyAlignment="1">
      <alignment horizontal="left" vertical="center" wrapText="1"/>
    </xf>
    <xf numFmtId="0" fontId="3" fillId="0" borderId="75" xfId="27" applyFont="1" applyBorder="1" applyAlignment="1">
      <alignment horizontal="center" vertical="center" wrapText="1"/>
    </xf>
    <xf numFmtId="168" fontId="3" fillId="0" borderId="75" xfId="27" applyNumberFormat="1" applyFont="1" applyBorder="1" applyAlignment="1" applyProtection="1">
      <alignment horizontal="center" vertical="center" wrapText="1"/>
      <protection locked="0"/>
    </xf>
    <xf numFmtId="0" fontId="3" fillId="0" borderId="78" xfId="27" applyFont="1" applyBorder="1" applyAlignment="1" applyProtection="1">
      <alignment horizontal="center" vertical="center" wrapText="1"/>
      <protection locked="0"/>
    </xf>
    <xf numFmtId="0" fontId="3" fillId="0" borderId="79" xfId="33" applyFont="1" applyBorder="1" applyAlignment="1">
      <alignment horizontal="center" vertical="center" wrapText="1"/>
    </xf>
    <xf numFmtId="168" fontId="3" fillId="0" borderId="79" xfId="33" applyNumberFormat="1" applyFont="1" applyBorder="1" applyAlignment="1">
      <alignment horizontal="center" vertical="center" wrapText="1"/>
    </xf>
    <xf numFmtId="168" fontId="3" fillId="0" borderId="75" xfId="29" applyNumberFormat="1" applyFont="1" applyBorder="1" applyAlignment="1">
      <alignment horizontal="center" vertical="center" wrapText="1"/>
    </xf>
    <xf numFmtId="0" fontId="3" fillId="0" borderId="93" xfId="27" applyFont="1" applyBorder="1" applyAlignment="1">
      <alignment horizontal="left" vertical="center" wrapText="1"/>
    </xf>
    <xf numFmtId="0" fontId="3" fillId="0" borderId="83" xfId="27" applyFont="1" applyBorder="1" applyAlignment="1">
      <alignment horizontal="left" vertical="center" wrapText="1"/>
    </xf>
    <xf numFmtId="173" fontId="3" fillId="0" borderId="81" xfId="27" applyNumberFormat="1" applyFont="1" applyBorder="1" applyAlignment="1">
      <alignment horizontal="center" vertical="center" wrapText="1"/>
    </xf>
    <xf numFmtId="168" fontId="3" fillId="0" borderId="81" xfId="27" applyNumberFormat="1" applyFont="1" applyBorder="1" applyAlignment="1" applyProtection="1">
      <alignment horizontal="center" vertical="center" wrapText="1"/>
      <protection locked="0"/>
    </xf>
    <xf numFmtId="0" fontId="3" fillId="0" borderId="84" xfId="27" applyFont="1" applyBorder="1" applyAlignment="1" applyProtection="1">
      <alignment horizontal="center" vertical="center" wrapText="1"/>
      <protection locked="0"/>
    </xf>
    <xf numFmtId="166" fontId="3" fillId="0" borderId="81" xfId="29" applyNumberFormat="1" applyFont="1" applyBorder="1" applyAlignment="1">
      <alignment horizontal="center" vertical="center" wrapText="1"/>
    </xf>
    <xf numFmtId="0" fontId="3" fillId="0" borderId="94" xfId="27" applyFont="1" applyBorder="1" applyAlignment="1">
      <alignment horizontal="left" vertical="center" wrapText="1"/>
    </xf>
    <xf numFmtId="0" fontId="3" fillId="0" borderId="81" xfId="27" applyFont="1" applyBorder="1" applyAlignment="1">
      <alignment horizontal="center" vertical="center" wrapText="1"/>
    </xf>
    <xf numFmtId="0" fontId="67" fillId="0" borderId="18" xfId="4" applyFont="1" applyBorder="1" applyAlignment="1">
      <alignment horizontal="center" vertical="center" wrapText="1"/>
    </xf>
    <xf numFmtId="0" fontId="67" fillId="0" borderId="81" xfId="4" applyFont="1" applyBorder="1" applyAlignment="1">
      <alignment horizontal="center" vertical="center" wrapText="1"/>
    </xf>
    <xf numFmtId="0" fontId="3" fillId="0" borderId="82" xfId="27" applyFont="1" applyBorder="1" applyAlignment="1">
      <alignment vertical="center" wrapText="1"/>
    </xf>
    <xf numFmtId="0" fontId="67" fillId="0" borderId="95" xfId="4" applyFont="1" applyBorder="1" applyAlignment="1">
      <alignment horizontal="center" vertical="center" wrapText="1"/>
    </xf>
    <xf numFmtId="0" fontId="3" fillId="0" borderId="99" xfId="27" applyFont="1" applyBorder="1" applyAlignment="1">
      <alignment vertical="center" wrapText="1"/>
    </xf>
    <xf numFmtId="168" fontId="3" fillId="0" borderId="95" xfId="27" applyNumberFormat="1" applyFont="1" applyBorder="1" applyAlignment="1" applyProtection="1">
      <alignment horizontal="center" vertical="center" wrapText="1"/>
      <protection locked="0"/>
    </xf>
    <xf numFmtId="0" fontId="3" fillId="0" borderId="101" xfId="27" applyFont="1" applyBorder="1" applyAlignment="1" applyProtection="1">
      <alignment horizontal="center" vertical="center" wrapText="1"/>
      <protection locked="0"/>
    </xf>
    <xf numFmtId="168" fontId="3" fillId="10" borderId="95" xfId="27" applyNumberFormat="1" applyFont="1" applyFill="1" applyBorder="1" applyAlignment="1">
      <alignment horizontal="center" vertical="center" wrapText="1"/>
    </xf>
    <xf numFmtId="38" fontId="3" fillId="10" borderId="101" xfId="29" applyNumberFormat="1" applyFont="1" applyFill="1" applyBorder="1" applyAlignment="1">
      <alignment horizontal="center" vertical="center" wrapText="1"/>
    </xf>
    <xf numFmtId="168" fontId="3" fillId="10" borderId="103" xfId="27" applyNumberFormat="1" applyFont="1" applyFill="1" applyBorder="1" applyAlignment="1">
      <alignment horizontal="center" vertical="center" wrapText="1"/>
    </xf>
    <xf numFmtId="38" fontId="3" fillId="10" borderId="95" xfId="29" applyNumberFormat="1" applyFont="1" applyFill="1" applyBorder="1" applyAlignment="1">
      <alignment horizontal="center" vertical="center" wrapText="1"/>
    </xf>
    <xf numFmtId="0" fontId="67" fillId="0" borderId="87" xfId="4" applyFont="1" applyBorder="1" applyAlignment="1">
      <alignment horizontal="center" vertical="center" wrapText="1"/>
    </xf>
    <xf numFmtId="0" fontId="3" fillId="0" borderId="88" xfId="27" applyFont="1" applyBorder="1" applyAlignment="1">
      <alignment vertical="center" wrapText="1"/>
    </xf>
    <xf numFmtId="0" fontId="3" fillId="0" borderId="87" xfId="27" applyFont="1" applyBorder="1" applyAlignment="1">
      <alignment horizontal="center" vertical="center" wrapText="1"/>
    </xf>
    <xf numFmtId="168" fontId="3" fillId="0" borderId="87" xfId="27" applyNumberFormat="1" applyFont="1" applyBorder="1" applyAlignment="1" applyProtection="1">
      <alignment horizontal="center" vertical="center" wrapText="1"/>
      <protection locked="0"/>
    </xf>
    <xf numFmtId="0" fontId="3" fillId="0" borderId="90" xfId="27" applyFont="1" applyBorder="1" applyAlignment="1" applyProtection="1">
      <alignment horizontal="center" vertical="center" wrapText="1"/>
      <protection locked="0"/>
    </xf>
    <xf numFmtId="168" fontId="3" fillId="0" borderId="91" xfId="29" applyNumberFormat="1" applyFont="1" applyBorder="1" applyAlignment="1">
      <alignment horizontal="center" vertical="center" wrapText="1"/>
    </xf>
    <xf numFmtId="166" fontId="3" fillId="0" borderId="87" xfId="29" applyNumberFormat="1" applyFont="1" applyBorder="1" applyAlignment="1">
      <alignment horizontal="center" vertical="center" wrapText="1"/>
    </xf>
    <xf numFmtId="38" fontId="3" fillId="0" borderId="90" xfId="29" applyNumberFormat="1" applyFont="1" applyBorder="1" applyAlignment="1">
      <alignment horizontal="center" vertical="center" wrapText="1"/>
    </xf>
    <xf numFmtId="168" fontId="3" fillId="0" borderId="91" xfId="27" applyNumberFormat="1" applyFont="1" applyBorder="1" applyAlignment="1">
      <alignment horizontal="center" vertical="center" wrapText="1"/>
    </xf>
    <xf numFmtId="38" fontId="3" fillId="0" borderId="92" xfId="4" applyNumberFormat="1" applyFont="1" applyBorder="1" applyAlignment="1">
      <alignment horizontal="center" vertical="center" wrapText="1"/>
    </xf>
    <xf numFmtId="0" fontId="3" fillId="0" borderId="96" xfId="27" applyFont="1" applyBorder="1" applyAlignment="1">
      <alignment horizontal="left" vertical="center" wrapText="1"/>
    </xf>
    <xf numFmtId="0" fontId="3" fillId="0" borderId="76" xfId="0" applyFont="1" applyBorder="1" applyAlignment="1">
      <alignment horizontal="center" vertical="center"/>
    </xf>
    <xf numFmtId="0" fontId="3" fillId="0" borderId="77" xfId="27" applyFont="1" applyBorder="1" applyAlignment="1">
      <alignment vertical="center" wrapText="1"/>
    </xf>
    <xf numFmtId="0" fontId="3" fillId="0" borderId="108" xfId="4" applyFont="1" applyBorder="1" applyAlignment="1" applyProtection="1">
      <alignment horizontal="center" vertical="center" wrapText="1"/>
      <protection locked="0"/>
    </xf>
    <xf numFmtId="0" fontId="3" fillId="0" borderId="109" xfId="33" applyFont="1" applyBorder="1" applyAlignment="1">
      <alignment horizontal="center" vertical="center" wrapText="1"/>
    </xf>
    <xf numFmtId="38" fontId="3" fillId="0" borderId="105" xfId="29" applyNumberFormat="1" applyFont="1" applyBorder="1" applyAlignment="1">
      <alignment horizontal="center" vertical="center" wrapText="1"/>
    </xf>
    <xf numFmtId="168" fontId="3" fillId="0" borderId="105" xfId="4" applyNumberFormat="1" applyFont="1" applyBorder="1" applyAlignment="1">
      <alignment horizontal="center" vertical="center" wrapText="1"/>
    </xf>
    <xf numFmtId="168" fontId="3" fillId="0" borderId="110" xfId="4" applyNumberFormat="1" applyFont="1" applyBorder="1" applyAlignment="1">
      <alignment horizontal="center" vertical="center" wrapText="1"/>
    </xf>
    <xf numFmtId="166" fontId="3" fillId="0" borderId="107" xfId="4" applyNumberFormat="1" applyFont="1" applyBorder="1" applyAlignment="1">
      <alignment horizontal="center" vertical="center" wrapText="1"/>
    </xf>
    <xf numFmtId="166" fontId="3" fillId="0" borderId="105" xfId="4" applyNumberFormat="1" applyFont="1" applyBorder="1" applyAlignment="1">
      <alignment horizontal="center" vertical="center" wrapText="1"/>
    </xf>
    <xf numFmtId="168" fontId="3" fillId="10" borderId="105" xfId="4" applyNumberFormat="1" applyFont="1" applyFill="1" applyBorder="1" applyAlignment="1">
      <alignment horizontal="center" vertical="center" wrapText="1"/>
    </xf>
    <xf numFmtId="168" fontId="3" fillId="10" borderId="108" xfId="4" applyNumberFormat="1" applyFont="1" applyFill="1" applyBorder="1" applyAlignment="1">
      <alignment horizontal="center" vertical="center" wrapText="1"/>
    </xf>
    <xf numFmtId="168" fontId="3" fillId="10" borderId="109" xfId="4" applyNumberFormat="1" applyFont="1" applyFill="1" applyBorder="1" applyAlignment="1">
      <alignment horizontal="center" vertical="center" wrapText="1"/>
    </xf>
    <xf numFmtId="38" fontId="17" fillId="0" borderId="176" xfId="4" applyNumberFormat="1" applyFont="1" applyBorder="1" applyAlignment="1">
      <alignment horizontal="center" vertical="center" wrapText="1"/>
    </xf>
    <xf numFmtId="38" fontId="17" fillId="0" borderId="108" xfId="4" applyNumberFormat="1" applyFont="1" applyBorder="1" applyAlignment="1">
      <alignment horizontal="center" vertical="center" wrapText="1"/>
    </xf>
    <xf numFmtId="38" fontId="17" fillId="0" borderId="110" xfId="4" applyNumberFormat="1" applyFont="1" applyBorder="1" applyAlignment="1">
      <alignment horizontal="center" vertical="center" wrapText="1"/>
    </xf>
    <xf numFmtId="0" fontId="3" fillId="0" borderId="139" xfId="27" applyFont="1" applyBorder="1" applyAlignment="1">
      <alignment horizontal="left" vertical="center" wrapText="1"/>
    </xf>
    <xf numFmtId="0" fontId="3" fillId="0" borderId="82" xfId="0" applyFont="1" applyBorder="1" applyAlignment="1">
      <alignment horizontal="center" vertical="center"/>
    </xf>
    <xf numFmtId="0" fontId="3" fillId="0" borderId="83" xfId="27" applyFont="1" applyBorder="1" applyAlignment="1">
      <alignment vertical="center" wrapText="1"/>
    </xf>
    <xf numFmtId="168" fontId="3" fillId="10" borderId="84" xfId="4" applyNumberFormat="1" applyFont="1" applyFill="1" applyBorder="1" applyAlignment="1">
      <alignment horizontal="center" vertical="center" wrapText="1"/>
    </xf>
    <xf numFmtId="0" fontId="3" fillId="0" borderId="99" xfId="0" applyFont="1" applyBorder="1" applyAlignment="1">
      <alignment horizontal="center" vertical="center"/>
    </xf>
    <xf numFmtId="0" fontId="3" fillId="0" borderId="100" xfId="27" applyFont="1" applyBorder="1" applyAlignment="1">
      <alignment vertical="center" wrapText="1"/>
    </xf>
    <xf numFmtId="0" fontId="3" fillId="0" borderId="95" xfId="4" applyFont="1" applyBorder="1" applyAlignment="1" applyProtection="1">
      <alignment horizontal="center" vertical="center" wrapText="1"/>
      <protection locked="0"/>
    </xf>
    <xf numFmtId="0" fontId="3" fillId="0" borderId="88" xfId="0" applyFont="1" applyBorder="1" applyAlignment="1">
      <alignment horizontal="center" vertical="center"/>
    </xf>
    <xf numFmtId="0" fontId="3" fillId="0" borderId="89" xfId="27" applyFont="1" applyBorder="1" applyAlignment="1">
      <alignment vertical="center" wrapText="1"/>
    </xf>
    <xf numFmtId="0" fontId="3" fillId="0" borderId="91" xfId="33" applyFont="1" applyBorder="1" applyAlignment="1">
      <alignment horizontal="center" vertical="center" wrapText="1"/>
    </xf>
    <xf numFmtId="0" fontId="5" fillId="0" borderId="105" xfId="4" applyFont="1" applyBorder="1" applyAlignment="1">
      <alignment horizontal="center" vertical="center" wrapText="1"/>
    </xf>
    <xf numFmtId="0" fontId="3" fillId="0" borderId="106" xfId="0" applyFont="1" applyBorder="1" applyAlignment="1">
      <alignment horizontal="center" vertical="center" wrapText="1"/>
    </xf>
    <xf numFmtId="0" fontId="3" fillId="0" borderId="107" xfId="29" applyFont="1" applyBorder="1" applyAlignment="1">
      <alignment horizontal="left" vertical="center" wrapText="1"/>
    </xf>
    <xf numFmtId="0" fontId="3" fillId="0" borderId="105" xfId="29" applyFont="1" applyBorder="1" applyAlignment="1">
      <alignment horizontal="center" vertical="center" wrapText="1"/>
    </xf>
    <xf numFmtId="168" fontId="3" fillId="0" borderId="105" xfId="29" applyNumberFormat="1" applyFont="1" applyBorder="1" applyAlignment="1" applyProtection="1">
      <alignment horizontal="center" vertical="center" wrapText="1"/>
      <protection locked="0"/>
    </xf>
    <xf numFmtId="0" fontId="3" fillId="0" borderId="108" xfId="29" applyFont="1" applyBorder="1" applyAlignment="1" applyProtection="1">
      <alignment horizontal="center" vertical="center" wrapText="1"/>
      <protection locked="0"/>
    </xf>
    <xf numFmtId="166" fontId="3" fillId="0" borderId="109" xfId="33" applyNumberFormat="1" applyFont="1" applyBorder="1" applyAlignment="1">
      <alignment horizontal="center" vertical="center" wrapText="1"/>
    </xf>
    <xf numFmtId="168" fontId="3" fillId="0" borderId="80" xfId="29" applyNumberFormat="1" applyFont="1" applyBorder="1" applyAlignment="1">
      <alignment horizontal="center" vertical="center" wrapText="1"/>
    </xf>
    <xf numFmtId="168" fontId="3" fillId="0" borderId="78" xfId="29" applyNumberFormat="1" applyFont="1" applyBorder="1" applyAlignment="1">
      <alignment horizontal="center" vertical="center" wrapText="1"/>
    </xf>
    <xf numFmtId="166" fontId="3" fillId="0" borderId="79" xfId="29" applyNumberFormat="1" applyFont="1" applyBorder="1" applyAlignment="1">
      <alignment horizontal="center" vertical="center" wrapText="1"/>
    </xf>
    <xf numFmtId="176" fontId="3" fillId="0" borderId="75" xfId="29" applyNumberFormat="1" applyFont="1" applyBorder="1" applyAlignment="1">
      <alignment horizontal="center" vertical="center" wrapText="1"/>
    </xf>
    <xf numFmtId="168" fontId="17" fillId="0" borderId="79" xfId="29" applyNumberFormat="1" applyFont="1" applyBorder="1" applyAlignment="1">
      <alignment horizontal="center" vertical="center" wrapText="1"/>
    </xf>
    <xf numFmtId="0" fontId="3" fillId="0" borderId="139" xfId="29" applyFont="1" applyBorder="1" applyAlignment="1">
      <alignment horizontal="left" vertical="center" wrapText="1"/>
    </xf>
    <xf numFmtId="0" fontId="3" fillId="0" borderId="83" xfId="29" applyFont="1" applyBorder="1" applyAlignment="1">
      <alignment horizontal="left" vertical="center" wrapText="1"/>
    </xf>
    <xf numFmtId="0" fontId="3" fillId="0" borderId="81" xfId="29" applyFont="1" applyBorder="1" applyAlignment="1">
      <alignment horizontal="center" vertical="center" wrapText="1"/>
    </xf>
    <xf numFmtId="168" fontId="3" fillId="0" borderId="81" xfId="29" applyNumberFormat="1" applyFont="1" applyBorder="1" applyAlignment="1" applyProtection="1">
      <alignment horizontal="center" vertical="center" wrapText="1"/>
      <protection locked="0"/>
    </xf>
    <xf numFmtId="0" fontId="3" fillId="0" borderId="84" xfId="29" applyFont="1" applyBorder="1" applyAlignment="1" applyProtection="1">
      <alignment horizontal="center" vertical="center" wrapText="1"/>
      <protection locked="0"/>
    </xf>
    <xf numFmtId="166" fontId="3" fillId="0" borderId="85" xfId="33" applyNumberFormat="1" applyFont="1" applyBorder="1" applyAlignment="1">
      <alignment horizontal="center" vertical="center" wrapText="1"/>
    </xf>
    <xf numFmtId="166" fontId="3" fillId="0" borderId="95" xfId="29" applyNumberFormat="1" applyFont="1" applyBorder="1" applyAlignment="1">
      <alignment horizontal="center" vertical="center" wrapText="1"/>
    </xf>
    <xf numFmtId="168" fontId="3" fillId="0" borderId="84" xfId="29" applyNumberFormat="1" applyFont="1" applyBorder="1" applyAlignment="1">
      <alignment horizontal="center" vertical="center" wrapText="1"/>
    </xf>
    <xf numFmtId="166" fontId="3" fillId="0" borderId="84" xfId="29" applyNumberFormat="1" applyFont="1" applyBorder="1" applyAlignment="1">
      <alignment horizontal="center" vertical="center" wrapText="1"/>
    </xf>
    <xf numFmtId="166" fontId="3" fillId="0" borderId="84" xfId="4" applyNumberFormat="1" applyFont="1" applyBorder="1" applyAlignment="1">
      <alignment horizontal="center" vertical="center" wrapText="1"/>
    </xf>
    <xf numFmtId="0" fontId="3" fillId="0" borderId="94" xfId="29" applyFont="1" applyBorder="1" applyAlignment="1">
      <alignment horizontal="left" vertical="center" wrapText="1"/>
    </xf>
    <xf numFmtId="0" fontId="3" fillId="0" borderId="83" xfId="29" applyFont="1" applyBorder="1" applyAlignment="1">
      <alignment vertical="center" wrapText="1"/>
    </xf>
    <xf numFmtId="168" fontId="3" fillId="0" borderId="94" xfId="29" applyNumberFormat="1" applyFont="1" applyBorder="1" applyAlignment="1">
      <alignment horizontal="left" vertical="center" wrapText="1"/>
    </xf>
    <xf numFmtId="176" fontId="3" fillId="0" borderId="81" xfId="29" applyNumberFormat="1" applyFont="1" applyBorder="1" applyAlignment="1">
      <alignment horizontal="center" vertical="center" wrapText="1"/>
    </xf>
    <xf numFmtId="166" fontId="3" fillId="0" borderId="91" xfId="28" applyNumberFormat="1" applyFont="1" applyBorder="1" applyAlignment="1">
      <alignment horizontal="center" vertical="center" wrapText="1"/>
    </xf>
    <xf numFmtId="166" fontId="3" fillId="0" borderId="89" xfId="29" applyNumberFormat="1" applyFont="1" applyBorder="1" applyAlignment="1">
      <alignment horizontal="center" vertical="center" wrapText="1"/>
    </xf>
    <xf numFmtId="168" fontId="3" fillId="0" borderId="90" xfId="29" applyNumberFormat="1" applyFont="1" applyBorder="1" applyAlignment="1">
      <alignment horizontal="center" vertical="center" wrapText="1"/>
    </xf>
    <xf numFmtId="166" fontId="3" fillId="0" borderId="90" xfId="29" applyNumberFormat="1" applyFont="1" applyBorder="1" applyAlignment="1">
      <alignment horizontal="center" vertical="center" wrapText="1"/>
    </xf>
    <xf numFmtId="166" fontId="3" fillId="0" borderId="90" xfId="4" applyNumberFormat="1" applyFont="1" applyBorder="1" applyAlignment="1">
      <alignment horizontal="center" vertical="center" wrapText="1"/>
    </xf>
    <xf numFmtId="0" fontId="5" fillId="0" borderId="9" xfId="4" applyFont="1" applyBorder="1" applyAlignment="1">
      <alignment horizontal="center" vertical="center" wrapText="1"/>
    </xf>
    <xf numFmtId="38" fontId="3" fillId="0" borderId="110" xfId="29" applyNumberFormat="1" applyFont="1" applyBorder="1" applyAlignment="1">
      <alignment horizontal="center" vertical="center" wrapText="1"/>
    </xf>
    <xf numFmtId="166" fontId="3" fillId="0" borderId="105" xfId="29" applyNumberFormat="1" applyFont="1" applyBorder="1" applyAlignment="1">
      <alignment horizontal="center" vertical="center" wrapText="1"/>
    </xf>
    <xf numFmtId="38" fontId="3" fillId="0" borderId="108" xfId="29" applyNumberFormat="1" applyFont="1" applyBorder="1" applyAlignment="1">
      <alignment horizontal="center" vertical="center" wrapText="1"/>
    </xf>
    <xf numFmtId="38" fontId="3" fillId="0" borderId="110" xfId="4" applyNumberFormat="1" applyFont="1" applyBorder="1" applyAlignment="1">
      <alignment horizontal="center" vertical="center" wrapText="1"/>
    </xf>
    <xf numFmtId="0" fontId="5" fillId="0" borderId="31" xfId="4" applyFont="1" applyBorder="1" applyAlignment="1">
      <alignment horizontal="center" vertical="center" wrapText="1"/>
    </xf>
    <xf numFmtId="0" fontId="3" fillId="0" borderId="83" xfId="29" applyFont="1" applyBorder="1" applyAlignment="1">
      <alignment horizontal="center" vertical="center" wrapText="1"/>
    </xf>
    <xf numFmtId="0" fontId="3" fillId="0" borderId="82" xfId="29" applyFont="1" applyBorder="1" applyAlignment="1">
      <alignment horizontal="center" vertical="center" wrapText="1"/>
    </xf>
    <xf numFmtId="0" fontId="3" fillId="0" borderId="85" xfId="29" applyFont="1" applyBorder="1" applyAlignment="1">
      <alignment horizontal="center" vertical="center" wrapText="1"/>
    </xf>
    <xf numFmtId="168" fontId="3" fillId="0" borderId="95" xfId="29" applyNumberFormat="1" applyFont="1" applyBorder="1" applyAlignment="1">
      <alignment horizontal="center" vertical="center" wrapText="1"/>
    </xf>
    <xf numFmtId="0" fontId="3" fillId="0" borderId="97" xfId="28" applyFont="1" applyBorder="1" applyAlignment="1">
      <alignment horizontal="center" vertical="center" wrapText="1"/>
    </xf>
    <xf numFmtId="180" fontId="3" fillId="0" borderId="84" xfId="4" applyNumberFormat="1" applyFont="1" applyBorder="1" applyAlignment="1">
      <alignment horizontal="center" vertical="center" wrapText="1"/>
    </xf>
    <xf numFmtId="0" fontId="3" fillId="0" borderId="70" xfId="27" applyFont="1" applyBorder="1" applyAlignment="1">
      <alignment horizontal="left" vertical="center" wrapText="1"/>
    </xf>
    <xf numFmtId="0" fontId="5" fillId="0" borderId="47" xfId="4" applyFont="1" applyBorder="1" applyAlignment="1">
      <alignment horizontal="center" vertical="center" wrapText="1"/>
    </xf>
    <xf numFmtId="0" fontId="3" fillId="0" borderId="91" xfId="28" applyFont="1" applyBorder="1" applyAlignment="1">
      <alignment horizontal="center" vertical="center" wrapText="1"/>
    </xf>
    <xf numFmtId="168" fontId="3" fillId="0" borderId="91" xfId="28" applyNumberFormat="1" applyFont="1" applyBorder="1" applyAlignment="1">
      <alignment horizontal="center" vertical="center" wrapText="1"/>
    </xf>
    <xf numFmtId="180" fontId="3" fillId="0" borderId="90" xfId="4" applyNumberFormat="1" applyFont="1" applyBorder="1" applyAlignment="1">
      <alignment horizontal="center" vertical="center" wrapText="1"/>
    </xf>
    <xf numFmtId="0" fontId="5" fillId="0" borderId="78" xfId="0" applyFont="1" applyBorder="1" applyAlignment="1">
      <alignment horizontal="left" vertical="center" wrapText="1"/>
    </xf>
    <xf numFmtId="180" fontId="3" fillId="0" borderId="108" xfId="4" applyNumberFormat="1" applyFont="1" applyBorder="1" applyAlignment="1">
      <alignment horizontal="center" vertical="center" wrapText="1"/>
    </xf>
    <xf numFmtId="0" fontId="3" fillId="0" borderId="18" xfId="4" applyFont="1" applyBorder="1" applyAlignment="1">
      <alignment horizontal="center" vertical="center" wrapText="1"/>
    </xf>
    <xf numFmtId="0" fontId="3" fillId="0" borderId="83" xfId="0" applyFont="1" applyBorder="1" applyAlignment="1">
      <alignment vertical="center" wrapText="1"/>
    </xf>
    <xf numFmtId="0" fontId="3" fillId="0" borderId="84" xfId="29" applyFont="1" applyBorder="1" applyAlignment="1">
      <alignment horizontal="center" vertical="center" wrapText="1"/>
    </xf>
    <xf numFmtId="0" fontId="41" fillId="22" borderId="85" xfId="33" applyFont="1" applyFill="1" applyBorder="1" applyAlignment="1">
      <alignment horizontal="center" vertical="center" wrapText="1"/>
    </xf>
    <xf numFmtId="168" fontId="3" fillId="0" borderId="81" xfId="29" quotePrefix="1" applyNumberFormat="1" applyFont="1" applyBorder="1" applyAlignment="1">
      <alignment horizontal="center" vertical="center" wrapText="1"/>
    </xf>
    <xf numFmtId="0" fontId="3" fillId="22" borderId="85" xfId="28" applyFont="1" applyFill="1" applyBorder="1" applyAlignment="1">
      <alignment horizontal="center" vertical="center" wrapText="1"/>
    </xf>
    <xf numFmtId="0" fontId="3" fillId="0" borderId="82" xfId="0" applyFont="1" applyBorder="1" applyAlignment="1">
      <alignment vertical="center" wrapText="1"/>
    </xf>
    <xf numFmtId="0" fontId="41" fillId="10" borderId="85" xfId="4" applyFont="1" applyFill="1" applyBorder="1" applyAlignment="1">
      <alignment horizontal="center" vertical="center" wrapText="1"/>
    </xf>
    <xf numFmtId="0" fontId="3" fillId="10" borderId="81" xfId="4" applyFont="1" applyFill="1" applyBorder="1" applyAlignment="1">
      <alignment horizontal="center" vertical="center" wrapText="1"/>
    </xf>
    <xf numFmtId="38" fontId="3" fillId="10" borderId="86" xfId="4" applyNumberFormat="1" applyFont="1" applyFill="1" applyBorder="1" applyAlignment="1">
      <alignment horizontal="center" vertical="center" wrapText="1"/>
    </xf>
    <xf numFmtId="0" fontId="70" fillId="0" borderId="85" xfId="4" applyFont="1" applyBorder="1" applyAlignment="1">
      <alignment horizontal="center" vertical="center" wrapText="1"/>
    </xf>
    <xf numFmtId="181" fontId="3" fillId="0" borderId="81" xfId="4" applyNumberFormat="1" applyFont="1" applyBorder="1" applyAlignment="1">
      <alignment horizontal="center" vertical="center" wrapText="1"/>
    </xf>
    <xf numFmtId="181" fontId="3" fillId="0" borderId="84" xfId="4" applyNumberFormat="1" applyFont="1" applyBorder="1" applyAlignment="1" applyProtection="1">
      <alignment horizontal="center" vertical="center" wrapText="1"/>
      <protection locked="0"/>
    </xf>
    <xf numFmtId="181" fontId="41" fillId="0" borderId="85" xfId="4" applyNumberFormat="1" applyFont="1" applyBorder="1" applyAlignment="1">
      <alignment horizontal="center" vertical="center" wrapText="1"/>
    </xf>
    <xf numFmtId="0" fontId="3" fillId="0" borderId="82" xfId="4" applyFont="1" applyBorder="1" applyAlignment="1">
      <alignment horizontal="center" vertical="center" wrapText="1"/>
    </xf>
    <xf numFmtId="0" fontId="41" fillId="0" borderId="85" xfId="33" applyFont="1" applyBorder="1" applyAlignment="1">
      <alignment horizontal="center" vertical="center" wrapText="1"/>
    </xf>
    <xf numFmtId="0" fontId="35" fillId="11" borderId="84" xfId="4" applyFont="1" applyFill="1" applyBorder="1" applyAlignment="1" applyProtection="1">
      <alignment horizontal="center" vertical="center" wrapText="1"/>
      <protection locked="0"/>
    </xf>
    <xf numFmtId="38" fontId="35" fillId="11" borderId="86" xfId="29" applyNumberFormat="1" applyFont="1" applyFill="1" applyBorder="1" applyAlignment="1">
      <alignment horizontal="center" vertical="center" wrapText="1"/>
    </xf>
    <xf numFmtId="166" fontId="35" fillId="11" borderId="83" xfId="4" applyNumberFormat="1" applyFont="1" applyFill="1" applyBorder="1" applyAlignment="1">
      <alignment horizontal="center" vertical="center" wrapText="1"/>
    </xf>
    <xf numFmtId="168" fontId="35" fillId="11" borderId="81" xfId="4" applyNumberFormat="1" applyFont="1" applyFill="1" applyBorder="1" applyAlignment="1">
      <alignment horizontal="center" vertical="center" wrapText="1"/>
    </xf>
    <xf numFmtId="166" fontId="35" fillId="11" borderId="81" xfId="29" applyNumberFormat="1" applyFont="1" applyFill="1" applyBorder="1" applyAlignment="1">
      <alignment horizontal="center" vertical="center" wrapText="1"/>
    </xf>
    <xf numFmtId="38" fontId="35" fillId="11" borderId="81" xfId="29" applyNumberFormat="1" applyFont="1" applyFill="1" applyBorder="1" applyAlignment="1">
      <alignment horizontal="center" vertical="center" wrapText="1"/>
    </xf>
    <xf numFmtId="38" fontId="35" fillId="11" borderId="84" xfId="29" applyNumberFormat="1" applyFont="1" applyFill="1" applyBorder="1" applyAlignment="1">
      <alignment horizontal="center" vertical="center" wrapText="1"/>
    </xf>
    <xf numFmtId="38" fontId="35" fillId="11" borderId="84" xfId="4" applyNumberFormat="1" applyFont="1" applyFill="1" applyBorder="1" applyAlignment="1">
      <alignment horizontal="center" vertical="center" wrapText="1"/>
    </xf>
    <xf numFmtId="38" fontId="71" fillId="11" borderId="172" xfId="4" applyNumberFormat="1" applyFont="1" applyFill="1" applyBorder="1" applyAlignment="1">
      <alignment horizontal="center" vertical="center" wrapText="1"/>
    </xf>
    <xf numFmtId="38" fontId="71" fillId="11" borderId="84" xfId="4" applyNumberFormat="1" applyFont="1" applyFill="1" applyBorder="1" applyAlignment="1">
      <alignment horizontal="center" vertical="center" wrapText="1"/>
    </xf>
    <xf numFmtId="38" fontId="71" fillId="11" borderId="86" xfId="4" applyNumberFormat="1" applyFont="1" applyFill="1" applyBorder="1" applyAlignment="1">
      <alignment horizontal="center" vertical="center" wrapText="1"/>
    </xf>
    <xf numFmtId="0" fontId="3" fillId="11" borderId="94" xfId="4" applyFont="1" applyFill="1" applyBorder="1" applyAlignment="1">
      <alignment horizontal="left" vertical="center" wrapText="1"/>
    </xf>
    <xf numFmtId="0" fontId="35" fillId="11" borderId="82" xfId="4" applyFont="1" applyFill="1" applyBorder="1" applyAlignment="1">
      <alignment horizontal="center" vertical="center" wrapText="1"/>
    </xf>
    <xf numFmtId="0" fontId="69" fillId="11" borderId="83" xfId="34" applyFont="1" applyFill="1" applyBorder="1" applyAlignment="1">
      <alignment horizontal="left" vertical="center" wrapText="1"/>
    </xf>
    <xf numFmtId="0" fontId="35" fillId="11" borderId="85" xfId="35" applyFont="1" applyFill="1" applyBorder="1" applyAlignment="1">
      <alignment horizontal="center" vertical="center" wrapText="1"/>
    </xf>
    <xf numFmtId="168" fontId="35" fillId="11" borderId="81" xfId="29" applyNumberFormat="1" applyFont="1" applyFill="1" applyBorder="1" applyAlignment="1">
      <alignment horizontal="center" vertical="center" wrapText="1"/>
    </xf>
    <xf numFmtId="168" fontId="35" fillId="11" borderId="84" xfId="29" applyNumberFormat="1" applyFont="1" applyFill="1" applyBorder="1" applyAlignment="1">
      <alignment horizontal="center" vertical="center" wrapText="1"/>
    </xf>
    <xf numFmtId="0" fontId="35" fillId="11" borderId="85" xfId="28" applyFont="1" applyFill="1" applyBorder="1" applyAlignment="1">
      <alignment horizontal="center" vertical="center" wrapText="1"/>
    </xf>
    <xf numFmtId="168" fontId="35" fillId="11" borderId="85" xfId="29" applyNumberFormat="1" applyFont="1" applyFill="1" applyBorder="1" applyAlignment="1">
      <alignment horizontal="center" vertical="center" wrapText="1"/>
    </xf>
    <xf numFmtId="0" fontId="35" fillId="11" borderId="87" xfId="4" applyFont="1" applyFill="1" applyBorder="1" applyAlignment="1">
      <alignment horizontal="center" vertical="center" wrapText="1"/>
    </xf>
    <xf numFmtId="0" fontId="35" fillId="11" borderId="88" xfId="4" applyFont="1" applyFill="1" applyBorder="1" applyAlignment="1">
      <alignment horizontal="center" vertical="center" wrapText="1"/>
    </xf>
    <xf numFmtId="0" fontId="69" fillId="11" borderId="89" xfId="34" applyFont="1" applyFill="1" applyBorder="1" applyAlignment="1">
      <alignment horizontal="left" vertical="center" wrapText="1"/>
    </xf>
    <xf numFmtId="168" fontId="35" fillId="11" borderId="87" xfId="4" applyNumberFormat="1" applyFont="1" applyFill="1" applyBorder="1" applyAlignment="1" applyProtection="1">
      <alignment horizontal="center" vertical="center" wrapText="1"/>
      <protection locked="0"/>
    </xf>
    <xf numFmtId="0" fontId="35" fillId="11" borderId="90" xfId="4" applyFont="1" applyFill="1" applyBorder="1" applyAlignment="1" applyProtection="1">
      <alignment horizontal="center" vertical="center" wrapText="1"/>
      <protection locked="0"/>
    </xf>
    <xf numFmtId="0" fontId="35" fillId="11" borderId="91" xfId="35" applyFont="1" applyFill="1" applyBorder="1" applyAlignment="1">
      <alignment horizontal="center" vertical="center" wrapText="1"/>
    </xf>
    <xf numFmtId="38" fontId="35" fillId="11" borderId="87" xfId="29" applyNumberFormat="1" applyFont="1" applyFill="1" applyBorder="1" applyAlignment="1">
      <alignment horizontal="center" vertical="center" wrapText="1"/>
    </xf>
    <xf numFmtId="168" fontId="35" fillId="11" borderId="87" xfId="29" applyNumberFormat="1" applyFont="1" applyFill="1" applyBorder="1" applyAlignment="1">
      <alignment horizontal="center" vertical="center" wrapText="1"/>
    </xf>
    <xf numFmtId="38" fontId="35" fillId="11" borderId="92" xfId="29" applyNumberFormat="1" applyFont="1" applyFill="1" applyBorder="1" applyAlignment="1">
      <alignment horizontal="center" vertical="center" wrapText="1"/>
    </xf>
    <xf numFmtId="168" fontId="35" fillId="11" borderId="91" xfId="29" applyNumberFormat="1" applyFont="1" applyFill="1" applyBorder="1" applyAlignment="1">
      <alignment horizontal="center" vertical="center" wrapText="1"/>
    </xf>
    <xf numFmtId="168" fontId="35" fillId="11" borderId="90" xfId="29" applyNumberFormat="1" applyFont="1" applyFill="1" applyBorder="1" applyAlignment="1">
      <alignment horizontal="center" vertical="center" wrapText="1"/>
    </xf>
    <xf numFmtId="38" fontId="71" fillId="11" borderId="171" xfId="4" applyNumberFormat="1" applyFont="1" applyFill="1" applyBorder="1" applyAlignment="1">
      <alignment horizontal="center" vertical="center" wrapText="1"/>
    </xf>
    <xf numFmtId="38" fontId="71" fillId="11" borderId="90" xfId="4" applyNumberFormat="1" applyFont="1" applyFill="1" applyBorder="1" applyAlignment="1">
      <alignment horizontal="center" vertical="center" wrapText="1"/>
    </xf>
    <xf numFmtId="38" fontId="71" fillId="11" borderId="92" xfId="4" applyNumberFormat="1" applyFont="1" applyFill="1" applyBorder="1" applyAlignment="1">
      <alignment horizontal="center" vertical="center" wrapText="1"/>
    </xf>
    <xf numFmtId="0" fontId="25" fillId="0" borderId="73" xfId="36" applyFont="1" applyBorder="1" applyAlignment="1">
      <alignment horizontal="center" vertical="center" wrapText="1"/>
    </xf>
    <xf numFmtId="168" fontId="25" fillId="0" borderId="1" xfId="37" applyNumberFormat="1" applyFont="1" applyBorder="1" applyAlignment="1">
      <alignment horizontal="center" vertical="center" wrapText="1"/>
    </xf>
    <xf numFmtId="168" fontId="25" fillId="0" borderId="71" xfId="37" applyNumberFormat="1" applyFont="1" applyBorder="1" applyAlignment="1">
      <alignment horizontal="center" vertical="center" wrapText="1"/>
    </xf>
    <xf numFmtId="166" fontId="25" fillId="10" borderId="3" xfId="37" applyNumberFormat="1" applyFont="1" applyFill="1" applyBorder="1" applyAlignment="1">
      <alignment horizontal="center" vertical="center" wrapText="1"/>
    </xf>
    <xf numFmtId="168" fontId="25" fillId="10" borderId="1" xfId="37" applyNumberFormat="1" applyFont="1" applyFill="1" applyBorder="1" applyAlignment="1">
      <alignment horizontal="center" vertical="center" wrapText="1"/>
    </xf>
    <xf numFmtId="166" fontId="25" fillId="10" borderId="1" xfId="37" applyNumberFormat="1" applyFont="1" applyFill="1" applyBorder="1" applyAlignment="1">
      <alignment horizontal="center" vertical="center" wrapText="1"/>
    </xf>
    <xf numFmtId="166" fontId="25" fillId="10" borderId="2" xfId="37" applyNumberFormat="1" applyFont="1" applyFill="1" applyBorder="1" applyAlignment="1">
      <alignment horizontal="center" vertical="center" wrapText="1"/>
    </xf>
    <xf numFmtId="168" fontId="25" fillId="10" borderId="73" xfId="37" applyNumberFormat="1" applyFont="1" applyFill="1" applyBorder="1" applyAlignment="1">
      <alignment horizontal="center" vertical="center" wrapText="1"/>
    </xf>
    <xf numFmtId="168" fontId="25" fillId="10" borderId="2" xfId="37" applyNumberFormat="1" applyFont="1" applyFill="1" applyBorder="1" applyAlignment="1">
      <alignment horizontal="center" vertical="center" wrapText="1"/>
    </xf>
    <xf numFmtId="0" fontId="25" fillId="10" borderId="2" xfId="36" applyFont="1" applyFill="1" applyBorder="1" applyAlignment="1">
      <alignment horizontal="center" vertical="center" wrapText="1"/>
    </xf>
    <xf numFmtId="38" fontId="25" fillId="10" borderId="71" xfId="37" applyNumberFormat="1" applyFont="1" applyFill="1" applyBorder="1" applyAlignment="1">
      <alignment horizontal="center" vertical="center" wrapText="1"/>
    </xf>
    <xf numFmtId="168" fontId="17" fillId="0" borderId="68" xfId="4" applyNumberFormat="1" applyFont="1" applyBorder="1" applyAlignment="1">
      <alignment horizontal="center" vertical="center" wrapText="1"/>
    </xf>
    <xf numFmtId="168" fontId="17" fillId="0" borderId="2" xfId="4" applyNumberFormat="1" applyFont="1" applyBorder="1" applyAlignment="1">
      <alignment horizontal="center" vertical="center" wrapText="1"/>
    </xf>
    <xf numFmtId="168" fontId="17" fillId="0" borderId="71" xfId="4" applyNumberFormat="1" applyFont="1" applyBorder="1" applyAlignment="1">
      <alignment horizontal="center" vertical="center" wrapText="1"/>
    </xf>
    <xf numFmtId="168" fontId="3" fillId="5" borderId="31" xfId="29" applyNumberFormat="1" applyFont="1" applyFill="1" applyBorder="1" applyAlignment="1">
      <alignment horizontal="center" vertical="center" wrapText="1"/>
    </xf>
    <xf numFmtId="166" fontId="3" fillId="5" borderId="30" xfId="29" applyNumberFormat="1" applyFont="1" applyFill="1" applyBorder="1" applyAlignment="1">
      <alignment horizontal="center" vertical="center" wrapText="1"/>
    </xf>
    <xf numFmtId="166" fontId="3" fillId="5" borderId="31" xfId="29" applyNumberFormat="1" applyFont="1" applyFill="1" applyBorder="1" applyAlignment="1">
      <alignment horizontal="center" vertical="center" wrapText="1"/>
    </xf>
    <xf numFmtId="38" fontId="3" fillId="5" borderId="29" xfId="29" applyNumberFormat="1" applyFont="1" applyFill="1" applyBorder="1" applyAlignment="1">
      <alignment horizontal="center" vertical="center" wrapText="1"/>
    </xf>
    <xf numFmtId="38" fontId="17" fillId="0" borderId="170" xfId="29" applyNumberFormat="1" applyFont="1" applyBorder="1" applyAlignment="1">
      <alignment horizontal="center" vertical="center" wrapText="1"/>
    </xf>
    <xf numFmtId="38" fontId="17" fillId="0" borderId="78" xfId="29" applyNumberFormat="1" applyFont="1" applyBorder="1" applyAlignment="1">
      <alignment horizontal="center" vertical="center" wrapText="1"/>
    </xf>
    <xf numFmtId="167" fontId="3" fillId="0" borderId="81" xfId="29" applyNumberFormat="1" applyFont="1" applyBorder="1" applyAlignment="1">
      <alignment horizontal="center" vertical="center" wrapText="1"/>
    </xf>
    <xf numFmtId="0" fontId="3" fillId="0" borderId="85" xfId="28" applyFont="1" applyBorder="1" applyAlignment="1">
      <alignment horizontal="center" vertical="center" wrapText="1"/>
    </xf>
    <xf numFmtId="0" fontId="3" fillId="0" borderId="89" xfId="27" quotePrefix="1" applyFont="1" applyBorder="1" applyAlignment="1">
      <alignment vertical="center" wrapText="1"/>
    </xf>
    <xf numFmtId="167" fontId="3" fillId="0" borderId="95" xfId="29" applyNumberFormat="1" applyFont="1" applyBorder="1" applyAlignment="1">
      <alignment horizontal="center" vertical="center" wrapText="1"/>
    </xf>
    <xf numFmtId="0" fontId="3" fillId="0" borderId="107" xfId="27" applyFont="1" applyBorder="1" applyAlignment="1">
      <alignment vertical="center" wrapText="1"/>
    </xf>
    <xf numFmtId="0" fontId="3" fillId="0" borderId="105" xfId="27" applyFont="1" applyBorder="1" applyAlignment="1">
      <alignment horizontal="center" vertical="center" wrapText="1"/>
    </xf>
    <xf numFmtId="0" fontId="3" fillId="0" borderId="105" xfId="4" applyFont="1" applyBorder="1" applyAlignment="1" applyProtection="1">
      <alignment horizontal="center" vertical="center" wrapText="1"/>
      <protection locked="0"/>
    </xf>
    <xf numFmtId="38" fontId="3" fillId="0" borderId="76" xfId="29" applyNumberFormat="1" applyFont="1" applyBorder="1" applyAlignment="1">
      <alignment horizontal="center" vertical="center" wrapText="1"/>
    </xf>
    <xf numFmtId="38" fontId="3" fillId="0" borderId="170" xfId="29" applyNumberFormat="1" applyFont="1" applyBorder="1" applyAlignment="1">
      <alignment horizontal="center" vertical="center" wrapText="1"/>
    </xf>
    <xf numFmtId="167" fontId="3" fillId="0" borderId="78" xfId="29" applyNumberFormat="1" applyFont="1" applyBorder="1" applyAlignment="1">
      <alignment horizontal="center" vertical="center" wrapText="1"/>
    </xf>
    <xf numFmtId="0" fontId="6" fillId="0" borderId="82" xfId="0" applyFont="1" applyBorder="1" applyAlignment="1">
      <alignment horizontal="center" vertical="center" wrapText="1"/>
    </xf>
    <xf numFmtId="0" fontId="6" fillId="0" borderId="94" xfId="27" applyFont="1" applyBorder="1" applyAlignment="1">
      <alignment horizontal="left" vertical="center" wrapText="1"/>
    </xf>
    <xf numFmtId="0" fontId="6" fillId="0" borderId="0" xfId="4" applyFont="1"/>
    <xf numFmtId="0" fontId="3" fillId="0" borderId="89" xfId="0" quotePrefix="1" applyFont="1" applyBorder="1" applyAlignment="1">
      <alignment horizontal="left" vertical="center" wrapText="1"/>
    </xf>
    <xf numFmtId="38" fontId="3" fillId="0" borderId="76" xfId="4" applyNumberFormat="1" applyFont="1" applyBorder="1" applyAlignment="1">
      <alignment horizontal="center" vertical="center" wrapText="1"/>
    </xf>
    <xf numFmtId="38" fontId="3" fillId="0" borderId="170" xfId="4" applyNumberFormat="1" applyFont="1" applyBorder="1" applyAlignment="1">
      <alignment horizontal="center" vertical="center" wrapText="1"/>
    </xf>
    <xf numFmtId="167" fontId="3" fillId="0" borderId="78" xfId="4" applyNumberFormat="1" applyFont="1" applyBorder="1" applyAlignment="1">
      <alignment horizontal="center" vertical="center" wrapText="1"/>
    </xf>
    <xf numFmtId="0" fontId="5" fillId="0" borderId="106" xfId="0" applyFont="1" applyBorder="1" applyAlignment="1">
      <alignment horizontal="left" vertical="center" wrapText="1"/>
    </xf>
    <xf numFmtId="0" fontId="3" fillId="0" borderId="109" xfId="4" applyFont="1" applyBorder="1" applyAlignment="1">
      <alignment horizontal="center" vertical="center" wrapText="1"/>
    </xf>
    <xf numFmtId="0" fontId="3" fillId="0" borderId="139" xfId="4" applyFont="1" applyBorder="1" applyAlignment="1">
      <alignment horizontal="left" vertical="center" wrapText="1"/>
    </xf>
    <xf numFmtId="0" fontId="5" fillId="0" borderId="31" xfId="4" applyFont="1" applyBorder="1" applyAlignment="1">
      <alignment horizontal="center" vertical="center" wrapText="1"/>
    </xf>
    <xf numFmtId="0" fontId="5" fillId="0" borderId="0" xfId="0" applyFont="1" applyAlignment="1">
      <alignment horizontal="left" vertical="center" wrapText="1"/>
    </xf>
    <xf numFmtId="168" fontId="3" fillId="0" borderId="31" xfId="4" applyNumberFormat="1" applyFont="1" applyBorder="1" applyAlignment="1" applyProtection="1">
      <alignment horizontal="center" vertical="center" wrapText="1"/>
      <protection locked="0"/>
    </xf>
    <xf numFmtId="0" fontId="3" fillId="0" borderId="29" xfId="4" applyFont="1" applyBorder="1" applyAlignment="1" applyProtection="1">
      <alignment horizontal="center" vertical="center" wrapText="1"/>
      <protection locked="0"/>
    </xf>
    <xf numFmtId="0" fontId="3" fillId="0" borderId="70" xfId="4" applyFont="1" applyBorder="1" applyAlignment="1">
      <alignment horizontal="left" vertical="center" wrapText="1"/>
    </xf>
    <xf numFmtId="0" fontId="5" fillId="5" borderId="1" xfId="4"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3" fillId="5" borderId="1" xfId="4" applyFont="1" applyFill="1" applyBorder="1" applyAlignment="1" applyProtection="1">
      <alignment horizontal="center" vertical="center" wrapText="1"/>
      <protection locked="0"/>
    </xf>
    <xf numFmtId="0" fontId="3" fillId="5" borderId="2" xfId="4" applyFont="1" applyFill="1" applyBorder="1" applyAlignment="1" applyProtection="1">
      <alignment horizontal="center" vertical="center" wrapText="1"/>
      <protection locked="0"/>
    </xf>
    <xf numFmtId="0" fontId="3" fillId="5" borderId="73" xfId="4" applyFont="1" applyFill="1" applyBorder="1" applyAlignment="1">
      <alignment horizontal="center" vertical="center" wrapText="1"/>
    </xf>
    <xf numFmtId="166" fontId="3" fillId="5" borderId="1" xfId="29" applyNumberFormat="1" applyFont="1" applyFill="1" applyBorder="1" applyAlignment="1">
      <alignment horizontal="center" vertical="center" wrapText="1"/>
    </xf>
    <xf numFmtId="0" fontId="3" fillId="5" borderId="2" xfId="4" applyFont="1" applyFill="1" applyBorder="1" applyAlignment="1">
      <alignment horizontal="center" vertical="center" wrapText="1"/>
    </xf>
    <xf numFmtId="38" fontId="17" fillId="5" borderId="68" xfId="4" applyNumberFormat="1" applyFont="1" applyFill="1" applyBorder="1" applyAlignment="1">
      <alignment horizontal="center" vertical="center" wrapText="1"/>
    </xf>
    <xf numFmtId="38" fontId="17" fillId="5" borderId="2" xfId="4" applyNumberFormat="1" applyFont="1" applyFill="1" applyBorder="1" applyAlignment="1">
      <alignment horizontal="center" vertical="center" wrapText="1"/>
    </xf>
    <xf numFmtId="38" fontId="17" fillId="5" borderId="71" xfId="29" applyNumberFormat="1" applyFont="1" applyFill="1" applyBorder="1" applyAlignment="1">
      <alignment horizontal="center" vertical="center" wrapText="1"/>
    </xf>
    <xf numFmtId="0" fontId="3" fillId="5" borderId="20" xfId="4" applyFont="1" applyFill="1" applyBorder="1" applyAlignment="1">
      <alignment horizontal="left" vertical="center" wrapText="1"/>
    </xf>
    <xf numFmtId="0" fontId="5" fillId="0" borderId="48" xfId="4" applyFont="1" applyBorder="1" applyAlignment="1">
      <alignment horizontal="center" vertical="center" wrapText="1"/>
    </xf>
    <xf numFmtId="0" fontId="5" fillId="0" borderId="47" xfId="4" applyFont="1" applyBorder="1" applyAlignment="1">
      <alignment horizontal="center" vertical="center" wrapText="1"/>
    </xf>
    <xf numFmtId="0" fontId="3" fillId="0" borderId="45" xfId="0" applyFont="1" applyBorder="1" applyAlignment="1">
      <alignment horizontal="center" vertical="center" wrapText="1"/>
    </xf>
    <xf numFmtId="0" fontId="41" fillId="0" borderId="46" xfId="27" applyFont="1" applyBorder="1" applyAlignment="1">
      <alignment vertical="center" wrapText="1"/>
    </xf>
    <xf numFmtId="0" fontId="41" fillId="0" borderId="47" xfId="27" applyFont="1" applyBorder="1" applyAlignment="1">
      <alignment horizontal="center" vertical="center" wrapText="1"/>
    </xf>
    <xf numFmtId="168" fontId="41" fillId="0" borderId="72" xfId="27" applyNumberFormat="1" applyFont="1" applyBorder="1" applyAlignment="1" applyProtection="1">
      <alignment horizontal="center" vertical="center" wrapText="1"/>
      <protection locked="0"/>
    </xf>
    <xf numFmtId="0" fontId="3" fillId="0" borderId="73" xfId="33" applyFont="1" applyBorder="1" applyAlignment="1">
      <alignment horizontal="center" vertical="center" wrapText="1"/>
    </xf>
    <xf numFmtId="38" fontId="3" fillId="18" borderId="47" xfId="29" applyNumberFormat="1" applyFont="1" applyFill="1" applyBorder="1" applyAlignment="1">
      <alignment horizontal="center" vertical="center" wrapText="1"/>
    </xf>
    <xf numFmtId="0" fontId="3" fillId="0" borderId="1" xfId="33" quotePrefix="1" applyFont="1" applyBorder="1" applyAlignment="1">
      <alignment horizontal="center" vertical="center" wrapText="1"/>
    </xf>
    <xf numFmtId="38" fontId="3" fillId="0" borderId="1" xfId="4" applyNumberFormat="1" applyFont="1" applyBorder="1" applyAlignment="1">
      <alignment horizontal="center" vertical="center" wrapText="1"/>
    </xf>
    <xf numFmtId="38" fontId="3" fillId="0" borderId="71" xfId="4" applyNumberFormat="1" applyFont="1" applyBorder="1" applyAlignment="1">
      <alignment horizontal="center" vertical="center" wrapText="1"/>
    </xf>
    <xf numFmtId="166" fontId="3" fillId="0" borderId="3" xfId="33" quotePrefix="1" applyNumberFormat="1" applyFont="1" applyBorder="1" applyAlignment="1">
      <alignment horizontal="center" vertical="center" wrapText="1"/>
    </xf>
    <xf numFmtId="166" fontId="3" fillId="0" borderId="1" xfId="33" quotePrefix="1" applyNumberFormat="1" applyFont="1" applyBorder="1" applyAlignment="1">
      <alignment horizontal="center" vertical="center" wrapText="1"/>
    </xf>
    <xf numFmtId="168" fontId="3" fillId="0" borderId="1" xfId="29" applyNumberFormat="1" applyFont="1" applyBorder="1" applyAlignment="1">
      <alignment horizontal="center" vertical="center" wrapText="1"/>
    </xf>
    <xf numFmtId="168" fontId="3" fillId="0" borderId="2" xfId="29" applyNumberFormat="1" applyFont="1" applyBorder="1" applyAlignment="1">
      <alignment horizontal="center" vertical="center" wrapText="1"/>
    </xf>
    <xf numFmtId="38" fontId="3" fillId="0" borderId="111" xfId="28" applyNumberFormat="1" applyFont="1" applyBorder="1" applyAlignment="1">
      <alignment horizontal="center" vertical="center" wrapText="1"/>
    </xf>
    <xf numFmtId="38" fontId="3" fillId="18" borderId="47" xfId="28" applyNumberFormat="1" applyFont="1" applyFill="1" applyBorder="1" applyAlignment="1">
      <alignment horizontal="center" vertical="center" wrapText="1"/>
    </xf>
    <xf numFmtId="38" fontId="3" fillId="0" borderId="47" xfId="28" applyNumberFormat="1" applyFont="1" applyBorder="1" applyAlignment="1">
      <alignment horizontal="center" vertical="center" wrapText="1"/>
    </xf>
    <xf numFmtId="38" fontId="17" fillId="0" borderId="113" xfId="4" applyNumberFormat="1" applyFont="1" applyBorder="1" applyAlignment="1">
      <alignment horizontal="center" vertical="center" wrapText="1"/>
    </xf>
    <xf numFmtId="38" fontId="17" fillId="0" borderId="72" xfId="4" applyNumberFormat="1" applyFont="1" applyBorder="1" applyAlignment="1">
      <alignment horizontal="center" vertical="center" wrapText="1"/>
    </xf>
    <xf numFmtId="38" fontId="17" fillId="0" borderId="112" xfId="4" applyNumberFormat="1" applyFont="1" applyBorder="1" applyAlignment="1">
      <alignment horizontal="center" vertical="center" wrapText="1"/>
    </xf>
    <xf numFmtId="168" fontId="41" fillId="0" borderId="74" xfId="27" applyNumberFormat="1" applyFont="1" applyBorder="1" applyAlignment="1">
      <alignment horizontal="left" vertical="center" wrapText="1"/>
    </xf>
    <xf numFmtId="0" fontId="5" fillId="0" borderId="8" xfId="4" applyFont="1" applyBorder="1" applyAlignment="1">
      <alignment horizontal="center" vertical="center" wrapText="1"/>
    </xf>
    <xf numFmtId="0" fontId="5" fillId="5" borderId="47" xfId="4" applyFont="1" applyFill="1" applyBorder="1" applyAlignment="1">
      <alignment horizontal="center" vertical="center" wrapText="1"/>
    </xf>
    <xf numFmtId="0" fontId="3" fillId="5" borderId="45" xfId="0" applyFont="1" applyFill="1" applyBorder="1" applyAlignment="1">
      <alignment horizontal="center" vertical="center" wrapText="1"/>
    </xf>
    <xf numFmtId="0" fontId="3" fillId="5" borderId="46" xfId="0" applyFont="1" applyFill="1" applyBorder="1" applyAlignment="1">
      <alignment horizontal="left" vertical="center" wrapText="1"/>
    </xf>
    <xf numFmtId="0" fontId="3" fillId="5" borderId="47" xfId="4" applyFont="1" applyFill="1" applyBorder="1" applyAlignment="1">
      <alignment horizontal="center" vertical="center" wrapText="1"/>
    </xf>
    <xf numFmtId="0" fontId="3" fillId="5" borderId="47" xfId="4" applyFont="1" applyFill="1" applyBorder="1" applyAlignment="1" applyProtection="1">
      <alignment horizontal="center" vertical="center" wrapText="1"/>
      <protection locked="0"/>
    </xf>
    <xf numFmtId="0" fontId="3" fillId="5" borderId="72" xfId="4" applyFont="1" applyFill="1" applyBorder="1" applyAlignment="1" applyProtection="1">
      <alignment horizontal="center" vertical="center" wrapText="1"/>
      <protection locked="0"/>
    </xf>
    <xf numFmtId="0" fontId="3" fillId="5" borderId="111" xfId="4" applyFont="1" applyFill="1" applyBorder="1" applyAlignment="1">
      <alignment horizontal="center" vertical="center" wrapText="1"/>
    </xf>
    <xf numFmtId="38" fontId="3" fillId="5" borderId="47" xfId="29" applyNumberFormat="1" applyFont="1" applyFill="1" applyBorder="1" applyAlignment="1">
      <alignment horizontal="center" vertical="center" wrapText="1"/>
    </xf>
    <xf numFmtId="168" fontId="3" fillId="5" borderId="47" xfId="29" applyNumberFormat="1" applyFont="1" applyFill="1" applyBorder="1" applyAlignment="1">
      <alignment horizontal="center" vertical="center" wrapText="1"/>
    </xf>
    <xf numFmtId="38" fontId="3" fillId="5" borderId="112" xfId="29" applyNumberFormat="1" applyFont="1" applyFill="1" applyBorder="1" applyAlignment="1">
      <alignment horizontal="center" vertical="center" wrapText="1"/>
    </xf>
    <xf numFmtId="166" fontId="3" fillId="5" borderId="46" xfId="29" applyNumberFormat="1" applyFont="1" applyFill="1" applyBorder="1" applyAlignment="1">
      <alignment horizontal="center" vertical="center" wrapText="1"/>
    </xf>
    <xf numFmtId="166" fontId="3" fillId="5" borderId="47" xfId="29" applyNumberFormat="1" applyFont="1" applyFill="1" applyBorder="1" applyAlignment="1">
      <alignment horizontal="center" vertical="center" wrapText="1"/>
    </xf>
    <xf numFmtId="38" fontId="3" fillId="5" borderId="72" xfId="29" applyNumberFormat="1" applyFont="1" applyFill="1" applyBorder="1" applyAlignment="1">
      <alignment horizontal="center" vertical="center" wrapText="1"/>
    </xf>
    <xf numFmtId="38" fontId="3" fillId="5" borderId="2" xfId="4" applyNumberFormat="1" applyFont="1" applyFill="1" applyBorder="1" applyAlignment="1">
      <alignment horizontal="center" vertical="center" wrapText="1"/>
    </xf>
    <xf numFmtId="0" fontId="3" fillId="5" borderId="74" xfId="4" applyFont="1" applyFill="1" applyBorder="1" applyAlignment="1">
      <alignment horizontal="left" vertical="center" wrapText="1"/>
    </xf>
    <xf numFmtId="0" fontId="5" fillId="20" borderId="8" xfId="4" applyFont="1" applyFill="1" applyBorder="1" applyAlignment="1">
      <alignment horizontal="center" vertical="center" wrapText="1"/>
    </xf>
    <xf numFmtId="0" fontId="3" fillId="20" borderId="1" xfId="4" applyFont="1" applyFill="1" applyBorder="1" applyAlignment="1">
      <alignment horizontal="center" vertical="center" wrapText="1"/>
    </xf>
    <xf numFmtId="0" fontId="3" fillId="20" borderId="19" xfId="4" applyFont="1" applyFill="1" applyBorder="1" applyAlignment="1">
      <alignment horizontal="center" vertical="center" wrapText="1"/>
    </xf>
    <xf numFmtId="0" fontId="41" fillId="20" borderId="46" xfId="34" applyFont="1" applyFill="1" applyBorder="1" applyAlignment="1">
      <alignment horizontal="left" vertical="center" wrapText="1"/>
    </xf>
    <xf numFmtId="0" fontId="3" fillId="20" borderId="9" xfId="4" applyFont="1" applyFill="1" applyBorder="1" applyAlignment="1">
      <alignment horizontal="center" vertical="center" wrapText="1"/>
    </xf>
    <xf numFmtId="168" fontId="3" fillId="20" borderId="1" xfId="4" applyNumberFormat="1" applyFont="1" applyFill="1" applyBorder="1" applyAlignment="1" applyProtection="1">
      <alignment horizontal="center" vertical="center" wrapText="1"/>
      <protection locked="0"/>
    </xf>
    <xf numFmtId="168" fontId="3" fillId="20" borderId="2" xfId="4" applyNumberFormat="1" applyFont="1" applyFill="1" applyBorder="1" applyAlignment="1" applyProtection="1">
      <alignment horizontal="center" vertical="center" wrapText="1"/>
      <protection locked="0"/>
    </xf>
    <xf numFmtId="0" fontId="3" fillId="9" borderId="20" xfId="4" applyFont="1" applyFill="1" applyBorder="1" applyAlignment="1">
      <alignment horizontal="left" vertical="center" wrapText="1"/>
    </xf>
    <xf numFmtId="0" fontId="72" fillId="20" borderId="21" xfId="4" applyFont="1" applyFill="1" applyBorder="1" applyAlignment="1">
      <alignment horizontal="center" vertical="center" wrapText="1"/>
    </xf>
    <xf numFmtId="0" fontId="72" fillId="20" borderId="1" xfId="4" applyFont="1" applyFill="1" applyBorder="1" applyAlignment="1">
      <alignment horizontal="center" vertical="center" wrapText="1"/>
    </xf>
    <xf numFmtId="0" fontId="72" fillId="20" borderId="19" xfId="4" applyFont="1" applyFill="1" applyBorder="1" applyAlignment="1">
      <alignment horizontal="center" vertical="center" wrapText="1"/>
    </xf>
    <xf numFmtId="0" fontId="73" fillId="20" borderId="46" xfId="34" applyFont="1" applyFill="1" applyBorder="1" applyAlignment="1">
      <alignment horizontal="left" vertical="center" wrapText="1"/>
    </xf>
    <xf numFmtId="0" fontId="72" fillId="20" borderId="9" xfId="4" applyFont="1" applyFill="1" applyBorder="1" applyAlignment="1">
      <alignment horizontal="center" vertical="center" wrapText="1"/>
    </xf>
    <xf numFmtId="168" fontId="72" fillId="20" borderId="1" xfId="4" applyNumberFormat="1" applyFont="1" applyFill="1" applyBorder="1" applyAlignment="1" applyProtection="1">
      <alignment horizontal="center" vertical="center" wrapText="1"/>
      <protection locked="0"/>
    </xf>
    <xf numFmtId="168" fontId="72" fillId="20" borderId="2" xfId="4" applyNumberFormat="1" applyFont="1" applyFill="1" applyBorder="1" applyAlignment="1" applyProtection="1">
      <alignment horizontal="center" vertical="center" wrapText="1"/>
      <protection locked="0"/>
    </xf>
    <xf numFmtId="168" fontId="54" fillId="3" borderId="113" xfId="37" applyNumberFormat="1" applyFont="1" applyFill="1" applyBorder="1" applyAlignment="1">
      <alignment horizontal="center" vertical="center" wrapText="1"/>
    </xf>
    <xf numFmtId="168" fontId="54" fillId="3" borderId="47" xfId="37" applyNumberFormat="1" applyFont="1" applyFill="1" applyBorder="1" applyAlignment="1">
      <alignment horizontal="center" vertical="center" wrapText="1"/>
    </xf>
    <xf numFmtId="168" fontId="54" fillId="3" borderId="72" xfId="37" applyNumberFormat="1" applyFont="1" applyFill="1" applyBorder="1" applyAlignment="1">
      <alignment horizontal="center" vertical="center" wrapText="1"/>
    </xf>
    <xf numFmtId="168" fontId="54" fillId="3" borderId="112" xfId="37" applyNumberFormat="1" applyFont="1" applyFill="1" applyBorder="1" applyAlignment="1">
      <alignment horizontal="center" vertical="center" wrapText="1"/>
    </xf>
    <xf numFmtId="168" fontId="54" fillId="7" borderId="45" xfId="37" applyNumberFormat="1" applyFont="1" applyFill="1" applyBorder="1" applyAlignment="1">
      <alignment horizontal="center" vertical="center" wrapText="1"/>
    </xf>
    <xf numFmtId="168" fontId="54" fillId="7" borderId="72" xfId="37" applyNumberFormat="1" applyFont="1" applyFill="1" applyBorder="1" applyAlignment="1">
      <alignment horizontal="center" vertical="center" wrapText="1"/>
    </xf>
    <xf numFmtId="168" fontId="5" fillId="7" borderId="72" xfId="37" applyNumberFormat="1" applyFont="1" applyFill="1" applyBorder="1" applyAlignment="1">
      <alignment horizontal="center" vertical="center" wrapText="1"/>
    </xf>
    <xf numFmtId="10" fontId="5" fillId="7" borderId="72" xfId="37" applyNumberFormat="1" applyFont="1" applyFill="1" applyBorder="1" applyAlignment="1">
      <alignment horizontal="center" vertical="center" wrapText="1"/>
    </xf>
    <xf numFmtId="0" fontId="54" fillId="8" borderId="111" xfId="36" applyFont="1" applyFill="1" applyBorder="1" applyAlignment="1">
      <alignment horizontal="center" vertical="center" wrapText="1"/>
    </xf>
    <xf numFmtId="168" fontId="54" fillId="8" borderId="47" xfId="37" applyNumberFormat="1" applyFont="1" applyFill="1" applyBorder="1" applyAlignment="1">
      <alignment horizontal="center" vertical="center" wrapText="1"/>
    </xf>
    <xf numFmtId="168" fontId="54" fillId="8" borderId="72" xfId="37" applyNumberFormat="1" applyFont="1" applyFill="1" applyBorder="1" applyAlignment="1">
      <alignment horizontal="center" vertical="center" wrapText="1"/>
    </xf>
    <xf numFmtId="168" fontId="54" fillId="8" borderId="112" xfId="37" applyNumberFormat="1" applyFont="1" applyFill="1" applyBorder="1" applyAlignment="1">
      <alignment horizontal="center" vertical="center" wrapText="1"/>
    </xf>
    <xf numFmtId="168" fontId="54" fillId="21" borderId="111" xfId="37" applyNumberFormat="1" applyFont="1" applyFill="1" applyBorder="1" applyAlignment="1">
      <alignment horizontal="center" vertical="center" wrapText="1"/>
    </xf>
    <xf numFmtId="168" fontId="54" fillId="21" borderId="72" xfId="37" applyNumberFormat="1" applyFont="1" applyFill="1" applyBorder="1" applyAlignment="1">
      <alignment horizontal="center" vertical="center" wrapText="1"/>
    </xf>
    <xf numFmtId="168" fontId="54" fillId="21" borderId="112" xfId="37" applyNumberFormat="1" applyFont="1" applyFill="1" applyBorder="1" applyAlignment="1">
      <alignment horizontal="center" vertical="center" wrapText="1"/>
    </xf>
    <xf numFmtId="0" fontId="72" fillId="9" borderId="20" xfId="4" applyFont="1" applyFill="1" applyBorder="1" applyAlignment="1">
      <alignment horizontal="left" vertical="center" wrapText="1"/>
    </xf>
    <xf numFmtId="0" fontId="72" fillId="0" borderId="0" xfId="4" applyFont="1"/>
    <xf numFmtId="0" fontId="3" fillId="0" borderId="21" xfId="4" applyFont="1" applyBorder="1" applyAlignment="1">
      <alignment horizontal="center" vertical="center" wrapText="1"/>
    </xf>
    <xf numFmtId="0" fontId="3" fillId="5" borderId="19" xfId="4" applyFont="1" applyFill="1" applyBorder="1" applyAlignment="1" applyProtection="1">
      <alignment horizontal="right" vertical="center"/>
      <protection locked="0"/>
    </xf>
    <xf numFmtId="0" fontId="5" fillId="5" borderId="3" xfId="4" applyFont="1" applyFill="1" applyBorder="1" applyAlignment="1" applyProtection="1">
      <alignment horizontal="right" vertical="center"/>
      <protection locked="0"/>
    </xf>
    <xf numFmtId="0" fontId="5" fillId="5" borderId="1" xfId="4" applyFont="1" applyFill="1" applyBorder="1" applyAlignment="1">
      <alignment horizontal="left" vertical="center" wrapText="1"/>
    </xf>
    <xf numFmtId="168" fontId="5" fillId="5" borderId="3" xfId="4" applyNumberFormat="1" applyFont="1" applyFill="1" applyBorder="1" applyAlignment="1">
      <alignment horizontal="center" vertical="center" wrapText="1"/>
    </xf>
    <xf numFmtId="0" fontId="3" fillId="5" borderId="73" xfId="4" applyFont="1" applyFill="1" applyBorder="1" applyAlignment="1">
      <alignment horizontal="left" vertical="center" wrapText="1"/>
    </xf>
    <xf numFmtId="0" fontId="30" fillId="5" borderId="20" xfId="4" applyFont="1" applyFill="1" applyBorder="1" applyAlignment="1">
      <alignment horizontal="left" vertical="center" wrapText="1"/>
    </xf>
    <xf numFmtId="0" fontId="3" fillId="0" borderId="19" xfId="4" applyFont="1" applyBorder="1" applyAlignment="1" applyProtection="1">
      <alignment horizontal="right" vertical="center"/>
      <protection locked="0"/>
    </xf>
    <xf numFmtId="0" fontId="5" fillId="0" borderId="3" xfId="4" applyFont="1" applyBorder="1" applyAlignment="1" applyProtection="1">
      <alignment horizontal="right" vertical="center"/>
      <protection locked="0"/>
    </xf>
    <xf numFmtId="0" fontId="5" fillId="0" borderId="1" xfId="4" applyFont="1" applyBorder="1" applyAlignment="1">
      <alignment horizontal="left" vertical="center" wrapText="1"/>
    </xf>
    <xf numFmtId="166" fontId="5" fillId="0" borderId="3" xfId="4" applyNumberFormat="1" applyFont="1" applyBorder="1" applyAlignment="1">
      <alignment horizontal="center" vertical="center" wrapText="1"/>
    </xf>
    <xf numFmtId="174" fontId="5" fillId="0" borderId="2" xfId="4" applyNumberFormat="1" applyFont="1" applyBorder="1" applyAlignment="1">
      <alignment horizontal="center" vertical="center" wrapText="1"/>
    </xf>
    <xf numFmtId="166" fontId="3" fillId="0" borderId="73" xfId="4" applyNumberFormat="1" applyFont="1" applyBorder="1" applyAlignment="1">
      <alignment horizontal="left" vertical="center" wrapText="1"/>
    </xf>
    <xf numFmtId="0" fontId="30" fillId="0" borderId="20" xfId="4" applyFont="1" applyBorder="1" applyAlignment="1">
      <alignment horizontal="left" vertical="center" wrapText="1"/>
    </xf>
    <xf numFmtId="174" fontId="5" fillId="0" borderId="3" xfId="4" applyNumberFormat="1" applyFont="1" applyBorder="1" applyAlignment="1">
      <alignment horizontal="center" vertical="center" wrapText="1"/>
    </xf>
    <xf numFmtId="0" fontId="3" fillId="0" borderId="73" xfId="4" applyFont="1" applyBorder="1" applyAlignment="1">
      <alignment horizontal="left" vertical="center" wrapText="1"/>
    </xf>
    <xf numFmtId="0" fontId="3" fillId="0" borderId="1" xfId="4" applyFont="1" applyBorder="1" applyAlignment="1">
      <alignment horizontal="left" vertical="center" wrapText="1"/>
    </xf>
    <xf numFmtId="0" fontId="3" fillId="0" borderId="48" xfId="4" applyFont="1" applyBorder="1" applyAlignment="1">
      <alignment horizontal="center" vertical="center" wrapText="1"/>
    </xf>
    <xf numFmtId="0" fontId="3" fillId="0" borderId="114" xfId="4" applyFont="1" applyBorder="1" applyAlignment="1" applyProtection="1">
      <alignment horizontal="right" vertical="center"/>
      <protection locked="0"/>
    </xf>
    <xf numFmtId="0" fontId="30" fillId="0" borderId="3" xfId="4" applyFont="1" applyBorder="1" applyAlignment="1" applyProtection="1">
      <alignment horizontal="right" vertical="center"/>
      <protection locked="0"/>
    </xf>
    <xf numFmtId="0" fontId="30" fillId="0" borderId="1" xfId="4" applyFont="1" applyBorder="1" applyAlignment="1">
      <alignment horizontal="left" vertical="center" wrapText="1"/>
    </xf>
    <xf numFmtId="0" fontId="25" fillId="0" borderId="11" xfId="4" applyFont="1" applyBorder="1" applyAlignment="1">
      <alignment horizontal="left" vertical="center" wrapText="1"/>
    </xf>
    <xf numFmtId="0" fontId="3" fillId="0" borderId="22" xfId="4" applyFont="1" applyBorder="1" applyAlignment="1">
      <alignment horizontal="center" vertical="center" wrapText="1"/>
    </xf>
    <xf numFmtId="0" fontId="5" fillId="0" borderId="60" xfId="4" applyFont="1" applyBorder="1" applyAlignment="1">
      <alignment vertical="center" wrapText="1"/>
    </xf>
    <xf numFmtId="0" fontId="30" fillId="0" borderId="58" xfId="4" applyFont="1" applyBorder="1" applyAlignment="1" applyProtection="1">
      <alignment horizontal="right" vertical="center"/>
      <protection locked="0"/>
    </xf>
    <xf numFmtId="0" fontId="5" fillId="0" borderId="15" xfId="4" applyFont="1" applyBorder="1" applyAlignment="1">
      <alignment horizontal="left" vertical="center" wrapText="1"/>
    </xf>
    <xf numFmtId="0" fontId="3" fillId="0" borderId="16" xfId="4" applyFont="1" applyBorder="1" applyAlignment="1">
      <alignment horizontal="left" vertical="center" wrapText="1"/>
    </xf>
    <xf numFmtId="0" fontId="3" fillId="0" borderId="17" xfId="4" applyFont="1" applyBorder="1" applyAlignment="1">
      <alignment horizontal="left" vertical="center" wrapText="1"/>
    </xf>
    <xf numFmtId="167" fontId="56" fillId="0" borderId="128" xfId="10" applyNumberFormat="1" applyFont="1" applyBorder="1" applyAlignment="1">
      <alignment horizontal="center" vertical="center"/>
    </xf>
    <xf numFmtId="167" fontId="41" fillId="0" borderId="135" xfId="10" applyNumberFormat="1" applyFont="1" applyBorder="1" applyAlignment="1">
      <alignment horizontal="center" vertical="center"/>
    </xf>
    <xf numFmtId="167" fontId="25" fillId="0" borderId="135" xfId="10" applyNumberFormat="1" applyFont="1" applyBorder="1" applyAlignment="1">
      <alignment horizontal="center" vertical="center"/>
    </xf>
    <xf numFmtId="167" fontId="25" fillId="0" borderId="137" xfId="1" applyNumberFormat="1" applyFont="1" applyFill="1" applyBorder="1" applyAlignment="1">
      <alignment horizontal="center" vertical="center"/>
    </xf>
    <xf numFmtId="167" fontId="58" fillId="0" borderId="135" xfId="10" applyNumberFormat="1" applyFont="1" applyBorder="1" applyAlignment="1">
      <alignment horizontal="center" vertical="center"/>
    </xf>
    <xf numFmtId="167" fontId="58" fillId="0" borderId="137" xfId="1" applyNumberFormat="1" applyFont="1" applyFill="1" applyBorder="1" applyAlignment="1">
      <alignment horizontal="center" vertical="center"/>
    </xf>
    <xf numFmtId="0" fontId="56" fillId="0" borderId="135" xfId="10" applyFont="1" applyBorder="1" applyAlignment="1">
      <alignment horizontal="left" vertical="center" wrapText="1"/>
    </xf>
    <xf numFmtId="167" fontId="25" fillId="0" borderId="137" xfId="10" applyNumberFormat="1" applyFont="1" applyBorder="1" applyAlignment="1">
      <alignment horizontal="center" vertical="center"/>
    </xf>
    <xf numFmtId="167" fontId="30" fillId="0" borderId="141" xfId="22" applyNumberFormat="1" applyFont="1" applyFill="1" applyBorder="1" applyAlignment="1">
      <alignment horizontal="right" vertical="center"/>
    </xf>
    <xf numFmtId="167" fontId="30" fillId="0" borderId="52" xfId="22" applyNumberFormat="1" applyFont="1" applyFill="1" applyBorder="1" applyAlignment="1">
      <alignment horizontal="right" vertical="center"/>
    </xf>
    <xf numFmtId="167" fontId="3" fillId="0" borderId="135" xfId="10" applyNumberFormat="1" applyFont="1" applyBorder="1" applyAlignment="1">
      <alignment horizontal="center" vertical="center"/>
    </xf>
    <xf numFmtId="167" fontId="3" fillId="0" borderId="137" xfId="10" applyNumberFormat="1" applyFont="1" applyBorder="1" applyAlignment="1">
      <alignment horizontal="center" vertical="center"/>
    </xf>
    <xf numFmtId="168" fontId="32" fillId="18" borderId="139" xfId="10" quotePrefix="1" applyNumberFormat="1" applyFont="1" applyFill="1" applyBorder="1" applyAlignment="1">
      <alignment horizontal="left" vertical="center" wrapText="1"/>
    </xf>
    <xf numFmtId="0" fontId="25" fillId="5" borderId="0" xfId="10" applyFont="1" applyFill="1" applyAlignment="1">
      <alignment vertical="center"/>
    </xf>
    <xf numFmtId="0" fontId="25" fillId="0" borderId="134" xfId="10" quotePrefix="1" applyFont="1" applyBorder="1" applyAlignment="1">
      <alignment horizontal="right" vertical="center"/>
    </xf>
    <xf numFmtId="0" fontId="72" fillId="5" borderId="0" xfId="21" applyFont="1" applyFill="1" applyAlignment="1">
      <alignment vertical="center" wrapText="1"/>
    </xf>
    <xf numFmtId="38" fontId="3" fillId="0" borderId="135" xfId="10" applyNumberFormat="1" applyFont="1" applyBorder="1" applyAlignment="1">
      <alignment horizontal="center" vertical="center"/>
    </xf>
    <xf numFmtId="167" fontId="5" fillId="0" borderId="141" xfId="22" applyNumberFormat="1" applyFont="1" applyFill="1" applyBorder="1" applyAlignment="1">
      <alignment horizontal="right" vertical="center"/>
    </xf>
    <xf numFmtId="167" fontId="5" fillId="0" borderId="52" xfId="22" applyNumberFormat="1" applyFont="1" applyFill="1" applyBorder="1" applyAlignment="1">
      <alignment horizontal="right" vertical="center"/>
    </xf>
    <xf numFmtId="167" fontId="25" fillId="0" borderId="135" xfId="10" quotePrefix="1" applyNumberFormat="1" applyFont="1" applyBorder="1" applyAlignment="1">
      <alignment horizontal="center" vertical="center"/>
    </xf>
    <xf numFmtId="38" fontId="25" fillId="18" borderId="138" xfId="1" applyNumberFormat="1" applyFont="1" applyFill="1" applyBorder="1" applyAlignment="1">
      <alignment horizontal="right" vertical="center"/>
    </xf>
    <xf numFmtId="38" fontId="25" fillId="18" borderId="105" xfId="22" applyNumberFormat="1" applyFont="1" applyFill="1" applyBorder="1" applyAlignment="1">
      <alignment horizontal="right" vertical="center"/>
    </xf>
    <xf numFmtId="0" fontId="25" fillId="5" borderId="0" xfId="21" applyFont="1" applyFill="1" applyAlignment="1">
      <alignment vertical="center"/>
    </xf>
    <xf numFmtId="167" fontId="25" fillId="0" borderId="145" xfId="22" applyNumberFormat="1" applyFont="1" applyFill="1" applyBorder="1" applyAlignment="1">
      <alignment horizontal="center" vertical="center"/>
    </xf>
    <xf numFmtId="166" fontId="25" fillId="0" borderId="144" xfId="22" applyNumberFormat="1" applyFont="1" applyFill="1" applyBorder="1" applyAlignment="1">
      <alignment horizontal="center" vertical="center"/>
    </xf>
    <xf numFmtId="167" fontId="25" fillId="0" borderId="148" xfId="22" applyNumberFormat="1" applyFont="1" applyFill="1" applyBorder="1" applyAlignment="1">
      <alignment horizontal="center" vertical="center"/>
    </xf>
    <xf numFmtId="178" fontId="25" fillId="0" borderId="149" xfId="1" applyNumberFormat="1" applyFont="1" applyFill="1" applyBorder="1" applyAlignment="1">
      <alignment horizontal="center" vertical="center"/>
    </xf>
    <xf numFmtId="166" fontId="5" fillId="0" borderId="52" xfId="22" applyNumberFormat="1" applyFont="1" applyFill="1" applyBorder="1" applyAlignment="1">
      <alignment horizontal="right" vertical="center"/>
    </xf>
    <xf numFmtId="167" fontId="30" fillId="0" borderId="153" xfId="22" applyNumberFormat="1" applyFont="1" applyFill="1" applyBorder="1" applyAlignment="1">
      <alignment horizontal="right" vertical="center"/>
    </xf>
    <xf numFmtId="166" fontId="30" fillId="0" borderId="0" xfId="10" applyNumberFormat="1" applyFont="1" applyAlignment="1">
      <alignment horizontal="right" vertical="center"/>
    </xf>
    <xf numFmtId="166" fontId="30" fillId="0" borderId="0" xfId="23" applyNumberFormat="1" applyFont="1" applyAlignment="1">
      <alignment horizontal="center" vertical="center"/>
    </xf>
    <xf numFmtId="177" fontId="30" fillId="0" borderId="0" xfId="24" applyFont="1" applyAlignment="1">
      <alignment horizontal="center" vertical="center"/>
    </xf>
    <xf numFmtId="169" fontId="25" fillId="0" borderId="0" xfId="22" applyFont="1" applyFill="1" applyAlignment="1">
      <alignment horizontal="right" vertical="center"/>
    </xf>
    <xf numFmtId="168" fontId="30" fillId="0" borderId="0" xfId="1" applyNumberFormat="1" applyFont="1" applyFill="1" applyAlignment="1">
      <alignment horizontal="right" vertical="center"/>
    </xf>
    <xf numFmtId="166" fontId="30" fillId="0" borderId="0" xfId="10" applyNumberFormat="1" applyFont="1" applyAlignment="1">
      <alignment horizontal="left" vertical="center"/>
    </xf>
    <xf numFmtId="169" fontId="30" fillId="0" borderId="0" xfId="1" applyFont="1" applyFill="1" applyAlignment="1">
      <alignment horizontal="center" vertical="center"/>
    </xf>
    <xf numFmtId="38" fontId="3" fillId="18" borderId="138" xfId="1" applyNumberFormat="1" applyFont="1" applyFill="1" applyBorder="1" applyAlignment="1">
      <alignment horizontal="right" vertical="center"/>
    </xf>
    <xf numFmtId="0" fontId="25" fillId="18" borderId="136" xfId="10" quotePrefix="1" applyFont="1" applyFill="1" applyBorder="1" applyAlignment="1">
      <alignment horizontal="center" vertical="center"/>
    </xf>
    <xf numFmtId="166" fontId="25" fillId="18" borderId="135" xfId="10" applyNumberFormat="1" applyFont="1" applyFill="1" applyBorder="1" applyAlignment="1">
      <alignment horizontal="center" vertical="center"/>
    </xf>
    <xf numFmtId="167" fontId="25" fillId="18" borderId="137" xfId="1" applyNumberFormat="1" applyFont="1" applyFill="1" applyBorder="1" applyAlignment="1">
      <alignment horizontal="center" vertical="center"/>
    </xf>
    <xf numFmtId="0" fontId="5" fillId="18" borderId="134" xfId="10" applyFont="1" applyFill="1" applyBorder="1" applyAlignment="1">
      <alignment horizontal="center" vertical="center"/>
    </xf>
    <xf numFmtId="0" fontId="57" fillId="18" borderId="135" xfId="10" applyFont="1" applyFill="1" applyBorder="1" applyAlignment="1">
      <alignment horizontal="left" vertical="center"/>
    </xf>
    <xf numFmtId="0" fontId="30" fillId="18" borderId="134" xfId="10" applyFont="1" applyFill="1" applyBorder="1" applyAlignment="1">
      <alignment horizontal="right" vertical="center"/>
    </xf>
    <xf numFmtId="0" fontId="30" fillId="18" borderId="135" xfId="10" applyFont="1" applyFill="1" applyBorder="1" applyAlignment="1">
      <alignment horizontal="left" vertical="center"/>
    </xf>
    <xf numFmtId="167" fontId="25" fillId="18" borderId="137" xfId="10" applyNumberFormat="1" applyFont="1" applyFill="1" applyBorder="1" applyAlignment="1">
      <alignment horizontal="center" vertical="center"/>
    </xf>
    <xf numFmtId="166" fontId="3" fillId="18" borderId="135" xfId="10" applyNumberFormat="1" applyFont="1" applyFill="1" applyBorder="1" applyAlignment="1">
      <alignment horizontal="center" vertical="center"/>
    </xf>
    <xf numFmtId="167" fontId="3" fillId="18" borderId="137" xfId="10" applyNumberFormat="1" applyFont="1" applyFill="1" applyBorder="1" applyAlignment="1">
      <alignment horizontal="center" vertical="center"/>
    </xf>
    <xf numFmtId="38" fontId="25" fillId="18" borderId="81" xfId="1" applyNumberFormat="1" applyFont="1" applyFill="1" applyBorder="1" applyAlignment="1">
      <alignment vertical="center"/>
    </xf>
    <xf numFmtId="166" fontId="25" fillId="0" borderId="148" xfId="22" applyNumberFormat="1" applyFont="1" applyFill="1" applyBorder="1" applyAlignment="1">
      <alignment horizontal="center" vertical="center"/>
    </xf>
    <xf numFmtId="168" fontId="30" fillId="0" borderId="0" xfId="1" applyNumberFormat="1" applyFont="1" applyFill="1" applyAlignment="1">
      <alignment vertical="center"/>
    </xf>
    <xf numFmtId="168" fontId="30" fillId="0" borderId="0" xfId="1" applyNumberFormat="1" applyFont="1" applyFill="1" applyAlignment="1">
      <alignment horizontal="right" vertical="center"/>
    </xf>
    <xf numFmtId="0" fontId="74" fillId="0" borderId="0" xfId="4" applyFont="1"/>
    <xf numFmtId="1" fontId="30" fillId="0" borderId="142" xfId="1" applyNumberFormat="1" applyFont="1" applyFill="1" applyBorder="1" applyAlignment="1">
      <alignment horizontal="right" vertical="center"/>
    </xf>
    <xf numFmtId="166" fontId="25" fillId="0" borderId="145" xfId="22" applyNumberFormat="1" applyFont="1" applyFill="1" applyBorder="1" applyAlignment="1">
      <alignment horizontal="center" vertical="center"/>
    </xf>
  </cellXfs>
  <cellStyles count="38">
    <cellStyle name="Comma [0]" xfId="1" builtinId="6"/>
    <cellStyle name="Currency [0]" xfId="2" builtinId="7"/>
    <cellStyle name="Normal" xfId="0" builtinId="0"/>
    <cellStyle name="Percent" xfId="3" builtinId="5"/>
    <cellStyle name="쉼표 [0] 10" xfId="22" xr:uid="{CDD986E0-B18A-4D87-9A39-E2F75D5025BA}"/>
    <cellStyle name="표준 11 4" xfId="21" xr:uid="{DED47356-DF63-413A-8CD2-55E58AB47646}"/>
    <cellStyle name="표준 2" xfId="18" xr:uid="{5AD49A86-8079-484B-AB1C-12EDE90E4D03}"/>
    <cellStyle name="표준 2 10 2 2" xfId="24" xr:uid="{C49255AA-389C-4AAD-8B08-DDC57B8A464F}"/>
    <cellStyle name="표준 2 4 2 2 3" xfId="23" xr:uid="{D2DA5E95-8376-4E88-8BE6-D79CEECFF588}"/>
    <cellStyle name="표준 37" xfId="12" xr:uid="{88B60F15-73E4-4940-B5BF-60AB1AE53D9D}"/>
    <cellStyle name="표준 37 2 2" xfId="29" xr:uid="{51AD9A03-50D4-4ACD-9914-09D0D3587BFF}"/>
    <cellStyle name="표준 37 3" xfId="37" xr:uid="{AD581932-023F-4640-9E82-2287AF1B90BE}"/>
    <cellStyle name="표준 38" xfId="9" xr:uid="{CC766E68-7397-49D6-918E-D530C6F88309}"/>
    <cellStyle name="표준 38 2 2 2" xfId="27" xr:uid="{C82CC516-7751-4AD0-89A9-48566B5E4DA9}"/>
    <cellStyle name="표준 39" xfId="13" xr:uid="{99B54B81-5816-4ADC-9CB2-2BC4833A6FBB}"/>
    <cellStyle name="표준 39 2 2" xfId="33" xr:uid="{95574B52-CA3D-46CF-A3E7-4FFE94DD8B42}"/>
    <cellStyle name="표준 40" xfId="8" xr:uid="{F455FC04-3BA6-4DEF-A228-8AD26CD6BF49}"/>
    <cellStyle name="표준 40 3 2" xfId="26" xr:uid="{E0CF3ACB-CF50-41D7-9671-8D9213CCC540}"/>
    <cellStyle name="표준 41" xfId="6" xr:uid="{5381F39F-4F79-4FDE-BB9F-C331CA1AB7B5}"/>
    <cellStyle name="표준 43" xfId="11" xr:uid="{C95B46BD-0E8C-422A-928A-C4AA0CBF2F81}"/>
    <cellStyle name="표준 43 3 2" xfId="28" xr:uid="{229FD26E-ED0D-476A-9BD5-B54BF6313A7F}"/>
    <cellStyle name="표준 45" xfId="14" xr:uid="{750EE8EF-EFC9-44D1-89C4-69728E9051ED}"/>
    <cellStyle name="표준 46" xfId="17" xr:uid="{308F3898-9220-4CA8-BC1C-8F680D8CBCEF}"/>
    <cellStyle name="표준 46 2 2" xfId="30" xr:uid="{35F60121-8128-4437-9ED6-CBBA915811EE}"/>
    <cellStyle name="표준 46 3" xfId="32" xr:uid="{3374F663-602C-4FCB-A961-2292F37C7FD4}"/>
    <cellStyle name="표준 47" xfId="20" xr:uid="{16DA8CB5-401D-45FC-8FF2-79C61F039B7E}"/>
    <cellStyle name="표준 47 2 2" xfId="35" xr:uid="{724E3833-E292-475F-8157-9BC1586B6A5C}"/>
    <cellStyle name="표준 47 3" xfId="36" xr:uid="{9943F4C6-B7D4-4D61-8984-A689E3F69821}"/>
    <cellStyle name="표준 49" xfId="15" xr:uid="{B49CE3EB-D40A-4A65-A650-9CF36A1B9E29}"/>
    <cellStyle name="표준 49 2" xfId="31" xr:uid="{1EDAA4E9-3212-4CA3-8CA2-0800D0EE672D}"/>
    <cellStyle name="표준 5" xfId="19" xr:uid="{BE4643E3-1A2F-46A1-9B8F-CA1EB64AEC65}"/>
    <cellStyle name="표준 5 2 2" xfId="34" xr:uid="{78DF75A5-C1F1-4347-8A53-85A8D9FC4D72}"/>
    <cellStyle name="표준 51" xfId="16" xr:uid="{D0A6F47A-9EC5-474F-BBB1-BE2BF6B09037}"/>
    <cellStyle name="표준 52" xfId="7" xr:uid="{4D1C1A2D-D21D-4992-BF4B-14CF3B5BE6B3}"/>
    <cellStyle name="표준 53" xfId="5" xr:uid="{BD27C811-E85C-4F12-B377-6E82451A4B20}"/>
    <cellStyle name="표준 53 3 2" xfId="25" xr:uid="{CD43E908-BF86-4106-96EC-AE30B3C3B8B3}"/>
    <cellStyle name="표준_4-설계내역서_LNG_계장" xfId="4" xr:uid="{2F15F74C-42CA-4C9B-91FB-B2964AA90C9E}"/>
    <cellStyle name="표준_견적내역서_양식_화공" xfId="10" xr:uid="{706F062E-A37E-47E7-9D74-9013CFFAC8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5</xdr:col>
      <xdr:colOff>933450</xdr:colOff>
      <xdr:row>0</xdr:row>
      <xdr:rowOff>28575</xdr:rowOff>
    </xdr:from>
    <xdr:to>
      <xdr:col>5</xdr:col>
      <xdr:colOff>1687700</xdr:colOff>
      <xdr:row>0</xdr:row>
      <xdr:rowOff>280607</xdr:rowOff>
    </xdr:to>
    <xdr:sp macro="" textlink="">
      <xdr:nvSpPr>
        <xdr:cNvPr id="2" name="TextBox 1">
          <a:extLst>
            <a:ext uri="{FF2B5EF4-FFF2-40B4-BE49-F238E27FC236}">
              <a16:creationId xmlns:a16="http://schemas.microsoft.com/office/drawing/2014/main" id="{5A25ADFA-40AE-4128-A9E4-DA5194FD102B}"/>
            </a:ext>
          </a:extLst>
        </xdr:cNvPr>
        <xdr:cNvSpPr txBox="1">
          <a:spLocks noChangeAspect="1"/>
        </xdr:cNvSpPr>
      </xdr:nvSpPr>
      <xdr:spPr>
        <a:xfrm>
          <a:off x="5911215" y="26670"/>
          <a:ext cx="598040" cy="2577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000"/>
            <a:t>첨부 </a:t>
          </a:r>
          <a:r>
            <a:rPr lang="en-US" altLang="ko-KR" sz="1000"/>
            <a:t>#1-1</a:t>
          </a:r>
          <a:endParaRPr lang="ko-KR" altLang="en-US"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367393</xdr:colOff>
      <xdr:row>4</xdr:row>
      <xdr:rowOff>68035</xdr:rowOff>
    </xdr:from>
    <xdr:to>
      <xdr:col>8</xdr:col>
      <xdr:colOff>1161</xdr:colOff>
      <xdr:row>4</xdr:row>
      <xdr:rowOff>468390</xdr:rowOff>
    </xdr:to>
    <xdr:sp macro="" textlink="">
      <xdr:nvSpPr>
        <xdr:cNvPr id="2" name="TextBox 1">
          <a:extLst>
            <a:ext uri="{FF2B5EF4-FFF2-40B4-BE49-F238E27FC236}">
              <a16:creationId xmlns:a16="http://schemas.microsoft.com/office/drawing/2014/main" id="{D5765BB1-50F0-4F89-B72F-D6DD5F576672}"/>
            </a:ext>
          </a:extLst>
        </xdr:cNvPr>
        <xdr:cNvSpPr txBox="1">
          <a:spLocks noChangeAspect="1"/>
        </xdr:cNvSpPr>
      </xdr:nvSpPr>
      <xdr:spPr>
        <a:xfrm>
          <a:off x="8174083" y="1209130"/>
          <a:ext cx="913928" cy="40416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3365255</xdr:colOff>
      <xdr:row>0</xdr:row>
      <xdr:rowOff>77741</xdr:rowOff>
    </xdr:from>
    <xdr:to>
      <xdr:col>15</xdr:col>
      <xdr:colOff>4542074</xdr:colOff>
      <xdr:row>2</xdr:row>
      <xdr:rowOff>10505</xdr:rowOff>
    </xdr:to>
    <xdr:sp macro="" textlink="">
      <xdr:nvSpPr>
        <xdr:cNvPr id="2" name="TextBox 1">
          <a:extLst>
            <a:ext uri="{FF2B5EF4-FFF2-40B4-BE49-F238E27FC236}">
              <a16:creationId xmlns:a16="http://schemas.microsoft.com/office/drawing/2014/main" id="{4C79E0A8-79E0-4734-9CD5-6BAD7F4D1992}"/>
            </a:ext>
          </a:extLst>
        </xdr:cNvPr>
        <xdr:cNvSpPr txBox="1">
          <a:spLocks noChangeAspect="1"/>
        </xdr:cNvSpPr>
      </xdr:nvSpPr>
      <xdr:spPr>
        <a:xfrm>
          <a:off x="18466190" y="77741"/>
          <a:ext cx="746289" cy="39186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36</xdr:col>
      <xdr:colOff>2041072</xdr:colOff>
      <xdr:row>0</xdr:row>
      <xdr:rowOff>51955</xdr:rowOff>
    </xdr:from>
    <xdr:to>
      <xdr:col>36</xdr:col>
      <xdr:colOff>3382722</xdr:colOff>
      <xdr:row>0</xdr:row>
      <xdr:rowOff>462643</xdr:rowOff>
    </xdr:to>
    <xdr:sp macro="" textlink="">
      <xdr:nvSpPr>
        <xdr:cNvPr id="2" name="TextBox 1">
          <a:extLst>
            <a:ext uri="{FF2B5EF4-FFF2-40B4-BE49-F238E27FC236}">
              <a16:creationId xmlns:a16="http://schemas.microsoft.com/office/drawing/2014/main" id="{9468210B-51D2-4EF9-9411-9A8ED21B1587}"/>
            </a:ext>
          </a:extLst>
        </xdr:cNvPr>
        <xdr:cNvSpPr txBox="1">
          <a:spLocks noChangeAspect="1"/>
        </xdr:cNvSpPr>
      </xdr:nvSpPr>
      <xdr:spPr>
        <a:xfrm>
          <a:off x="35936737" y="55765"/>
          <a:ext cx="1029230" cy="40878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28</xdr:col>
      <xdr:colOff>452437</xdr:colOff>
      <xdr:row>0</xdr:row>
      <xdr:rowOff>119063</xdr:rowOff>
    </xdr:from>
    <xdr:to>
      <xdr:col>29</xdr:col>
      <xdr:colOff>889212</xdr:colOff>
      <xdr:row>0</xdr:row>
      <xdr:rowOff>562408</xdr:rowOff>
    </xdr:to>
    <xdr:sp macro="" textlink="">
      <xdr:nvSpPr>
        <xdr:cNvPr id="2" name="TextBox 1">
          <a:extLst>
            <a:ext uri="{FF2B5EF4-FFF2-40B4-BE49-F238E27FC236}">
              <a16:creationId xmlns:a16="http://schemas.microsoft.com/office/drawing/2014/main" id="{1F930C2E-9575-4470-9727-CA19AF583604}"/>
            </a:ext>
          </a:extLst>
        </xdr:cNvPr>
        <xdr:cNvSpPr txBox="1">
          <a:spLocks noChangeAspect="1"/>
        </xdr:cNvSpPr>
      </xdr:nvSpPr>
      <xdr:spPr>
        <a:xfrm>
          <a:off x="27311032" y="120968"/>
          <a:ext cx="1404515" cy="31571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1365251</xdr:colOff>
      <xdr:row>0</xdr:row>
      <xdr:rowOff>52916</xdr:rowOff>
    </xdr:from>
    <xdr:to>
      <xdr:col>11</xdr:col>
      <xdr:colOff>2575488</xdr:colOff>
      <xdr:row>1</xdr:row>
      <xdr:rowOff>122464</xdr:rowOff>
    </xdr:to>
    <xdr:sp macro="" textlink="">
      <xdr:nvSpPr>
        <xdr:cNvPr id="2" name="TextBox 1">
          <a:extLst>
            <a:ext uri="{FF2B5EF4-FFF2-40B4-BE49-F238E27FC236}">
              <a16:creationId xmlns:a16="http://schemas.microsoft.com/office/drawing/2014/main" id="{40D336C6-82E3-4996-9A0B-BD2D3A13AAA8}"/>
            </a:ext>
          </a:extLst>
        </xdr:cNvPr>
        <xdr:cNvSpPr txBox="1">
          <a:spLocks noChangeAspect="1"/>
        </xdr:cNvSpPr>
      </xdr:nvSpPr>
      <xdr:spPr>
        <a:xfrm>
          <a:off x="11793221" y="56726"/>
          <a:ext cx="979732" cy="50579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1365251</xdr:colOff>
      <xdr:row>0</xdr:row>
      <xdr:rowOff>52917</xdr:rowOff>
    </xdr:from>
    <xdr:to>
      <xdr:col>14</xdr:col>
      <xdr:colOff>2575488</xdr:colOff>
      <xdr:row>1</xdr:row>
      <xdr:rowOff>68036</xdr:rowOff>
    </xdr:to>
    <xdr:sp macro="" textlink="">
      <xdr:nvSpPr>
        <xdr:cNvPr id="2" name="TextBox 1">
          <a:extLst>
            <a:ext uri="{FF2B5EF4-FFF2-40B4-BE49-F238E27FC236}">
              <a16:creationId xmlns:a16="http://schemas.microsoft.com/office/drawing/2014/main" id="{1C1E4905-FF28-4BD5-A3A4-0C4606C453BD}"/>
            </a:ext>
          </a:extLst>
        </xdr:cNvPr>
        <xdr:cNvSpPr txBox="1">
          <a:spLocks noChangeAspect="1"/>
        </xdr:cNvSpPr>
      </xdr:nvSpPr>
      <xdr:spPr>
        <a:xfrm>
          <a:off x="14079221" y="56727"/>
          <a:ext cx="979732" cy="44755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14</xdr:col>
      <xdr:colOff>1365251</xdr:colOff>
      <xdr:row>0</xdr:row>
      <xdr:rowOff>52917</xdr:rowOff>
    </xdr:from>
    <xdr:to>
      <xdr:col>14</xdr:col>
      <xdr:colOff>2575488</xdr:colOff>
      <xdr:row>1</xdr:row>
      <xdr:rowOff>68036</xdr:rowOff>
    </xdr:to>
    <xdr:sp macro="" textlink="">
      <xdr:nvSpPr>
        <xdr:cNvPr id="2" name="TextBox 1">
          <a:extLst>
            <a:ext uri="{FF2B5EF4-FFF2-40B4-BE49-F238E27FC236}">
              <a16:creationId xmlns:a16="http://schemas.microsoft.com/office/drawing/2014/main" id="{2EA48596-DCDF-46F4-A771-1D85CC707AFA}"/>
            </a:ext>
          </a:extLst>
        </xdr:cNvPr>
        <xdr:cNvSpPr txBox="1">
          <a:spLocks noChangeAspect="1"/>
        </xdr:cNvSpPr>
      </xdr:nvSpPr>
      <xdr:spPr>
        <a:xfrm>
          <a:off x="14079221" y="56727"/>
          <a:ext cx="979732" cy="44755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3362401</xdr:colOff>
      <xdr:row>0</xdr:row>
      <xdr:rowOff>117471</xdr:rowOff>
    </xdr:from>
    <xdr:to>
      <xdr:col>16</xdr:col>
      <xdr:colOff>4575011</xdr:colOff>
      <xdr:row>2</xdr:row>
      <xdr:rowOff>50235</xdr:rowOff>
    </xdr:to>
    <xdr:sp macro="" textlink="">
      <xdr:nvSpPr>
        <xdr:cNvPr id="2" name="TextBox 1">
          <a:extLst>
            <a:ext uri="{FF2B5EF4-FFF2-40B4-BE49-F238E27FC236}">
              <a16:creationId xmlns:a16="http://schemas.microsoft.com/office/drawing/2014/main" id="{260D2B48-5C9C-4EFD-8432-50FC9A194CF0}"/>
            </a:ext>
          </a:extLst>
        </xdr:cNvPr>
        <xdr:cNvSpPr txBox="1">
          <a:spLocks noChangeAspect="1"/>
        </xdr:cNvSpPr>
      </xdr:nvSpPr>
      <xdr:spPr>
        <a:xfrm>
          <a:off x="17394631" y="117471"/>
          <a:ext cx="810655" cy="3366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35</xdr:col>
      <xdr:colOff>2415263</xdr:colOff>
      <xdr:row>0</xdr:row>
      <xdr:rowOff>54429</xdr:rowOff>
    </xdr:from>
    <xdr:to>
      <xdr:col>35</xdr:col>
      <xdr:colOff>3627873</xdr:colOff>
      <xdr:row>0</xdr:row>
      <xdr:rowOff>500062</xdr:rowOff>
    </xdr:to>
    <xdr:sp macro="" textlink="">
      <xdr:nvSpPr>
        <xdr:cNvPr id="2" name="TextBox 1">
          <a:extLst>
            <a:ext uri="{FF2B5EF4-FFF2-40B4-BE49-F238E27FC236}">
              <a16:creationId xmlns:a16="http://schemas.microsoft.com/office/drawing/2014/main" id="{6DE7F3AB-9A51-416A-A6AA-89947F5C2194}"/>
            </a:ext>
          </a:extLst>
        </xdr:cNvPr>
        <xdr:cNvSpPr txBox="1">
          <a:spLocks noChangeAspect="1"/>
        </xdr:cNvSpPr>
      </xdr:nvSpPr>
      <xdr:spPr>
        <a:xfrm>
          <a:off x="36251873" y="58239"/>
          <a:ext cx="877330" cy="44372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29</xdr:col>
      <xdr:colOff>61121</xdr:colOff>
      <xdr:row>0</xdr:row>
      <xdr:rowOff>62142</xdr:rowOff>
    </xdr:from>
    <xdr:to>
      <xdr:col>29</xdr:col>
      <xdr:colOff>1264226</xdr:colOff>
      <xdr:row>0</xdr:row>
      <xdr:rowOff>519545</xdr:rowOff>
    </xdr:to>
    <xdr:sp macro="" textlink="">
      <xdr:nvSpPr>
        <xdr:cNvPr id="2" name="TextBox 1">
          <a:extLst>
            <a:ext uri="{FF2B5EF4-FFF2-40B4-BE49-F238E27FC236}">
              <a16:creationId xmlns:a16="http://schemas.microsoft.com/office/drawing/2014/main" id="{89C03850-2AF6-461C-A4F1-656EE1800114}"/>
            </a:ext>
          </a:extLst>
        </xdr:cNvPr>
        <xdr:cNvSpPr txBox="1">
          <a:spLocks noChangeAspect="1"/>
        </xdr:cNvSpPr>
      </xdr:nvSpPr>
      <xdr:spPr>
        <a:xfrm>
          <a:off x="27803636" y="58332"/>
          <a:ext cx="1142145" cy="45740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1365251</xdr:colOff>
      <xdr:row>0</xdr:row>
      <xdr:rowOff>52916</xdr:rowOff>
    </xdr:from>
    <xdr:to>
      <xdr:col>11</xdr:col>
      <xdr:colOff>2575488</xdr:colOff>
      <xdr:row>1</xdr:row>
      <xdr:rowOff>28575</xdr:rowOff>
    </xdr:to>
    <xdr:sp macro="" textlink="">
      <xdr:nvSpPr>
        <xdr:cNvPr id="2" name="TextBox 1">
          <a:extLst>
            <a:ext uri="{FF2B5EF4-FFF2-40B4-BE49-F238E27FC236}">
              <a16:creationId xmlns:a16="http://schemas.microsoft.com/office/drawing/2014/main" id="{4E6F8E9A-1D63-4256-9F14-48701B475FF2}"/>
            </a:ext>
          </a:extLst>
        </xdr:cNvPr>
        <xdr:cNvSpPr txBox="1">
          <a:spLocks noChangeAspect="1"/>
        </xdr:cNvSpPr>
      </xdr:nvSpPr>
      <xdr:spPr>
        <a:xfrm>
          <a:off x="11650346" y="56726"/>
          <a:ext cx="979732" cy="40809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1401536</xdr:colOff>
      <xdr:row>0</xdr:row>
      <xdr:rowOff>68036</xdr:rowOff>
    </xdr:from>
    <xdr:to>
      <xdr:col>14</xdr:col>
      <xdr:colOff>2611773</xdr:colOff>
      <xdr:row>1</xdr:row>
      <xdr:rowOff>46416</xdr:rowOff>
    </xdr:to>
    <xdr:sp macro="" textlink="">
      <xdr:nvSpPr>
        <xdr:cNvPr id="2" name="TextBox 1">
          <a:extLst>
            <a:ext uri="{FF2B5EF4-FFF2-40B4-BE49-F238E27FC236}">
              <a16:creationId xmlns:a16="http://schemas.microsoft.com/office/drawing/2014/main" id="{345F4915-891E-4153-98F3-CE62C634B9B0}"/>
            </a:ext>
          </a:extLst>
        </xdr:cNvPr>
        <xdr:cNvSpPr txBox="1">
          <a:spLocks noChangeAspect="1"/>
        </xdr:cNvSpPr>
      </xdr:nvSpPr>
      <xdr:spPr>
        <a:xfrm>
          <a:off x="14115506" y="66131"/>
          <a:ext cx="941632" cy="4203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1401535</xdr:colOff>
      <xdr:row>0</xdr:row>
      <xdr:rowOff>108857</xdr:rowOff>
    </xdr:from>
    <xdr:to>
      <xdr:col>14</xdr:col>
      <xdr:colOff>2611772</xdr:colOff>
      <xdr:row>1</xdr:row>
      <xdr:rowOff>87237</xdr:rowOff>
    </xdr:to>
    <xdr:sp macro="" textlink="">
      <xdr:nvSpPr>
        <xdr:cNvPr id="2" name="TextBox 1">
          <a:extLst>
            <a:ext uri="{FF2B5EF4-FFF2-40B4-BE49-F238E27FC236}">
              <a16:creationId xmlns:a16="http://schemas.microsoft.com/office/drawing/2014/main" id="{B25CB86A-403B-4F16-96D6-935C6887FD8D}"/>
            </a:ext>
          </a:extLst>
        </xdr:cNvPr>
        <xdr:cNvSpPr txBox="1">
          <a:spLocks noChangeAspect="1"/>
        </xdr:cNvSpPr>
      </xdr:nvSpPr>
      <xdr:spPr>
        <a:xfrm>
          <a:off x="14115505" y="106952"/>
          <a:ext cx="941632" cy="4203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Bidding\PROMIGAS%20CPF\Backdata\Promigas%20C&amp;I%20&#48143;%20&#53685;&#49888;%20&#49444;&#44228;%20&#54868;&#44277;%20&#49892;&#54665;&#49324;&#50629;%20MH%20&#49328;&#52636;&#44592;&#51456;_&#51068;&#48152;_20260821_Backdata.xlsx" TargetMode="External"/><Relationship Id="rId1" Type="http://schemas.openxmlformats.org/officeDocument/2006/relationships/externalLinkPath" Target="Promigas%20C&amp;I%20&#48143;%20&#53685;&#49888;%20&#49444;&#44228;%20&#54868;&#44277;%20&#49892;&#54665;&#49324;&#50629;%20MH%20&#49328;&#52636;&#44592;&#51456;_&#51068;&#48152;_20260821_Back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가이드"/>
      <sheetName val="Summary"/>
      <sheetName val="산출기준_CI"/>
      <sheetName val="Input_CI"/>
      <sheetName val="OP1_CI"/>
      <sheetName val="OP2-1_CI"/>
      <sheetName val="OP2-2_CI"/>
      <sheetName val="OP2-3_CI"/>
      <sheetName val="산출기준_TEL"/>
      <sheetName val="Input_TEL"/>
      <sheetName val="OP1_TEL"/>
      <sheetName val="OP2-1_TEL"/>
      <sheetName val="OP2-2_TEL"/>
      <sheetName val="OP2-3_T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340A3-8C49-40F1-811B-F6F217B4ECD3}">
  <sheetPr>
    <tabColor rgb="FFCCCCFF"/>
  </sheetPr>
  <dimension ref="A1:F63"/>
  <sheetViews>
    <sheetView tabSelected="1" view="pageBreakPreview" zoomScaleNormal="100" zoomScaleSheetLayoutView="100" workbookViewId="0">
      <selection activeCell="K11" sqref="K11"/>
    </sheetView>
  </sheetViews>
  <sheetFormatPr defaultRowHeight="14.4" x14ac:dyDescent="0.25"/>
  <cols>
    <col min="1" max="1" width="3.296875" customWidth="1"/>
    <col min="2" max="2" width="2.09765625" customWidth="1"/>
    <col min="3" max="6" width="20" customWidth="1"/>
  </cols>
  <sheetData>
    <row r="1" spans="1:6" ht="23.4" x14ac:dyDescent="0.3">
      <c r="A1" s="1" t="s">
        <v>0</v>
      </c>
      <c r="B1" s="1"/>
      <c r="C1" s="1"/>
      <c r="D1" s="1"/>
      <c r="E1" s="1"/>
      <c r="F1" s="1"/>
    </row>
    <row r="2" spans="1:6" x14ac:dyDescent="0.25">
      <c r="B2" s="2"/>
      <c r="C2" s="2"/>
      <c r="D2" s="2"/>
      <c r="E2" s="2"/>
      <c r="F2" s="3">
        <v>45838</v>
      </c>
    </row>
    <row r="3" spans="1:6" ht="19.2" x14ac:dyDescent="0.25">
      <c r="A3" s="4" t="s">
        <v>1</v>
      </c>
      <c r="B3" s="4" t="s">
        <v>2</v>
      </c>
      <c r="C3" s="2"/>
      <c r="D3" s="2"/>
      <c r="E3" s="2"/>
      <c r="F3" s="2"/>
    </row>
    <row r="4" spans="1:6" x14ac:dyDescent="0.25">
      <c r="B4" s="2"/>
      <c r="C4" s="2"/>
      <c r="D4" s="2"/>
      <c r="E4" s="2"/>
      <c r="F4" s="2"/>
    </row>
    <row r="5" spans="1:6" x14ac:dyDescent="0.25">
      <c r="B5" s="5" t="s">
        <v>3</v>
      </c>
      <c r="C5" s="2"/>
      <c r="D5" s="2"/>
      <c r="E5" s="2"/>
      <c r="F5" s="2"/>
    </row>
    <row r="6" spans="1:6" x14ac:dyDescent="0.25">
      <c r="B6" s="6"/>
      <c r="C6" s="6" t="s">
        <v>4</v>
      </c>
      <c r="D6" s="2"/>
      <c r="E6" s="2"/>
      <c r="F6" s="2"/>
    </row>
    <row r="7" spans="1:6" x14ac:dyDescent="0.25">
      <c r="B7" s="6"/>
      <c r="C7" s="6" t="s">
        <v>5</v>
      </c>
      <c r="D7" s="2"/>
      <c r="E7" s="2"/>
      <c r="F7" s="2"/>
    </row>
    <row r="8" spans="1:6" x14ac:dyDescent="0.25">
      <c r="B8" s="6"/>
      <c r="C8" s="6" t="s">
        <v>6</v>
      </c>
      <c r="D8" s="2"/>
      <c r="E8" s="2"/>
      <c r="F8" s="2"/>
    </row>
    <row r="9" spans="1:6" x14ac:dyDescent="0.25">
      <c r="B9" s="7"/>
      <c r="C9" s="7" t="s">
        <v>7</v>
      </c>
      <c r="D9" s="2"/>
      <c r="E9" s="2"/>
      <c r="F9" s="2"/>
    </row>
    <row r="10" spans="1:6" x14ac:dyDescent="0.25">
      <c r="B10" s="2"/>
      <c r="C10" s="2"/>
      <c r="D10" s="2"/>
      <c r="E10" s="2"/>
      <c r="F10" s="2"/>
    </row>
    <row r="11" spans="1:6" x14ac:dyDescent="0.25">
      <c r="B11" s="5" t="s">
        <v>8</v>
      </c>
      <c r="C11" s="2"/>
      <c r="D11" s="2"/>
      <c r="E11" s="2"/>
      <c r="F11" s="2"/>
    </row>
    <row r="12" spans="1:6" x14ac:dyDescent="0.25">
      <c r="B12" s="6"/>
      <c r="C12" s="6" t="s">
        <v>9</v>
      </c>
      <c r="D12" s="2"/>
      <c r="E12" s="2"/>
      <c r="F12" s="2"/>
    </row>
    <row r="13" spans="1:6" x14ac:dyDescent="0.25">
      <c r="B13" s="6"/>
      <c r="C13" s="6" t="s">
        <v>10</v>
      </c>
      <c r="D13" s="2"/>
      <c r="E13" s="2"/>
      <c r="F13" s="2"/>
    </row>
    <row r="14" spans="1:6" x14ac:dyDescent="0.25">
      <c r="B14" s="6"/>
      <c r="C14" s="6" t="s">
        <v>11</v>
      </c>
      <c r="D14" s="2"/>
      <c r="E14" s="2"/>
      <c r="F14" s="2"/>
    </row>
    <row r="15" spans="1:6" x14ac:dyDescent="0.25">
      <c r="B15" s="2"/>
      <c r="C15" s="2"/>
      <c r="D15" s="2"/>
      <c r="E15" s="2"/>
      <c r="F15" s="2"/>
    </row>
    <row r="16" spans="1:6" x14ac:dyDescent="0.25">
      <c r="B16" s="5" t="s">
        <v>12</v>
      </c>
      <c r="C16" s="2"/>
      <c r="D16" s="2"/>
      <c r="E16" s="2"/>
      <c r="F16" s="2"/>
    </row>
    <row r="17" spans="2:6" x14ac:dyDescent="0.25">
      <c r="B17" s="6"/>
      <c r="C17" s="6" t="s">
        <v>13</v>
      </c>
      <c r="D17" s="2"/>
      <c r="E17" s="2"/>
      <c r="F17" s="2"/>
    </row>
    <row r="18" spans="2:6" x14ac:dyDescent="0.25">
      <c r="B18" s="7"/>
      <c r="C18" s="7" t="s">
        <v>14</v>
      </c>
      <c r="D18" s="2"/>
      <c r="E18" s="2"/>
      <c r="F18" s="2"/>
    </row>
    <row r="19" spans="2:6" x14ac:dyDescent="0.25">
      <c r="B19" s="6"/>
      <c r="C19" s="2"/>
      <c r="D19" s="2"/>
      <c r="E19" s="2"/>
      <c r="F19" s="2"/>
    </row>
    <row r="20" spans="2:6" x14ac:dyDescent="0.25">
      <c r="B20" s="5" t="s">
        <v>15</v>
      </c>
      <c r="C20" s="2"/>
      <c r="D20" s="2"/>
      <c r="E20" s="2"/>
      <c r="F20" s="2"/>
    </row>
    <row r="21" spans="2:6" x14ac:dyDescent="0.25">
      <c r="B21" s="6"/>
      <c r="C21" s="6" t="s">
        <v>16</v>
      </c>
      <c r="D21" s="2"/>
      <c r="E21" s="2"/>
      <c r="F21" s="2"/>
    </row>
    <row r="22" spans="2:6" x14ac:dyDescent="0.25">
      <c r="B22" s="6"/>
      <c r="C22" s="6" t="s">
        <v>17</v>
      </c>
      <c r="D22" s="2"/>
      <c r="E22" s="2"/>
      <c r="F22" s="2"/>
    </row>
    <row r="23" spans="2:6" x14ac:dyDescent="0.25">
      <c r="B23" s="6"/>
      <c r="C23" s="6" t="s">
        <v>11</v>
      </c>
      <c r="D23" s="2"/>
      <c r="E23" s="2"/>
      <c r="F23" s="2"/>
    </row>
    <row r="24" spans="2:6" x14ac:dyDescent="0.25">
      <c r="B24" s="2"/>
      <c r="C24" s="2"/>
      <c r="D24" s="2"/>
      <c r="E24" s="2"/>
      <c r="F24" s="2"/>
    </row>
    <row r="25" spans="2:6" x14ac:dyDescent="0.25">
      <c r="B25" s="5" t="s">
        <v>18</v>
      </c>
      <c r="C25" s="2"/>
      <c r="D25" s="2"/>
      <c r="E25" s="2"/>
      <c r="F25" s="2"/>
    </row>
    <row r="26" spans="2:6" x14ac:dyDescent="0.25">
      <c r="B26" s="6"/>
      <c r="C26" s="6" t="s">
        <v>19</v>
      </c>
      <c r="D26" s="2"/>
      <c r="E26" s="2"/>
      <c r="F26" s="2"/>
    </row>
    <row r="27" spans="2:6" x14ac:dyDescent="0.25">
      <c r="B27" s="6"/>
      <c r="C27" s="6" t="s">
        <v>6</v>
      </c>
      <c r="D27" s="2"/>
      <c r="E27" s="2"/>
      <c r="F27" s="2"/>
    </row>
    <row r="28" spans="2:6" x14ac:dyDescent="0.25">
      <c r="B28" s="6"/>
      <c r="C28" s="6" t="s">
        <v>11</v>
      </c>
      <c r="D28" s="2"/>
      <c r="E28" s="2"/>
      <c r="F28" s="2"/>
    </row>
    <row r="29" spans="2:6" x14ac:dyDescent="0.25">
      <c r="B29" s="2"/>
      <c r="C29" s="2"/>
      <c r="D29" s="2"/>
      <c r="E29" s="2"/>
      <c r="F29" s="2"/>
    </row>
    <row r="30" spans="2:6" x14ac:dyDescent="0.25">
      <c r="B30" s="5" t="s">
        <v>20</v>
      </c>
      <c r="C30" s="5"/>
      <c r="D30" s="2"/>
      <c r="E30" s="2"/>
      <c r="F30" s="2"/>
    </row>
    <row r="31" spans="2:6" x14ac:dyDescent="0.25">
      <c r="B31" s="6"/>
      <c r="C31" s="6" t="s">
        <v>21</v>
      </c>
      <c r="D31" s="2"/>
      <c r="E31" s="2"/>
      <c r="F31" s="2"/>
    </row>
    <row r="32" spans="2:6" x14ac:dyDescent="0.25">
      <c r="B32" s="6"/>
      <c r="C32" s="6" t="s">
        <v>6</v>
      </c>
      <c r="D32" s="2"/>
      <c r="E32" s="2"/>
      <c r="F32" s="2"/>
    </row>
    <row r="33" spans="1:6" x14ac:dyDescent="0.25">
      <c r="B33" s="6"/>
      <c r="C33" s="6" t="s">
        <v>11</v>
      </c>
      <c r="D33" s="2"/>
      <c r="E33" s="2"/>
      <c r="F33" s="2"/>
    </row>
    <row r="34" spans="1:6" x14ac:dyDescent="0.25">
      <c r="B34" s="2"/>
      <c r="C34" s="2"/>
      <c r="D34" s="2"/>
      <c r="E34" s="2"/>
      <c r="F34" s="2"/>
    </row>
    <row r="35" spans="1:6" x14ac:dyDescent="0.25">
      <c r="B35" s="5" t="s">
        <v>22</v>
      </c>
      <c r="C35" s="5"/>
      <c r="D35" s="2"/>
      <c r="E35" s="2"/>
      <c r="F35" s="2"/>
    </row>
    <row r="36" spans="1:6" x14ac:dyDescent="0.25">
      <c r="B36" s="6"/>
      <c r="C36" s="6" t="s">
        <v>23</v>
      </c>
      <c r="D36" s="2"/>
      <c r="E36" s="2"/>
      <c r="F36" s="2"/>
    </row>
    <row r="37" spans="1:6" x14ac:dyDescent="0.25">
      <c r="B37" s="6"/>
      <c r="C37" s="6" t="s">
        <v>6</v>
      </c>
      <c r="D37" s="2"/>
      <c r="E37" s="2"/>
      <c r="F37" s="2"/>
    </row>
    <row r="38" spans="1:6" x14ac:dyDescent="0.25">
      <c r="B38" s="6"/>
      <c r="C38" s="6" t="s">
        <v>11</v>
      </c>
      <c r="D38" s="2"/>
      <c r="E38" s="2"/>
      <c r="F38" s="2"/>
    </row>
    <row r="39" spans="1:6" x14ac:dyDescent="0.25">
      <c r="B39" s="7"/>
      <c r="C39" s="2"/>
      <c r="D39" s="2"/>
      <c r="E39" s="2"/>
      <c r="F39" s="2"/>
    </row>
    <row r="40" spans="1:6" ht="19.2" x14ac:dyDescent="0.25">
      <c r="A40" s="4" t="s">
        <v>24</v>
      </c>
      <c r="B40" s="4" t="s">
        <v>25</v>
      </c>
      <c r="C40" s="2"/>
      <c r="D40" s="2"/>
      <c r="E40" s="2"/>
      <c r="F40" s="2"/>
    </row>
    <row r="41" spans="1:6" x14ac:dyDescent="0.25">
      <c r="B41" s="7"/>
      <c r="C41" s="2"/>
      <c r="D41" s="2"/>
      <c r="E41" s="2"/>
      <c r="F41" s="2"/>
    </row>
    <row r="42" spans="1:6" x14ac:dyDescent="0.25">
      <c r="B42" s="5" t="s">
        <v>26</v>
      </c>
      <c r="C42" s="5"/>
      <c r="D42" s="2"/>
      <c r="E42" s="2"/>
      <c r="F42" s="2"/>
    </row>
    <row r="43" spans="1:6" x14ac:dyDescent="0.25">
      <c r="B43" s="2"/>
      <c r="C43" s="6" t="s">
        <v>27</v>
      </c>
      <c r="D43" s="2"/>
      <c r="E43" s="2"/>
      <c r="F43" s="2"/>
    </row>
    <row r="44" spans="1:6" x14ac:dyDescent="0.25">
      <c r="C44" s="6" t="s">
        <v>28</v>
      </c>
    </row>
    <row r="45" spans="1:6" x14ac:dyDescent="0.25">
      <c r="B45" s="2"/>
      <c r="C45" s="2"/>
      <c r="D45" s="2"/>
      <c r="E45" s="2"/>
      <c r="F45" s="2"/>
    </row>
    <row r="46" spans="1:6" x14ac:dyDescent="0.25">
      <c r="B46" s="5" t="s">
        <v>29</v>
      </c>
      <c r="C46" s="5"/>
      <c r="D46" s="2"/>
      <c r="E46" s="2"/>
      <c r="F46" s="2"/>
    </row>
    <row r="47" spans="1:6" x14ac:dyDescent="0.25">
      <c r="B47" s="2"/>
      <c r="C47" s="6" t="s">
        <v>30</v>
      </c>
      <c r="D47" s="2"/>
      <c r="E47" s="2"/>
      <c r="F47" s="2"/>
    </row>
    <row r="48" spans="1:6" x14ac:dyDescent="0.25">
      <c r="B48" s="2"/>
      <c r="C48" s="6" t="s">
        <v>31</v>
      </c>
      <c r="D48" s="2"/>
      <c r="E48" s="2"/>
      <c r="F48" s="2"/>
    </row>
    <row r="49" spans="1:6" x14ac:dyDescent="0.25">
      <c r="B49" s="2"/>
      <c r="C49" s="6" t="s">
        <v>32</v>
      </c>
      <c r="D49" s="2"/>
      <c r="E49" s="2"/>
      <c r="F49" s="2"/>
    </row>
    <row r="50" spans="1:6" x14ac:dyDescent="0.25">
      <c r="B50" s="2"/>
      <c r="C50" s="2"/>
      <c r="D50" s="2"/>
      <c r="E50" s="2"/>
      <c r="F50" s="2"/>
    </row>
    <row r="51" spans="1:6" x14ac:dyDescent="0.25">
      <c r="B51" s="5" t="s">
        <v>33</v>
      </c>
      <c r="C51" s="2"/>
      <c r="D51" s="2"/>
      <c r="E51" s="2"/>
      <c r="F51" s="2"/>
    </row>
    <row r="52" spans="1:6" x14ac:dyDescent="0.25">
      <c r="B52" s="2"/>
      <c r="C52" s="6" t="s">
        <v>34</v>
      </c>
      <c r="D52" s="2"/>
      <c r="E52" s="2"/>
      <c r="F52" s="2"/>
    </row>
    <row r="53" spans="1:6" x14ac:dyDescent="0.25">
      <c r="B53" s="2"/>
      <c r="C53" s="6" t="s">
        <v>35</v>
      </c>
      <c r="D53" s="2"/>
      <c r="E53" s="2"/>
      <c r="F53" s="2"/>
    </row>
    <row r="54" spans="1:6" x14ac:dyDescent="0.25">
      <c r="B54" s="2"/>
      <c r="C54" s="6" t="s">
        <v>36</v>
      </c>
      <c r="D54" s="2"/>
      <c r="E54" s="2"/>
      <c r="F54" s="2"/>
    </row>
    <row r="55" spans="1:6" x14ac:dyDescent="0.25">
      <c r="B55" s="2"/>
      <c r="C55" s="2"/>
      <c r="D55" s="2"/>
      <c r="E55" s="2"/>
      <c r="F55" s="2"/>
    </row>
    <row r="56" spans="1:6" ht="19.2" x14ac:dyDescent="0.25">
      <c r="A56" s="4" t="s">
        <v>37</v>
      </c>
      <c r="B56" s="4" t="s">
        <v>38</v>
      </c>
      <c r="C56" s="2"/>
      <c r="D56" s="2"/>
      <c r="E56" s="2"/>
      <c r="F56" s="2"/>
    </row>
    <row r="57" spans="1:6" x14ac:dyDescent="0.25">
      <c r="B57" s="6"/>
      <c r="C57" s="2"/>
      <c r="D57" s="2"/>
      <c r="E57" s="2"/>
      <c r="F57" s="2"/>
    </row>
    <row r="58" spans="1:6" x14ac:dyDescent="0.25">
      <c r="B58" s="6" t="s">
        <v>39</v>
      </c>
      <c r="C58" s="2"/>
      <c r="D58" s="2"/>
      <c r="E58" s="2"/>
      <c r="F58" s="2"/>
    </row>
    <row r="59" spans="1:6" x14ac:dyDescent="0.25">
      <c r="B59" s="6" t="s">
        <v>40</v>
      </c>
      <c r="C59" s="2"/>
      <c r="D59" s="2"/>
      <c r="E59" s="2"/>
      <c r="F59" s="2"/>
    </row>
    <row r="60" spans="1:6" x14ac:dyDescent="0.25">
      <c r="B60" s="2"/>
      <c r="C60" s="2"/>
      <c r="D60" s="2"/>
      <c r="E60" s="2"/>
      <c r="F60" s="2"/>
    </row>
    <row r="61" spans="1:6" x14ac:dyDescent="0.25">
      <c r="B61" s="2"/>
      <c r="C61" s="2"/>
      <c r="D61" s="2"/>
      <c r="E61" s="2"/>
      <c r="F61" s="2"/>
    </row>
    <row r="62" spans="1:6" x14ac:dyDescent="0.25">
      <c r="B62" s="2"/>
      <c r="C62" s="2"/>
      <c r="D62" s="2"/>
      <c r="E62" s="2"/>
      <c r="F62" s="2"/>
    </row>
    <row r="63" spans="1:6" x14ac:dyDescent="0.25">
      <c r="B63" s="2"/>
      <c r="C63" s="2"/>
      <c r="D63" s="2"/>
      <c r="E63" s="2"/>
      <c r="F63" s="2"/>
    </row>
  </sheetData>
  <mergeCells count="1">
    <mergeCell ref="A1:F1"/>
  </mergeCells>
  <pageMargins left="0.7" right="0.7" top="0.75" bottom="0.75" header="0.3" footer="0.3"/>
  <pageSetup paperSize="9" scale="85"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BB80A-6B06-4D7D-A26E-7865D0221A4B}">
  <sheetPr>
    <tabColor theme="9" tint="0.39997558519241921"/>
    <pageSetUpPr fitToPage="1"/>
  </sheetPr>
  <dimension ref="B1:Q31"/>
  <sheetViews>
    <sheetView view="pageBreakPreview" zoomScale="70" zoomScaleNormal="100" zoomScaleSheetLayoutView="70" workbookViewId="0">
      <selection activeCell="J114" sqref="J114"/>
    </sheetView>
  </sheetViews>
  <sheetFormatPr defaultColWidth="8.8984375" defaultRowHeight="13.2" x14ac:dyDescent="0.2"/>
  <cols>
    <col min="1" max="1" width="2" style="2" customWidth="1"/>
    <col min="2" max="8" width="16.69921875" style="2" customWidth="1"/>
    <col min="9" max="9" width="2.296875" style="2" customWidth="1"/>
    <col min="10" max="10" width="2.3984375" style="2" customWidth="1"/>
    <col min="11" max="15" width="8.8984375" style="2"/>
    <col min="16" max="16" width="30.796875" style="2" customWidth="1"/>
    <col min="17" max="16384" width="8.8984375" style="2"/>
  </cols>
  <sheetData>
    <row r="1" spans="2:17" ht="26.25" customHeight="1" x14ac:dyDescent="0.2">
      <c r="B1" s="8" t="s">
        <v>41</v>
      </c>
      <c r="C1" s="9" t="s">
        <v>42</v>
      </c>
      <c r="D1" s="10"/>
      <c r="P1" s="2" t="s">
        <v>43</v>
      </c>
    </row>
    <row r="2" spans="2:17" ht="26.25" customHeight="1" x14ac:dyDescent="0.2">
      <c r="B2" s="11" t="s">
        <v>44</v>
      </c>
      <c r="C2" s="12" t="s">
        <v>45</v>
      </c>
      <c r="D2" s="13"/>
      <c r="E2" s="14" t="s">
        <v>46</v>
      </c>
      <c r="P2" s="2" t="s">
        <v>47</v>
      </c>
      <c r="Q2" s="2" t="s">
        <v>48</v>
      </c>
    </row>
    <row r="3" spans="2:17" ht="26.25" customHeight="1" x14ac:dyDescent="0.2">
      <c r="B3" s="11" t="s">
        <v>49</v>
      </c>
      <c r="C3" s="12" t="s">
        <v>45</v>
      </c>
      <c r="D3" s="13"/>
      <c r="E3" s="14" t="s">
        <v>46</v>
      </c>
      <c r="P3" s="2" t="s">
        <v>50</v>
      </c>
      <c r="Q3" s="2" t="s">
        <v>51</v>
      </c>
    </row>
    <row r="5" spans="2:17" ht="40.5" customHeight="1" x14ac:dyDescent="0.2">
      <c r="B5" s="15" t="s">
        <v>52</v>
      </c>
      <c r="C5" s="15"/>
      <c r="D5" s="15"/>
      <c r="E5" s="15"/>
      <c r="F5" s="15"/>
      <c r="G5" s="15"/>
      <c r="H5" s="15"/>
      <c r="I5" s="16"/>
    </row>
    <row r="6" spans="2:17" ht="15" customHeight="1" x14ac:dyDescent="0.2">
      <c r="B6" s="17"/>
      <c r="C6" s="17"/>
      <c r="D6" s="17"/>
      <c r="E6" s="17"/>
      <c r="F6" s="17"/>
      <c r="G6" s="17"/>
      <c r="H6" s="17"/>
      <c r="I6" s="16"/>
    </row>
    <row r="7" spans="2:17" s="22" customFormat="1" ht="30" customHeight="1" x14ac:dyDescent="0.2">
      <c r="B7" s="18" t="str">
        <f>Input_CI!B5</f>
        <v>PROJECT: Promigas CPF Project</v>
      </c>
      <c r="C7" s="19"/>
      <c r="D7" s="19"/>
      <c r="E7" s="19"/>
      <c r="F7" s="19"/>
      <c r="G7" s="19"/>
      <c r="H7" s="20">
        <f>Input_CI!AK5</f>
        <v>46255</v>
      </c>
      <c r="I7" s="21"/>
    </row>
    <row r="8" spans="2:17" ht="6.75" customHeight="1" x14ac:dyDescent="0.2">
      <c r="B8" s="23"/>
      <c r="C8" s="23"/>
      <c r="D8" s="23"/>
      <c r="E8" s="23"/>
      <c r="F8" s="23"/>
      <c r="G8" s="23"/>
      <c r="H8" s="23"/>
    </row>
    <row r="9" spans="2:17" s="5" customFormat="1" ht="30" customHeight="1" thickBot="1" x14ac:dyDescent="0.25">
      <c r="B9" s="24" t="s">
        <v>53</v>
      </c>
      <c r="C9" s="25"/>
      <c r="D9" s="25"/>
      <c r="E9" s="25"/>
      <c r="F9" s="25"/>
      <c r="G9" s="25"/>
      <c r="H9" s="25"/>
    </row>
    <row r="10" spans="2:17" ht="30" customHeight="1" x14ac:dyDescent="0.2">
      <c r="B10" s="26" t="s">
        <v>54</v>
      </c>
      <c r="C10" s="27" t="s">
        <v>55</v>
      </c>
      <c r="D10" s="28"/>
      <c r="E10" s="29"/>
      <c r="F10" s="23"/>
      <c r="G10" s="23"/>
      <c r="H10" s="23"/>
    </row>
    <row r="11" spans="2:17" ht="30" customHeight="1" x14ac:dyDescent="0.2">
      <c r="B11" s="30"/>
      <c r="C11" s="31" t="s">
        <v>56</v>
      </c>
      <c r="D11" s="32" t="s">
        <v>57</v>
      </c>
      <c r="E11" s="33" t="s">
        <v>58</v>
      </c>
      <c r="F11" s="23"/>
      <c r="G11" s="23"/>
      <c r="H11" s="23"/>
    </row>
    <row r="12" spans="2:17" ht="30" customHeight="1" x14ac:dyDescent="0.2">
      <c r="B12" s="34" t="s">
        <v>59</v>
      </c>
      <c r="C12" s="35">
        <f>C21+F21</f>
        <v>21120.799999999999</v>
      </c>
      <c r="D12" s="35">
        <f>D21+G21</f>
        <v>0</v>
      </c>
      <c r="E12" s="36">
        <f>E21+H21</f>
        <v>13863</v>
      </c>
      <c r="F12" s="23"/>
      <c r="G12" s="23"/>
      <c r="H12" s="23"/>
    </row>
    <row r="13" spans="2:17" ht="30" customHeight="1" x14ac:dyDescent="0.2">
      <c r="B13" s="37" t="s">
        <v>60</v>
      </c>
      <c r="C13" s="38">
        <f t="shared" ref="C13:E14" si="0">C22+F22</f>
        <v>129.44102390363258</v>
      </c>
      <c r="D13" s="39">
        <f t="shared" si="0"/>
        <v>0</v>
      </c>
      <c r="E13" s="40">
        <f t="shared" si="0"/>
        <v>84.939845661584798</v>
      </c>
      <c r="F13" s="23"/>
      <c r="G13" s="23"/>
      <c r="H13" s="23"/>
    </row>
    <row r="14" spans="2:17" ht="30" customHeight="1" thickBot="1" x14ac:dyDescent="0.25">
      <c r="B14" s="41" t="s">
        <v>61</v>
      </c>
      <c r="C14" s="42">
        <f t="shared" si="0"/>
        <v>15.723604994039777</v>
      </c>
      <c r="D14" s="43">
        <f t="shared" si="0"/>
        <v>0</v>
      </c>
      <c r="E14" s="44">
        <f t="shared" si="0"/>
        <v>10.246539933496456</v>
      </c>
      <c r="F14" s="23"/>
      <c r="G14" s="23"/>
      <c r="H14" s="23"/>
    </row>
    <row r="15" spans="2:17" ht="17.25" customHeight="1" x14ac:dyDescent="0.2">
      <c r="B15" s="23"/>
      <c r="C15" s="23"/>
      <c r="D15" s="23"/>
      <c r="E15" s="23"/>
      <c r="F15" s="23"/>
      <c r="G15" s="23"/>
      <c r="H15" s="23"/>
    </row>
    <row r="16" spans="2:17" ht="30" customHeight="1" thickBot="1" x14ac:dyDescent="0.25">
      <c r="B16" s="24" t="s">
        <v>62</v>
      </c>
      <c r="C16" s="23"/>
      <c r="D16" s="23"/>
      <c r="E16" s="23"/>
      <c r="F16" s="23"/>
      <c r="G16" s="23"/>
      <c r="H16" s="23"/>
    </row>
    <row r="17" spans="2:8" ht="30" customHeight="1" x14ac:dyDescent="0.2">
      <c r="B17" s="26" t="s">
        <v>54</v>
      </c>
      <c r="C17" s="45" t="s">
        <v>63</v>
      </c>
      <c r="D17" s="46"/>
      <c r="E17" s="47"/>
      <c r="F17" s="45" t="s">
        <v>64</v>
      </c>
      <c r="G17" s="46"/>
      <c r="H17" s="47"/>
    </row>
    <row r="18" spans="2:8" ht="30" customHeight="1" x14ac:dyDescent="0.2">
      <c r="B18" s="48"/>
      <c r="C18" s="49" t="str">
        <f>C2</f>
        <v>Case1. 외주-단종 Case</v>
      </c>
      <c r="D18" s="50"/>
      <c r="E18" s="51"/>
      <c r="F18" s="52" t="str">
        <f>C2</f>
        <v>Case1. 외주-단종 Case</v>
      </c>
      <c r="G18" s="50"/>
      <c r="H18" s="51"/>
    </row>
    <row r="19" spans="2:8" ht="30" customHeight="1" x14ac:dyDescent="0.2">
      <c r="B19" s="48"/>
      <c r="C19" s="49" t="str">
        <f>산출기준_CI!A5</f>
        <v>일반 Ver.</v>
      </c>
      <c r="D19" s="50"/>
      <c r="E19" s="51"/>
      <c r="F19" s="52" t="str">
        <f>산출기준_TEL!A5</f>
        <v>일반 Ver.</v>
      </c>
      <c r="G19" s="50"/>
      <c r="H19" s="51"/>
    </row>
    <row r="20" spans="2:8" ht="30" customHeight="1" x14ac:dyDescent="0.2">
      <c r="B20" s="30"/>
      <c r="C20" s="31" t="s">
        <v>56</v>
      </c>
      <c r="D20" s="53" t="s">
        <v>57</v>
      </c>
      <c r="E20" s="54" t="str">
        <f>IF(C2=P3,Q3,Q2)</f>
        <v>외주-단종</v>
      </c>
      <c r="F20" s="31" t="s">
        <v>56</v>
      </c>
      <c r="G20" s="53" t="s">
        <v>57</v>
      </c>
      <c r="H20" s="54" t="str">
        <f>IF(C3=P3,Q3,Q2)</f>
        <v>외주-단종</v>
      </c>
    </row>
    <row r="21" spans="2:8" ht="30" customHeight="1" x14ac:dyDescent="0.2">
      <c r="B21" s="55" t="s">
        <v>59</v>
      </c>
      <c r="C21" s="35">
        <f>IF(C2=P1,OP1_CI!J128,IF(Summary!C2=Summary!P2,OP1_CI!L128,IF(Summary!C2=Summary!P3,OP1_CI!N128)))</f>
        <v>11582.8</v>
      </c>
      <c r="D21" s="35">
        <f>IF(C2=P1,0,OP1_CI!P128)</f>
        <v>0</v>
      </c>
      <c r="E21" s="36">
        <f>IF(C2=P1,OP1_CI!V128,IF(Summary!C2=Summary!P2,OP1_CI!X128,IF(Summary!C2=Summary!P3,OP1_CI!Z128)))</f>
        <v>7742</v>
      </c>
      <c r="F21" s="35">
        <f>IF(C3=P1,OP1_TEL!J113,IF(C3= P2,OP1_TEL!L113,IF(C3=P3,OP1_TEL!N113)))</f>
        <v>9538</v>
      </c>
      <c r="G21" s="56">
        <f>IF(C3=P1,0,OP1_TEL!P113)</f>
        <v>0</v>
      </c>
      <c r="H21" s="36">
        <f>IF(C3=P1,OP1_TEL!V113,IF(C3= P2,OP1_TEL!X113,IF(C3=P3,OP1_TEL!Z113)))</f>
        <v>6121</v>
      </c>
    </row>
    <row r="22" spans="2:8" ht="30" customHeight="1" x14ac:dyDescent="0.2">
      <c r="B22" s="57" t="s">
        <v>60</v>
      </c>
      <c r="C22" s="38">
        <f>IF(C2=P1,OP1_CI!J129,IF(Summary!C2=Summary!P2,OP1_CI!L129,IF(Summary!C2=Summary!P3,OP1_CI!N129)))</f>
        <v>70.198787878787869</v>
      </c>
      <c r="D22" s="39">
        <f>IF(C2=P1,0,OP1_CI!P129)</f>
        <v>0</v>
      </c>
      <c r="E22" s="40">
        <f>IF(C2=P1,OP1_CI!V129,IF(Summary!C2=Summary!P2,OP1_CI!X129,IF(Summary!C2=Summary!P3,OP1_CI!Z129)))</f>
        <v>46.921212121212122</v>
      </c>
      <c r="F22" s="38">
        <f>IF(C3=P1,OP1_TEL!J114,IF(C3= P2,OP1_TEL!L114,IF(C3=P3,OP1_TEL!N114)))</f>
        <v>59.242236024844722</v>
      </c>
      <c r="G22" s="39">
        <f>IF(C3=P1,0,OP1_TEL!P114)</f>
        <v>0</v>
      </c>
      <c r="H22" s="40">
        <f>IF(C3=P1,OP1_TEL!V114,IF(C3= P2,OP1_TEL!X114,IF(C3=P3,OP1_TEL!Z114)))</f>
        <v>38.018633540372669</v>
      </c>
    </row>
    <row r="23" spans="2:8" ht="30" customHeight="1" thickBot="1" x14ac:dyDescent="0.25">
      <c r="B23" s="58" t="s">
        <v>61</v>
      </c>
      <c r="C23" s="42">
        <f>IF(C2=P1,OP1_CI!J130,IF(Summary!C2=Summary!P2,OP1_CI!L130,IF(Summary!C2=Summary!P3,OP1_CI!N130)))</f>
        <v>5.849898989898989</v>
      </c>
      <c r="D23" s="43">
        <f>IF(C2=P1,0,OP1_CI!P130)</f>
        <v>0</v>
      </c>
      <c r="E23" s="44">
        <f>IF(C2=P1,OP1_CI!V130,IF(Summary!C2=Summary!P2,OP1_CI!X130,IF(Summary!C2=Summary!P3,OP1_CI!Z130)))</f>
        <v>3.9101010101010103</v>
      </c>
      <c r="F23" s="42">
        <f>IF(C3=P1,OP1_TEL!J115,IF(C3= P2,OP1_TEL!L115,IF(C3=P3,OP1_TEL!N115)))</f>
        <v>9.8737060041407876</v>
      </c>
      <c r="G23" s="43">
        <f>IF(C3=P1,0,OP1_TEL!P115)</f>
        <v>0</v>
      </c>
      <c r="H23" s="44">
        <f>IF(C3=P1,OP1_TEL!V115,IF(C3= P2,OP1_TEL!X115,IF(C3=P3,OP1_TEL!Z115)))</f>
        <v>6.3364389233954448</v>
      </c>
    </row>
    <row r="24" spans="2:8" ht="17.25" customHeight="1" x14ac:dyDescent="0.2"/>
    <row r="25" spans="2:8" ht="30" customHeight="1" x14ac:dyDescent="0.2"/>
    <row r="26" spans="2:8" ht="30" customHeight="1" x14ac:dyDescent="0.2"/>
    <row r="27" spans="2:8" ht="30" customHeight="1" x14ac:dyDescent="0.2"/>
    <row r="28" spans="2:8" ht="30" customHeight="1" x14ac:dyDescent="0.2"/>
    <row r="29" spans="2:8" ht="30" customHeight="1" x14ac:dyDescent="0.2"/>
    <row r="30" spans="2:8" ht="30" customHeight="1" x14ac:dyDescent="0.2"/>
    <row r="31" spans="2:8" ht="30" customHeight="1" x14ac:dyDescent="0.2"/>
  </sheetData>
  <mergeCells count="14">
    <mergeCell ref="B17:B20"/>
    <mergeCell ref="C17:E17"/>
    <mergeCell ref="F17:H17"/>
    <mergeCell ref="C18:E18"/>
    <mergeCell ref="F18:H18"/>
    <mergeCell ref="C19:E19"/>
    <mergeCell ref="F19:H19"/>
    <mergeCell ref="C1:D1"/>
    <mergeCell ref="C2:D2"/>
    <mergeCell ref="C3:D3"/>
    <mergeCell ref="B5:H5"/>
    <mergeCell ref="B6:H6"/>
    <mergeCell ref="B10:B11"/>
    <mergeCell ref="C10:E10"/>
  </mergeCells>
  <dataValidations count="1">
    <dataValidation type="list" allowBlank="1" showInputMessage="1" showErrorMessage="1" sqref="C2:C3" xr:uid="{0DD25529-7A59-4E02-97C5-1ABAC29E8A41}">
      <formula1>$P$1:$P$3</formula1>
    </dataValidation>
  </dataValidations>
  <pageMargins left="0.70866141732283472" right="0.70866141732283472" top="0.74803149606299213" bottom="0.74803149606299213" header="0.31496062992125984" footer="0.31496062992125984"/>
  <pageSetup paperSize="9" scale="94" orientation="landscape" verticalDpi="0"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865EB-560B-4F4B-99FE-D21E01D87065}">
  <sheetPr>
    <tabColor rgb="FF00FF00"/>
    <pageSetUpPr fitToPage="1"/>
  </sheetPr>
  <dimension ref="A1:R171"/>
  <sheetViews>
    <sheetView showGridLines="0" view="pageBreakPreview" zoomScale="55" zoomScaleNormal="100" zoomScaleSheetLayoutView="55" workbookViewId="0">
      <pane xSplit="4" ySplit="10" topLeftCell="E40" activePane="bottomRight" state="frozen"/>
      <selection activeCell="J114" sqref="J114"/>
      <selection pane="topRight" activeCell="J114" sqref="J114"/>
      <selection pane="bottomLeft" activeCell="J114" sqref="J114"/>
      <selection pane="bottomRight" activeCell="J114" sqref="J114"/>
    </sheetView>
  </sheetViews>
  <sheetFormatPr defaultColWidth="7.09765625" defaultRowHeight="12" x14ac:dyDescent="0.15"/>
  <cols>
    <col min="1" max="1" width="4.59765625" style="303" customWidth="1"/>
    <col min="2" max="2" width="3" style="303" customWidth="1"/>
    <col min="3" max="3" width="40.796875" style="304" customWidth="1"/>
    <col min="4" max="4" width="5.796875" style="63" customWidth="1"/>
    <col min="5" max="6" width="6.09765625" style="63" customWidth="1"/>
    <col min="7" max="7" width="6.8984375" style="63" customWidth="1"/>
    <col min="8" max="8" width="7.8984375" style="63" customWidth="1"/>
    <col min="9" max="10" width="6.09765625" style="63" customWidth="1"/>
    <col min="11" max="11" width="6.8984375" style="63" customWidth="1"/>
    <col min="12" max="12" width="7.8984375" style="63" customWidth="1"/>
    <col min="13" max="13" width="70.796875" style="63" customWidth="1"/>
    <col min="14" max="15" width="9.59765625" style="63" customWidth="1"/>
    <col min="16" max="16" width="54" style="63" customWidth="1"/>
    <col min="17" max="17" width="1.19921875" style="63" customWidth="1"/>
    <col min="18" max="18" width="46.59765625" style="64" customWidth="1"/>
    <col min="19" max="203" width="7.09765625" style="63"/>
    <col min="204" max="204" width="4.796875" style="63" customWidth="1"/>
    <col min="205" max="205" width="3" style="63" customWidth="1"/>
    <col min="206" max="206" width="37.19921875" style="63" customWidth="1"/>
    <col min="207" max="209" width="5.796875" style="63" customWidth="1"/>
    <col min="210" max="211" width="7.3984375" style="63" customWidth="1"/>
    <col min="212" max="212" width="14.3984375" style="63" bestFit="1" customWidth="1"/>
    <col min="213" max="213" width="15.796875" style="63" bestFit="1" customWidth="1"/>
    <col min="214" max="214" width="10.296875" style="63" customWidth="1"/>
    <col min="215" max="215" width="7.09765625" style="63"/>
    <col min="216" max="216" width="12.3984375" style="63" bestFit="1" customWidth="1"/>
    <col min="217" max="217" width="12.69921875" style="63" bestFit="1" customWidth="1"/>
    <col min="218" max="218" width="7.796875" style="63" bestFit="1" customWidth="1"/>
    <col min="219" max="219" width="7.09765625" style="63"/>
    <col min="220" max="220" width="8.59765625" style="63" bestFit="1" customWidth="1"/>
    <col min="221" max="459" width="7.09765625" style="63"/>
    <col min="460" max="460" width="4.796875" style="63" customWidth="1"/>
    <col min="461" max="461" width="3" style="63" customWidth="1"/>
    <col min="462" max="462" width="37.19921875" style="63" customWidth="1"/>
    <col min="463" max="465" width="5.796875" style="63" customWidth="1"/>
    <col min="466" max="467" width="7.3984375" style="63" customWidth="1"/>
    <col min="468" max="468" width="14.3984375" style="63" bestFit="1" customWidth="1"/>
    <col min="469" max="469" width="15.796875" style="63" bestFit="1" customWidth="1"/>
    <col min="470" max="470" width="10.296875" style="63" customWidth="1"/>
    <col min="471" max="471" width="7.09765625" style="63"/>
    <col min="472" max="472" width="12.3984375" style="63" bestFit="1" customWidth="1"/>
    <col min="473" max="473" width="12.69921875" style="63" bestFit="1" customWidth="1"/>
    <col min="474" max="474" width="7.796875" style="63" bestFit="1" customWidth="1"/>
    <col min="475" max="475" width="7.09765625" style="63"/>
    <col min="476" max="476" width="8.59765625" style="63" bestFit="1" customWidth="1"/>
    <col min="477" max="715" width="7.09765625" style="63"/>
    <col min="716" max="716" width="4.796875" style="63" customWidth="1"/>
    <col min="717" max="717" width="3" style="63" customWidth="1"/>
    <col min="718" max="718" width="37.19921875" style="63" customWidth="1"/>
    <col min="719" max="721" width="5.796875" style="63" customWidth="1"/>
    <col min="722" max="723" width="7.3984375" style="63" customWidth="1"/>
    <col min="724" max="724" width="14.3984375" style="63" bestFit="1" customWidth="1"/>
    <col min="725" max="725" width="15.796875" style="63" bestFit="1" customWidth="1"/>
    <col min="726" max="726" width="10.296875" style="63" customWidth="1"/>
    <col min="727" max="727" width="7.09765625" style="63"/>
    <col min="728" max="728" width="12.3984375" style="63" bestFit="1" customWidth="1"/>
    <col min="729" max="729" width="12.69921875" style="63" bestFit="1" customWidth="1"/>
    <col min="730" max="730" width="7.796875" style="63" bestFit="1" customWidth="1"/>
    <col min="731" max="731" width="7.09765625" style="63"/>
    <col min="732" max="732" width="8.59765625" style="63" bestFit="1" customWidth="1"/>
    <col min="733" max="971" width="7.09765625" style="63"/>
    <col min="972" max="972" width="4.796875" style="63" customWidth="1"/>
    <col min="973" max="973" width="3" style="63" customWidth="1"/>
    <col min="974" max="974" width="37.19921875" style="63" customWidth="1"/>
    <col min="975" max="977" width="5.796875" style="63" customWidth="1"/>
    <col min="978" max="979" width="7.3984375" style="63" customWidth="1"/>
    <col min="980" max="980" width="14.3984375" style="63" bestFit="1" customWidth="1"/>
    <col min="981" max="981" width="15.796875" style="63" bestFit="1" customWidth="1"/>
    <col min="982" max="982" width="10.296875" style="63" customWidth="1"/>
    <col min="983" max="983" width="7.09765625" style="63"/>
    <col min="984" max="984" width="12.3984375" style="63" bestFit="1" customWidth="1"/>
    <col min="985" max="985" width="12.69921875" style="63" bestFit="1" customWidth="1"/>
    <col min="986" max="986" width="7.796875" style="63" bestFit="1" customWidth="1"/>
    <col min="987" max="987" width="7.09765625" style="63"/>
    <col min="988" max="988" width="8.59765625" style="63" bestFit="1" customWidth="1"/>
    <col min="989" max="1227" width="7.09765625" style="63"/>
    <col min="1228" max="1228" width="4.796875" style="63" customWidth="1"/>
    <col min="1229" max="1229" width="3" style="63" customWidth="1"/>
    <col min="1230" max="1230" width="37.19921875" style="63" customWidth="1"/>
    <col min="1231" max="1233" width="5.796875" style="63" customWidth="1"/>
    <col min="1234" max="1235" width="7.3984375" style="63" customWidth="1"/>
    <col min="1236" max="1236" width="14.3984375" style="63" bestFit="1" customWidth="1"/>
    <col min="1237" max="1237" width="15.796875" style="63" bestFit="1" customWidth="1"/>
    <col min="1238" max="1238" width="10.296875" style="63" customWidth="1"/>
    <col min="1239" max="1239" width="7.09765625" style="63"/>
    <col min="1240" max="1240" width="12.3984375" style="63" bestFit="1" customWidth="1"/>
    <col min="1241" max="1241" width="12.69921875" style="63" bestFit="1" customWidth="1"/>
    <col min="1242" max="1242" width="7.796875" style="63" bestFit="1" customWidth="1"/>
    <col min="1243" max="1243" width="7.09765625" style="63"/>
    <col min="1244" max="1244" width="8.59765625" style="63" bestFit="1" customWidth="1"/>
    <col min="1245" max="1483" width="7.09765625" style="63"/>
    <col min="1484" max="1484" width="4.796875" style="63" customWidth="1"/>
    <col min="1485" max="1485" width="3" style="63" customWidth="1"/>
    <col min="1486" max="1486" width="37.19921875" style="63" customWidth="1"/>
    <col min="1487" max="1489" width="5.796875" style="63" customWidth="1"/>
    <col min="1490" max="1491" width="7.3984375" style="63" customWidth="1"/>
    <col min="1492" max="1492" width="14.3984375" style="63" bestFit="1" customWidth="1"/>
    <col min="1493" max="1493" width="15.796875" style="63" bestFit="1" customWidth="1"/>
    <col min="1494" max="1494" width="10.296875" style="63" customWidth="1"/>
    <col min="1495" max="1495" width="7.09765625" style="63"/>
    <col min="1496" max="1496" width="12.3984375" style="63" bestFit="1" customWidth="1"/>
    <col min="1497" max="1497" width="12.69921875" style="63" bestFit="1" customWidth="1"/>
    <col min="1498" max="1498" width="7.796875" style="63" bestFit="1" customWidth="1"/>
    <col min="1499" max="1499" width="7.09765625" style="63"/>
    <col min="1500" max="1500" width="8.59765625" style="63" bestFit="1" customWidth="1"/>
    <col min="1501" max="1739" width="7.09765625" style="63"/>
    <col min="1740" max="1740" width="4.796875" style="63" customWidth="1"/>
    <col min="1741" max="1741" width="3" style="63" customWidth="1"/>
    <col min="1742" max="1742" width="37.19921875" style="63" customWidth="1"/>
    <col min="1743" max="1745" width="5.796875" style="63" customWidth="1"/>
    <col min="1746" max="1747" width="7.3984375" style="63" customWidth="1"/>
    <col min="1748" max="1748" width="14.3984375" style="63" bestFit="1" customWidth="1"/>
    <col min="1749" max="1749" width="15.796875" style="63" bestFit="1" customWidth="1"/>
    <col min="1750" max="1750" width="10.296875" style="63" customWidth="1"/>
    <col min="1751" max="1751" width="7.09765625" style="63"/>
    <col min="1752" max="1752" width="12.3984375" style="63" bestFit="1" customWidth="1"/>
    <col min="1753" max="1753" width="12.69921875" style="63" bestFit="1" customWidth="1"/>
    <col min="1754" max="1754" width="7.796875" style="63" bestFit="1" customWidth="1"/>
    <col min="1755" max="1755" width="7.09765625" style="63"/>
    <col min="1756" max="1756" width="8.59765625" style="63" bestFit="1" customWidth="1"/>
    <col min="1757" max="1995" width="7.09765625" style="63"/>
    <col min="1996" max="1996" width="4.796875" style="63" customWidth="1"/>
    <col min="1997" max="1997" width="3" style="63" customWidth="1"/>
    <col min="1998" max="1998" width="37.19921875" style="63" customWidth="1"/>
    <col min="1999" max="2001" width="5.796875" style="63" customWidth="1"/>
    <col min="2002" max="2003" width="7.3984375" style="63" customWidth="1"/>
    <col min="2004" max="2004" width="14.3984375" style="63" bestFit="1" customWidth="1"/>
    <col min="2005" max="2005" width="15.796875" style="63" bestFit="1" customWidth="1"/>
    <col min="2006" max="2006" width="10.296875" style="63" customWidth="1"/>
    <col min="2007" max="2007" width="7.09765625" style="63"/>
    <col min="2008" max="2008" width="12.3984375" style="63" bestFit="1" customWidth="1"/>
    <col min="2009" max="2009" width="12.69921875" style="63" bestFit="1" customWidth="1"/>
    <col min="2010" max="2010" width="7.796875" style="63" bestFit="1" customWidth="1"/>
    <col min="2011" max="2011" width="7.09765625" style="63"/>
    <col min="2012" max="2012" width="8.59765625" style="63" bestFit="1" customWidth="1"/>
    <col min="2013" max="2251" width="7.09765625" style="63"/>
    <col min="2252" max="2252" width="4.796875" style="63" customWidth="1"/>
    <col min="2253" max="2253" width="3" style="63" customWidth="1"/>
    <col min="2254" max="2254" width="37.19921875" style="63" customWidth="1"/>
    <col min="2255" max="2257" width="5.796875" style="63" customWidth="1"/>
    <col min="2258" max="2259" width="7.3984375" style="63" customWidth="1"/>
    <col min="2260" max="2260" width="14.3984375" style="63" bestFit="1" customWidth="1"/>
    <col min="2261" max="2261" width="15.796875" style="63" bestFit="1" customWidth="1"/>
    <col min="2262" max="2262" width="10.296875" style="63" customWidth="1"/>
    <col min="2263" max="2263" width="7.09765625" style="63"/>
    <col min="2264" max="2264" width="12.3984375" style="63" bestFit="1" customWidth="1"/>
    <col min="2265" max="2265" width="12.69921875" style="63" bestFit="1" customWidth="1"/>
    <col min="2266" max="2266" width="7.796875" style="63" bestFit="1" customWidth="1"/>
    <col min="2267" max="2267" width="7.09765625" style="63"/>
    <col min="2268" max="2268" width="8.59765625" style="63" bestFit="1" customWidth="1"/>
    <col min="2269" max="2507" width="7.09765625" style="63"/>
    <col min="2508" max="2508" width="4.796875" style="63" customWidth="1"/>
    <col min="2509" max="2509" width="3" style="63" customWidth="1"/>
    <col min="2510" max="2510" width="37.19921875" style="63" customWidth="1"/>
    <col min="2511" max="2513" width="5.796875" style="63" customWidth="1"/>
    <col min="2514" max="2515" width="7.3984375" style="63" customWidth="1"/>
    <col min="2516" max="2516" width="14.3984375" style="63" bestFit="1" customWidth="1"/>
    <col min="2517" max="2517" width="15.796875" style="63" bestFit="1" customWidth="1"/>
    <col min="2518" max="2518" width="10.296875" style="63" customWidth="1"/>
    <col min="2519" max="2519" width="7.09765625" style="63"/>
    <col min="2520" max="2520" width="12.3984375" style="63" bestFit="1" customWidth="1"/>
    <col min="2521" max="2521" width="12.69921875" style="63" bestFit="1" customWidth="1"/>
    <col min="2522" max="2522" width="7.796875" style="63" bestFit="1" customWidth="1"/>
    <col min="2523" max="2523" width="7.09765625" style="63"/>
    <col min="2524" max="2524" width="8.59765625" style="63" bestFit="1" customWidth="1"/>
    <col min="2525" max="2763" width="7.09765625" style="63"/>
    <col min="2764" max="2764" width="4.796875" style="63" customWidth="1"/>
    <col min="2765" max="2765" width="3" style="63" customWidth="1"/>
    <col min="2766" max="2766" width="37.19921875" style="63" customWidth="1"/>
    <col min="2767" max="2769" width="5.796875" style="63" customWidth="1"/>
    <col min="2770" max="2771" width="7.3984375" style="63" customWidth="1"/>
    <col min="2772" max="2772" width="14.3984375" style="63" bestFit="1" customWidth="1"/>
    <col min="2773" max="2773" width="15.796875" style="63" bestFit="1" customWidth="1"/>
    <col min="2774" max="2774" width="10.296875" style="63" customWidth="1"/>
    <col min="2775" max="2775" width="7.09765625" style="63"/>
    <col min="2776" max="2776" width="12.3984375" style="63" bestFit="1" customWidth="1"/>
    <col min="2777" max="2777" width="12.69921875" style="63" bestFit="1" customWidth="1"/>
    <col min="2778" max="2778" width="7.796875" style="63" bestFit="1" customWidth="1"/>
    <col min="2779" max="2779" width="7.09765625" style="63"/>
    <col min="2780" max="2780" width="8.59765625" style="63" bestFit="1" customWidth="1"/>
    <col min="2781" max="3019" width="7.09765625" style="63"/>
    <col min="3020" max="3020" width="4.796875" style="63" customWidth="1"/>
    <col min="3021" max="3021" width="3" style="63" customWidth="1"/>
    <col min="3022" max="3022" width="37.19921875" style="63" customWidth="1"/>
    <col min="3023" max="3025" width="5.796875" style="63" customWidth="1"/>
    <col min="3026" max="3027" width="7.3984375" style="63" customWidth="1"/>
    <col min="3028" max="3028" width="14.3984375" style="63" bestFit="1" customWidth="1"/>
    <col min="3029" max="3029" width="15.796875" style="63" bestFit="1" customWidth="1"/>
    <col min="3030" max="3030" width="10.296875" style="63" customWidth="1"/>
    <col min="3031" max="3031" width="7.09765625" style="63"/>
    <col min="3032" max="3032" width="12.3984375" style="63" bestFit="1" customWidth="1"/>
    <col min="3033" max="3033" width="12.69921875" style="63" bestFit="1" customWidth="1"/>
    <col min="3034" max="3034" width="7.796875" style="63" bestFit="1" customWidth="1"/>
    <col min="3035" max="3035" width="7.09765625" style="63"/>
    <col min="3036" max="3036" width="8.59765625" style="63" bestFit="1" customWidth="1"/>
    <col min="3037" max="3275" width="7.09765625" style="63"/>
    <col min="3276" max="3276" width="4.796875" style="63" customWidth="1"/>
    <col min="3277" max="3277" width="3" style="63" customWidth="1"/>
    <col min="3278" max="3278" width="37.19921875" style="63" customWidth="1"/>
    <col min="3279" max="3281" width="5.796875" style="63" customWidth="1"/>
    <col min="3282" max="3283" width="7.3984375" style="63" customWidth="1"/>
    <col min="3284" max="3284" width="14.3984375" style="63" bestFit="1" customWidth="1"/>
    <col min="3285" max="3285" width="15.796875" style="63" bestFit="1" customWidth="1"/>
    <col min="3286" max="3286" width="10.296875" style="63" customWidth="1"/>
    <col min="3287" max="3287" width="7.09765625" style="63"/>
    <col min="3288" max="3288" width="12.3984375" style="63" bestFit="1" customWidth="1"/>
    <col min="3289" max="3289" width="12.69921875" style="63" bestFit="1" customWidth="1"/>
    <col min="3290" max="3290" width="7.796875" style="63" bestFit="1" customWidth="1"/>
    <col min="3291" max="3291" width="7.09765625" style="63"/>
    <col min="3292" max="3292" width="8.59765625" style="63" bestFit="1" customWidth="1"/>
    <col min="3293" max="3531" width="7.09765625" style="63"/>
    <col min="3532" max="3532" width="4.796875" style="63" customWidth="1"/>
    <col min="3533" max="3533" width="3" style="63" customWidth="1"/>
    <col min="3534" max="3534" width="37.19921875" style="63" customWidth="1"/>
    <col min="3535" max="3537" width="5.796875" style="63" customWidth="1"/>
    <col min="3538" max="3539" width="7.3984375" style="63" customWidth="1"/>
    <col min="3540" max="3540" width="14.3984375" style="63" bestFit="1" customWidth="1"/>
    <col min="3541" max="3541" width="15.796875" style="63" bestFit="1" customWidth="1"/>
    <col min="3542" max="3542" width="10.296875" style="63" customWidth="1"/>
    <col min="3543" max="3543" width="7.09765625" style="63"/>
    <col min="3544" max="3544" width="12.3984375" style="63" bestFit="1" customWidth="1"/>
    <col min="3545" max="3545" width="12.69921875" style="63" bestFit="1" customWidth="1"/>
    <col min="3546" max="3546" width="7.796875" style="63" bestFit="1" customWidth="1"/>
    <col min="3547" max="3547" width="7.09765625" style="63"/>
    <col min="3548" max="3548" width="8.59765625" style="63" bestFit="1" customWidth="1"/>
    <col min="3549" max="3787" width="7.09765625" style="63"/>
    <col min="3788" max="3788" width="4.796875" style="63" customWidth="1"/>
    <col min="3789" max="3789" width="3" style="63" customWidth="1"/>
    <col min="3790" max="3790" width="37.19921875" style="63" customWidth="1"/>
    <col min="3791" max="3793" width="5.796875" style="63" customWidth="1"/>
    <col min="3794" max="3795" width="7.3984375" style="63" customWidth="1"/>
    <col min="3796" max="3796" width="14.3984375" style="63" bestFit="1" customWidth="1"/>
    <col min="3797" max="3797" width="15.796875" style="63" bestFit="1" customWidth="1"/>
    <col min="3798" max="3798" width="10.296875" style="63" customWidth="1"/>
    <col min="3799" max="3799" width="7.09765625" style="63"/>
    <col min="3800" max="3800" width="12.3984375" style="63" bestFit="1" customWidth="1"/>
    <col min="3801" max="3801" width="12.69921875" style="63" bestFit="1" customWidth="1"/>
    <col min="3802" max="3802" width="7.796875" style="63" bestFit="1" customWidth="1"/>
    <col min="3803" max="3803" width="7.09765625" style="63"/>
    <col min="3804" max="3804" width="8.59765625" style="63" bestFit="1" customWidth="1"/>
    <col min="3805" max="4043" width="7.09765625" style="63"/>
    <col min="4044" max="4044" width="4.796875" style="63" customWidth="1"/>
    <col min="4045" max="4045" width="3" style="63" customWidth="1"/>
    <col min="4046" max="4046" width="37.19921875" style="63" customWidth="1"/>
    <col min="4047" max="4049" width="5.796875" style="63" customWidth="1"/>
    <col min="4050" max="4051" width="7.3984375" style="63" customWidth="1"/>
    <col min="4052" max="4052" width="14.3984375" style="63" bestFit="1" customWidth="1"/>
    <col min="4053" max="4053" width="15.796875" style="63" bestFit="1" customWidth="1"/>
    <col min="4054" max="4054" width="10.296875" style="63" customWidth="1"/>
    <col min="4055" max="4055" width="7.09765625" style="63"/>
    <col min="4056" max="4056" width="12.3984375" style="63" bestFit="1" customWidth="1"/>
    <col min="4057" max="4057" width="12.69921875" style="63" bestFit="1" customWidth="1"/>
    <col min="4058" max="4058" width="7.796875" style="63" bestFit="1" customWidth="1"/>
    <col min="4059" max="4059" width="7.09765625" style="63"/>
    <col min="4060" max="4060" width="8.59765625" style="63" bestFit="1" customWidth="1"/>
    <col min="4061" max="4299" width="7.09765625" style="63"/>
    <col min="4300" max="4300" width="4.796875" style="63" customWidth="1"/>
    <col min="4301" max="4301" width="3" style="63" customWidth="1"/>
    <col min="4302" max="4302" width="37.19921875" style="63" customWidth="1"/>
    <col min="4303" max="4305" width="5.796875" style="63" customWidth="1"/>
    <col min="4306" max="4307" width="7.3984375" style="63" customWidth="1"/>
    <col min="4308" max="4308" width="14.3984375" style="63" bestFit="1" customWidth="1"/>
    <col min="4309" max="4309" width="15.796875" style="63" bestFit="1" customWidth="1"/>
    <col min="4310" max="4310" width="10.296875" style="63" customWidth="1"/>
    <col min="4311" max="4311" width="7.09765625" style="63"/>
    <col min="4312" max="4312" width="12.3984375" style="63" bestFit="1" customWidth="1"/>
    <col min="4313" max="4313" width="12.69921875" style="63" bestFit="1" customWidth="1"/>
    <col min="4314" max="4314" width="7.796875" style="63" bestFit="1" customWidth="1"/>
    <col min="4315" max="4315" width="7.09765625" style="63"/>
    <col min="4316" max="4316" width="8.59765625" style="63" bestFit="1" customWidth="1"/>
    <col min="4317" max="4555" width="7.09765625" style="63"/>
    <col min="4556" max="4556" width="4.796875" style="63" customWidth="1"/>
    <col min="4557" max="4557" width="3" style="63" customWidth="1"/>
    <col min="4558" max="4558" width="37.19921875" style="63" customWidth="1"/>
    <col min="4559" max="4561" width="5.796875" style="63" customWidth="1"/>
    <col min="4562" max="4563" width="7.3984375" style="63" customWidth="1"/>
    <col min="4564" max="4564" width="14.3984375" style="63" bestFit="1" customWidth="1"/>
    <col min="4565" max="4565" width="15.796875" style="63" bestFit="1" customWidth="1"/>
    <col min="4566" max="4566" width="10.296875" style="63" customWidth="1"/>
    <col min="4567" max="4567" width="7.09765625" style="63"/>
    <col min="4568" max="4568" width="12.3984375" style="63" bestFit="1" customWidth="1"/>
    <col min="4569" max="4569" width="12.69921875" style="63" bestFit="1" customWidth="1"/>
    <col min="4570" max="4570" width="7.796875" style="63" bestFit="1" customWidth="1"/>
    <col min="4571" max="4571" width="7.09765625" style="63"/>
    <col min="4572" max="4572" width="8.59765625" style="63" bestFit="1" customWidth="1"/>
    <col min="4573" max="4811" width="7.09765625" style="63"/>
    <col min="4812" max="4812" width="4.796875" style="63" customWidth="1"/>
    <col min="4813" max="4813" width="3" style="63" customWidth="1"/>
    <col min="4814" max="4814" width="37.19921875" style="63" customWidth="1"/>
    <col min="4815" max="4817" width="5.796875" style="63" customWidth="1"/>
    <col min="4818" max="4819" width="7.3984375" style="63" customWidth="1"/>
    <col min="4820" max="4820" width="14.3984375" style="63" bestFit="1" customWidth="1"/>
    <col min="4821" max="4821" width="15.796875" style="63" bestFit="1" customWidth="1"/>
    <col min="4822" max="4822" width="10.296875" style="63" customWidth="1"/>
    <col min="4823" max="4823" width="7.09765625" style="63"/>
    <col min="4824" max="4824" width="12.3984375" style="63" bestFit="1" customWidth="1"/>
    <col min="4825" max="4825" width="12.69921875" style="63" bestFit="1" customWidth="1"/>
    <col min="4826" max="4826" width="7.796875" style="63" bestFit="1" customWidth="1"/>
    <col min="4827" max="4827" width="7.09765625" style="63"/>
    <col min="4828" max="4828" width="8.59765625" style="63" bestFit="1" customWidth="1"/>
    <col min="4829" max="5067" width="7.09765625" style="63"/>
    <col min="5068" max="5068" width="4.796875" style="63" customWidth="1"/>
    <col min="5069" max="5069" width="3" style="63" customWidth="1"/>
    <col min="5070" max="5070" width="37.19921875" style="63" customWidth="1"/>
    <col min="5071" max="5073" width="5.796875" style="63" customWidth="1"/>
    <col min="5074" max="5075" width="7.3984375" style="63" customWidth="1"/>
    <col min="5076" max="5076" width="14.3984375" style="63" bestFit="1" customWidth="1"/>
    <col min="5077" max="5077" width="15.796875" style="63" bestFit="1" customWidth="1"/>
    <col min="5078" max="5078" width="10.296875" style="63" customWidth="1"/>
    <col min="5079" max="5079" width="7.09765625" style="63"/>
    <col min="5080" max="5080" width="12.3984375" style="63" bestFit="1" customWidth="1"/>
    <col min="5081" max="5081" width="12.69921875" style="63" bestFit="1" customWidth="1"/>
    <col min="5082" max="5082" width="7.796875" style="63" bestFit="1" customWidth="1"/>
    <col min="5083" max="5083" width="7.09765625" style="63"/>
    <col min="5084" max="5084" width="8.59765625" style="63" bestFit="1" customWidth="1"/>
    <col min="5085" max="5323" width="7.09765625" style="63"/>
    <col min="5324" max="5324" width="4.796875" style="63" customWidth="1"/>
    <col min="5325" max="5325" width="3" style="63" customWidth="1"/>
    <col min="5326" max="5326" width="37.19921875" style="63" customWidth="1"/>
    <col min="5327" max="5329" width="5.796875" style="63" customWidth="1"/>
    <col min="5330" max="5331" width="7.3984375" style="63" customWidth="1"/>
    <col min="5332" max="5332" width="14.3984375" style="63" bestFit="1" customWidth="1"/>
    <col min="5333" max="5333" width="15.796875" style="63" bestFit="1" customWidth="1"/>
    <col min="5334" max="5334" width="10.296875" style="63" customWidth="1"/>
    <col min="5335" max="5335" width="7.09765625" style="63"/>
    <col min="5336" max="5336" width="12.3984375" style="63" bestFit="1" customWidth="1"/>
    <col min="5337" max="5337" width="12.69921875" style="63" bestFit="1" customWidth="1"/>
    <col min="5338" max="5338" width="7.796875" style="63" bestFit="1" customWidth="1"/>
    <col min="5339" max="5339" width="7.09765625" style="63"/>
    <col min="5340" max="5340" width="8.59765625" style="63" bestFit="1" customWidth="1"/>
    <col min="5341" max="5579" width="7.09765625" style="63"/>
    <col min="5580" max="5580" width="4.796875" style="63" customWidth="1"/>
    <col min="5581" max="5581" width="3" style="63" customWidth="1"/>
    <col min="5582" max="5582" width="37.19921875" style="63" customWidth="1"/>
    <col min="5583" max="5585" width="5.796875" style="63" customWidth="1"/>
    <col min="5586" max="5587" width="7.3984375" style="63" customWidth="1"/>
    <col min="5588" max="5588" width="14.3984375" style="63" bestFit="1" customWidth="1"/>
    <col min="5589" max="5589" width="15.796875" style="63" bestFit="1" customWidth="1"/>
    <col min="5590" max="5590" width="10.296875" style="63" customWidth="1"/>
    <col min="5591" max="5591" width="7.09765625" style="63"/>
    <col min="5592" max="5592" width="12.3984375" style="63" bestFit="1" customWidth="1"/>
    <col min="5593" max="5593" width="12.69921875" style="63" bestFit="1" customWidth="1"/>
    <col min="5594" max="5594" width="7.796875" style="63" bestFit="1" customWidth="1"/>
    <col min="5595" max="5595" width="7.09765625" style="63"/>
    <col min="5596" max="5596" width="8.59765625" style="63" bestFit="1" customWidth="1"/>
    <col min="5597" max="5835" width="7.09765625" style="63"/>
    <col min="5836" max="5836" width="4.796875" style="63" customWidth="1"/>
    <col min="5837" max="5837" width="3" style="63" customWidth="1"/>
    <col min="5838" max="5838" width="37.19921875" style="63" customWidth="1"/>
    <col min="5839" max="5841" width="5.796875" style="63" customWidth="1"/>
    <col min="5842" max="5843" width="7.3984375" style="63" customWidth="1"/>
    <col min="5844" max="5844" width="14.3984375" style="63" bestFit="1" customWidth="1"/>
    <col min="5845" max="5845" width="15.796875" style="63" bestFit="1" customWidth="1"/>
    <col min="5846" max="5846" width="10.296875" style="63" customWidth="1"/>
    <col min="5847" max="5847" width="7.09765625" style="63"/>
    <col min="5848" max="5848" width="12.3984375" style="63" bestFit="1" customWidth="1"/>
    <col min="5849" max="5849" width="12.69921875" style="63" bestFit="1" customWidth="1"/>
    <col min="5850" max="5850" width="7.796875" style="63" bestFit="1" customWidth="1"/>
    <col min="5851" max="5851" width="7.09765625" style="63"/>
    <col min="5852" max="5852" width="8.59765625" style="63" bestFit="1" customWidth="1"/>
    <col min="5853" max="6091" width="7.09765625" style="63"/>
    <col min="6092" max="6092" width="4.796875" style="63" customWidth="1"/>
    <col min="6093" max="6093" width="3" style="63" customWidth="1"/>
    <col min="6094" max="6094" width="37.19921875" style="63" customWidth="1"/>
    <col min="6095" max="6097" width="5.796875" style="63" customWidth="1"/>
    <col min="6098" max="6099" width="7.3984375" style="63" customWidth="1"/>
    <col min="6100" max="6100" width="14.3984375" style="63" bestFit="1" customWidth="1"/>
    <col min="6101" max="6101" width="15.796875" style="63" bestFit="1" customWidth="1"/>
    <col min="6102" max="6102" width="10.296875" style="63" customWidth="1"/>
    <col min="6103" max="6103" width="7.09765625" style="63"/>
    <col min="6104" max="6104" width="12.3984375" style="63" bestFit="1" customWidth="1"/>
    <col min="6105" max="6105" width="12.69921875" style="63" bestFit="1" customWidth="1"/>
    <col min="6106" max="6106" width="7.796875" style="63" bestFit="1" customWidth="1"/>
    <col min="6107" max="6107" width="7.09765625" style="63"/>
    <col min="6108" max="6108" width="8.59765625" style="63" bestFit="1" customWidth="1"/>
    <col min="6109" max="6347" width="7.09765625" style="63"/>
    <col min="6348" max="6348" width="4.796875" style="63" customWidth="1"/>
    <col min="6349" max="6349" width="3" style="63" customWidth="1"/>
    <col min="6350" max="6350" width="37.19921875" style="63" customWidth="1"/>
    <col min="6351" max="6353" width="5.796875" style="63" customWidth="1"/>
    <col min="6354" max="6355" width="7.3984375" style="63" customWidth="1"/>
    <col min="6356" max="6356" width="14.3984375" style="63" bestFit="1" customWidth="1"/>
    <col min="6357" max="6357" width="15.796875" style="63" bestFit="1" customWidth="1"/>
    <col min="6358" max="6358" width="10.296875" style="63" customWidth="1"/>
    <col min="6359" max="6359" width="7.09765625" style="63"/>
    <col min="6360" max="6360" width="12.3984375" style="63" bestFit="1" customWidth="1"/>
    <col min="6361" max="6361" width="12.69921875" style="63" bestFit="1" customWidth="1"/>
    <col min="6362" max="6362" width="7.796875" style="63" bestFit="1" customWidth="1"/>
    <col min="6363" max="6363" width="7.09765625" style="63"/>
    <col min="6364" max="6364" width="8.59765625" style="63" bestFit="1" customWidth="1"/>
    <col min="6365" max="6603" width="7.09765625" style="63"/>
    <col min="6604" max="6604" width="4.796875" style="63" customWidth="1"/>
    <col min="6605" max="6605" width="3" style="63" customWidth="1"/>
    <col min="6606" max="6606" width="37.19921875" style="63" customWidth="1"/>
    <col min="6607" max="6609" width="5.796875" style="63" customWidth="1"/>
    <col min="6610" max="6611" width="7.3984375" style="63" customWidth="1"/>
    <col min="6612" max="6612" width="14.3984375" style="63" bestFit="1" customWidth="1"/>
    <col min="6613" max="6613" width="15.796875" style="63" bestFit="1" customWidth="1"/>
    <col min="6614" max="6614" width="10.296875" style="63" customWidth="1"/>
    <col min="6615" max="6615" width="7.09765625" style="63"/>
    <col min="6616" max="6616" width="12.3984375" style="63" bestFit="1" customWidth="1"/>
    <col min="6617" max="6617" width="12.69921875" style="63" bestFit="1" customWidth="1"/>
    <col min="6618" max="6618" width="7.796875" style="63" bestFit="1" customWidth="1"/>
    <col min="6619" max="6619" width="7.09765625" style="63"/>
    <col min="6620" max="6620" width="8.59765625" style="63" bestFit="1" customWidth="1"/>
    <col min="6621" max="6859" width="7.09765625" style="63"/>
    <col min="6860" max="6860" width="4.796875" style="63" customWidth="1"/>
    <col min="6861" max="6861" width="3" style="63" customWidth="1"/>
    <col min="6862" max="6862" width="37.19921875" style="63" customWidth="1"/>
    <col min="6863" max="6865" width="5.796875" style="63" customWidth="1"/>
    <col min="6866" max="6867" width="7.3984375" style="63" customWidth="1"/>
    <col min="6868" max="6868" width="14.3984375" style="63" bestFit="1" customWidth="1"/>
    <col min="6869" max="6869" width="15.796875" style="63" bestFit="1" customWidth="1"/>
    <col min="6870" max="6870" width="10.296875" style="63" customWidth="1"/>
    <col min="6871" max="6871" width="7.09765625" style="63"/>
    <col min="6872" max="6872" width="12.3984375" style="63" bestFit="1" customWidth="1"/>
    <col min="6873" max="6873" width="12.69921875" style="63" bestFit="1" customWidth="1"/>
    <col min="6874" max="6874" width="7.796875" style="63" bestFit="1" customWidth="1"/>
    <col min="6875" max="6875" width="7.09765625" style="63"/>
    <col min="6876" max="6876" width="8.59765625" style="63" bestFit="1" customWidth="1"/>
    <col min="6877" max="7115" width="7.09765625" style="63"/>
    <col min="7116" max="7116" width="4.796875" style="63" customWidth="1"/>
    <col min="7117" max="7117" width="3" style="63" customWidth="1"/>
    <col min="7118" max="7118" width="37.19921875" style="63" customWidth="1"/>
    <col min="7119" max="7121" width="5.796875" style="63" customWidth="1"/>
    <col min="7122" max="7123" width="7.3984375" style="63" customWidth="1"/>
    <col min="7124" max="7124" width="14.3984375" style="63" bestFit="1" customWidth="1"/>
    <col min="7125" max="7125" width="15.796875" style="63" bestFit="1" customWidth="1"/>
    <col min="7126" max="7126" width="10.296875" style="63" customWidth="1"/>
    <col min="7127" max="7127" width="7.09765625" style="63"/>
    <col min="7128" max="7128" width="12.3984375" style="63" bestFit="1" customWidth="1"/>
    <col min="7129" max="7129" width="12.69921875" style="63" bestFit="1" customWidth="1"/>
    <col min="7130" max="7130" width="7.796875" style="63" bestFit="1" customWidth="1"/>
    <col min="7131" max="7131" width="7.09765625" style="63"/>
    <col min="7132" max="7132" width="8.59765625" style="63" bestFit="1" customWidth="1"/>
    <col min="7133" max="7371" width="7.09765625" style="63"/>
    <col min="7372" max="7372" width="4.796875" style="63" customWidth="1"/>
    <col min="7373" max="7373" width="3" style="63" customWidth="1"/>
    <col min="7374" max="7374" width="37.19921875" style="63" customWidth="1"/>
    <col min="7375" max="7377" width="5.796875" style="63" customWidth="1"/>
    <col min="7378" max="7379" width="7.3984375" style="63" customWidth="1"/>
    <col min="7380" max="7380" width="14.3984375" style="63" bestFit="1" customWidth="1"/>
    <col min="7381" max="7381" width="15.796875" style="63" bestFit="1" customWidth="1"/>
    <col min="7382" max="7382" width="10.296875" style="63" customWidth="1"/>
    <col min="7383" max="7383" width="7.09765625" style="63"/>
    <col min="7384" max="7384" width="12.3984375" style="63" bestFit="1" customWidth="1"/>
    <col min="7385" max="7385" width="12.69921875" style="63" bestFit="1" customWidth="1"/>
    <col min="7386" max="7386" width="7.796875" style="63" bestFit="1" customWidth="1"/>
    <col min="7387" max="7387" width="7.09765625" style="63"/>
    <col min="7388" max="7388" width="8.59765625" style="63" bestFit="1" customWidth="1"/>
    <col min="7389" max="7627" width="7.09765625" style="63"/>
    <col min="7628" max="7628" width="4.796875" style="63" customWidth="1"/>
    <col min="7629" max="7629" width="3" style="63" customWidth="1"/>
    <col min="7630" max="7630" width="37.19921875" style="63" customWidth="1"/>
    <col min="7631" max="7633" width="5.796875" style="63" customWidth="1"/>
    <col min="7634" max="7635" width="7.3984375" style="63" customWidth="1"/>
    <col min="7636" max="7636" width="14.3984375" style="63" bestFit="1" customWidth="1"/>
    <col min="7637" max="7637" width="15.796875" style="63" bestFit="1" customWidth="1"/>
    <col min="7638" max="7638" width="10.296875" style="63" customWidth="1"/>
    <col min="7639" max="7639" width="7.09765625" style="63"/>
    <col min="7640" max="7640" width="12.3984375" style="63" bestFit="1" customWidth="1"/>
    <col min="7641" max="7641" width="12.69921875" style="63" bestFit="1" customWidth="1"/>
    <col min="7642" max="7642" width="7.796875" style="63" bestFit="1" customWidth="1"/>
    <col min="7643" max="7643" width="7.09765625" style="63"/>
    <col min="7644" max="7644" width="8.59765625" style="63" bestFit="1" customWidth="1"/>
    <col min="7645" max="7883" width="7.09765625" style="63"/>
    <col min="7884" max="7884" width="4.796875" style="63" customWidth="1"/>
    <col min="7885" max="7885" width="3" style="63" customWidth="1"/>
    <col min="7886" max="7886" width="37.19921875" style="63" customWidth="1"/>
    <col min="7887" max="7889" width="5.796875" style="63" customWidth="1"/>
    <col min="7890" max="7891" width="7.3984375" style="63" customWidth="1"/>
    <col min="7892" max="7892" width="14.3984375" style="63" bestFit="1" customWidth="1"/>
    <col min="7893" max="7893" width="15.796875" style="63" bestFit="1" customWidth="1"/>
    <col min="7894" max="7894" width="10.296875" style="63" customWidth="1"/>
    <col min="7895" max="7895" width="7.09765625" style="63"/>
    <col min="7896" max="7896" width="12.3984375" style="63" bestFit="1" customWidth="1"/>
    <col min="7897" max="7897" width="12.69921875" style="63" bestFit="1" customWidth="1"/>
    <col min="7898" max="7898" width="7.796875" style="63" bestFit="1" customWidth="1"/>
    <col min="7899" max="7899" width="7.09765625" style="63"/>
    <col min="7900" max="7900" width="8.59765625" style="63" bestFit="1" customWidth="1"/>
    <col min="7901" max="8139" width="7.09765625" style="63"/>
    <col min="8140" max="8140" width="4.796875" style="63" customWidth="1"/>
    <col min="8141" max="8141" width="3" style="63" customWidth="1"/>
    <col min="8142" max="8142" width="37.19921875" style="63" customWidth="1"/>
    <col min="8143" max="8145" width="5.796875" style="63" customWidth="1"/>
    <col min="8146" max="8147" width="7.3984375" style="63" customWidth="1"/>
    <col min="8148" max="8148" width="14.3984375" style="63" bestFit="1" customWidth="1"/>
    <col min="8149" max="8149" width="15.796875" style="63" bestFit="1" customWidth="1"/>
    <col min="8150" max="8150" width="10.296875" style="63" customWidth="1"/>
    <col min="8151" max="8151" width="7.09765625" style="63"/>
    <col min="8152" max="8152" width="12.3984375" style="63" bestFit="1" customWidth="1"/>
    <col min="8153" max="8153" width="12.69921875" style="63" bestFit="1" customWidth="1"/>
    <col min="8154" max="8154" width="7.796875" style="63" bestFit="1" customWidth="1"/>
    <col min="8155" max="8155" width="7.09765625" style="63"/>
    <col min="8156" max="8156" width="8.59765625" style="63" bestFit="1" customWidth="1"/>
    <col min="8157" max="8395" width="7.09765625" style="63"/>
    <col min="8396" max="8396" width="4.796875" style="63" customWidth="1"/>
    <col min="8397" max="8397" width="3" style="63" customWidth="1"/>
    <col min="8398" max="8398" width="37.19921875" style="63" customWidth="1"/>
    <col min="8399" max="8401" width="5.796875" style="63" customWidth="1"/>
    <col min="8402" max="8403" width="7.3984375" style="63" customWidth="1"/>
    <col min="8404" max="8404" width="14.3984375" style="63" bestFit="1" customWidth="1"/>
    <col min="8405" max="8405" width="15.796875" style="63" bestFit="1" customWidth="1"/>
    <col min="8406" max="8406" width="10.296875" style="63" customWidth="1"/>
    <col min="8407" max="8407" width="7.09765625" style="63"/>
    <col min="8408" max="8408" width="12.3984375" style="63" bestFit="1" customWidth="1"/>
    <col min="8409" max="8409" width="12.69921875" style="63" bestFit="1" customWidth="1"/>
    <col min="8410" max="8410" width="7.796875" style="63" bestFit="1" customWidth="1"/>
    <col min="8411" max="8411" width="7.09765625" style="63"/>
    <col min="8412" max="8412" width="8.59765625" style="63" bestFit="1" customWidth="1"/>
    <col min="8413" max="8651" width="7.09765625" style="63"/>
    <col min="8652" max="8652" width="4.796875" style="63" customWidth="1"/>
    <col min="8653" max="8653" width="3" style="63" customWidth="1"/>
    <col min="8654" max="8654" width="37.19921875" style="63" customWidth="1"/>
    <col min="8655" max="8657" width="5.796875" style="63" customWidth="1"/>
    <col min="8658" max="8659" width="7.3984375" style="63" customWidth="1"/>
    <col min="8660" max="8660" width="14.3984375" style="63" bestFit="1" customWidth="1"/>
    <col min="8661" max="8661" width="15.796875" style="63" bestFit="1" customWidth="1"/>
    <col min="8662" max="8662" width="10.296875" style="63" customWidth="1"/>
    <col min="8663" max="8663" width="7.09765625" style="63"/>
    <col min="8664" max="8664" width="12.3984375" style="63" bestFit="1" customWidth="1"/>
    <col min="8665" max="8665" width="12.69921875" style="63" bestFit="1" customWidth="1"/>
    <col min="8666" max="8666" width="7.796875" style="63" bestFit="1" customWidth="1"/>
    <col min="8667" max="8667" width="7.09765625" style="63"/>
    <col min="8668" max="8668" width="8.59765625" style="63" bestFit="1" customWidth="1"/>
    <col min="8669" max="8907" width="7.09765625" style="63"/>
    <col min="8908" max="8908" width="4.796875" style="63" customWidth="1"/>
    <col min="8909" max="8909" width="3" style="63" customWidth="1"/>
    <col min="8910" max="8910" width="37.19921875" style="63" customWidth="1"/>
    <col min="8911" max="8913" width="5.796875" style="63" customWidth="1"/>
    <col min="8914" max="8915" width="7.3984375" style="63" customWidth="1"/>
    <col min="8916" max="8916" width="14.3984375" style="63" bestFit="1" customWidth="1"/>
    <col min="8917" max="8917" width="15.796875" style="63" bestFit="1" customWidth="1"/>
    <col min="8918" max="8918" width="10.296875" style="63" customWidth="1"/>
    <col min="8919" max="8919" width="7.09765625" style="63"/>
    <col min="8920" max="8920" width="12.3984375" style="63" bestFit="1" customWidth="1"/>
    <col min="8921" max="8921" width="12.69921875" style="63" bestFit="1" customWidth="1"/>
    <col min="8922" max="8922" width="7.796875" style="63" bestFit="1" customWidth="1"/>
    <col min="8923" max="8923" width="7.09765625" style="63"/>
    <col min="8924" max="8924" width="8.59765625" style="63" bestFit="1" customWidth="1"/>
    <col min="8925" max="9163" width="7.09765625" style="63"/>
    <col min="9164" max="9164" width="4.796875" style="63" customWidth="1"/>
    <col min="9165" max="9165" width="3" style="63" customWidth="1"/>
    <col min="9166" max="9166" width="37.19921875" style="63" customWidth="1"/>
    <col min="9167" max="9169" width="5.796875" style="63" customWidth="1"/>
    <col min="9170" max="9171" width="7.3984375" style="63" customWidth="1"/>
    <col min="9172" max="9172" width="14.3984375" style="63" bestFit="1" customWidth="1"/>
    <col min="9173" max="9173" width="15.796875" style="63" bestFit="1" customWidth="1"/>
    <col min="9174" max="9174" width="10.296875" style="63" customWidth="1"/>
    <col min="9175" max="9175" width="7.09765625" style="63"/>
    <col min="9176" max="9176" width="12.3984375" style="63" bestFit="1" customWidth="1"/>
    <col min="9177" max="9177" width="12.69921875" style="63" bestFit="1" customWidth="1"/>
    <col min="9178" max="9178" width="7.796875" style="63" bestFit="1" customWidth="1"/>
    <col min="9179" max="9179" width="7.09765625" style="63"/>
    <col min="9180" max="9180" width="8.59765625" style="63" bestFit="1" customWidth="1"/>
    <col min="9181" max="9419" width="7.09765625" style="63"/>
    <col min="9420" max="9420" width="4.796875" style="63" customWidth="1"/>
    <col min="9421" max="9421" width="3" style="63" customWidth="1"/>
    <col min="9422" max="9422" width="37.19921875" style="63" customWidth="1"/>
    <col min="9423" max="9425" width="5.796875" style="63" customWidth="1"/>
    <col min="9426" max="9427" width="7.3984375" style="63" customWidth="1"/>
    <col min="9428" max="9428" width="14.3984375" style="63" bestFit="1" customWidth="1"/>
    <col min="9429" max="9429" width="15.796875" style="63" bestFit="1" customWidth="1"/>
    <col min="9430" max="9430" width="10.296875" style="63" customWidth="1"/>
    <col min="9431" max="9431" width="7.09765625" style="63"/>
    <col min="9432" max="9432" width="12.3984375" style="63" bestFit="1" customWidth="1"/>
    <col min="9433" max="9433" width="12.69921875" style="63" bestFit="1" customWidth="1"/>
    <col min="9434" max="9434" width="7.796875" style="63" bestFit="1" customWidth="1"/>
    <col min="9435" max="9435" width="7.09765625" style="63"/>
    <col min="9436" max="9436" width="8.59765625" style="63" bestFit="1" customWidth="1"/>
    <col min="9437" max="9675" width="7.09765625" style="63"/>
    <col min="9676" max="9676" width="4.796875" style="63" customWidth="1"/>
    <col min="9677" max="9677" width="3" style="63" customWidth="1"/>
    <col min="9678" max="9678" width="37.19921875" style="63" customWidth="1"/>
    <col min="9679" max="9681" width="5.796875" style="63" customWidth="1"/>
    <col min="9682" max="9683" width="7.3984375" style="63" customWidth="1"/>
    <col min="9684" max="9684" width="14.3984375" style="63" bestFit="1" customWidth="1"/>
    <col min="9685" max="9685" width="15.796875" style="63" bestFit="1" customWidth="1"/>
    <col min="9686" max="9686" width="10.296875" style="63" customWidth="1"/>
    <col min="9687" max="9687" width="7.09765625" style="63"/>
    <col min="9688" max="9688" width="12.3984375" style="63" bestFit="1" customWidth="1"/>
    <col min="9689" max="9689" width="12.69921875" style="63" bestFit="1" customWidth="1"/>
    <col min="9690" max="9690" width="7.796875" style="63" bestFit="1" customWidth="1"/>
    <col min="9691" max="9691" width="7.09765625" style="63"/>
    <col min="9692" max="9692" width="8.59765625" style="63" bestFit="1" customWidth="1"/>
    <col min="9693" max="9931" width="7.09765625" style="63"/>
    <col min="9932" max="9932" width="4.796875" style="63" customWidth="1"/>
    <col min="9933" max="9933" width="3" style="63" customWidth="1"/>
    <col min="9934" max="9934" width="37.19921875" style="63" customWidth="1"/>
    <col min="9935" max="9937" width="5.796875" style="63" customWidth="1"/>
    <col min="9938" max="9939" width="7.3984375" style="63" customWidth="1"/>
    <col min="9940" max="9940" width="14.3984375" style="63" bestFit="1" customWidth="1"/>
    <col min="9941" max="9941" width="15.796875" style="63" bestFit="1" customWidth="1"/>
    <col min="9942" max="9942" width="10.296875" style="63" customWidth="1"/>
    <col min="9943" max="9943" width="7.09765625" style="63"/>
    <col min="9944" max="9944" width="12.3984375" style="63" bestFit="1" customWidth="1"/>
    <col min="9945" max="9945" width="12.69921875" style="63" bestFit="1" customWidth="1"/>
    <col min="9946" max="9946" width="7.796875" style="63" bestFit="1" customWidth="1"/>
    <col min="9947" max="9947" width="7.09765625" style="63"/>
    <col min="9948" max="9948" width="8.59765625" style="63" bestFit="1" customWidth="1"/>
    <col min="9949" max="10187" width="7.09765625" style="63"/>
    <col min="10188" max="10188" width="4.796875" style="63" customWidth="1"/>
    <col min="10189" max="10189" width="3" style="63" customWidth="1"/>
    <col min="10190" max="10190" width="37.19921875" style="63" customWidth="1"/>
    <col min="10191" max="10193" width="5.796875" style="63" customWidth="1"/>
    <col min="10194" max="10195" width="7.3984375" style="63" customWidth="1"/>
    <col min="10196" max="10196" width="14.3984375" style="63" bestFit="1" customWidth="1"/>
    <col min="10197" max="10197" width="15.796875" style="63" bestFit="1" customWidth="1"/>
    <col min="10198" max="10198" width="10.296875" style="63" customWidth="1"/>
    <col min="10199" max="10199" width="7.09765625" style="63"/>
    <col min="10200" max="10200" width="12.3984375" style="63" bestFit="1" customWidth="1"/>
    <col min="10201" max="10201" width="12.69921875" style="63" bestFit="1" customWidth="1"/>
    <col min="10202" max="10202" width="7.796875" style="63" bestFit="1" customWidth="1"/>
    <col min="10203" max="10203" width="7.09765625" style="63"/>
    <col min="10204" max="10204" width="8.59765625" style="63" bestFit="1" customWidth="1"/>
    <col min="10205" max="10443" width="7.09765625" style="63"/>
    <col min="10444" max="10444" width="4.796875" style="63" customWidth="1"/>
    <col min="10445" max="10445" width="3" style="63" customWidth="1"/>
    <col min="10446" max="10446" width="37.19921875" style="63" customWidth="1"/>
    <col min="10447" max="10449" width="5.796875" style="63" customWidth="1"/>
    <col min="10450" max="10451" width="7.3984375" style="63" customWidth="1"/>
    <col min="10452" max="10452" width="14.3984375" style="63" bestFit="1" customWidth="1"/>
    <col min="10453" max="10453" width="15.796875" style="63" bestFit="1" customWidth="1"/>
    <col min="10454" max="10454" width="10.296875" style="63" customWidth="1"/>
    <col min="10455" max="10455" width="7.09765625" style="63"/>
    <col min="10456" max="10456" width="12.3984375" style="63" bestFit="1" customWidth="1"/>
    <col min="10457" max="10457" width="12.69921875" style="63" bestFit="1" customWidth="1"/>
    <col min="10458" max="10458" width="7.796875" style="63" bestFit="1" customWidth="1"/>
    <col min="10459" max="10459" width="7.09765625" style="63"/>
    <col min="10460" max="10460" width="8.59765625" style="63" bestFit="1" customWidth="1"/>
    <col min="10461" max="10699" width="7.09765625" style="63"/>
    <col min="10700" max="10700" width="4.796875" style="63" customWidth="1"/>
    <col min="10701" max="10701" width="3" style="63" customWidth="1"/>
    <col min="10702" max="10702" width="37.19921875" style="63" customWidth="1"/>
    <col min="10703" max="10705" width="5.796875" style="63" customWidth="1"/>
    <col min="10706" max="10707" width="7.3984375" style="63" customWidth="1"/>
    <col min="10708" max="10708" width="14.3984375" style="63" bestFit="1" customWidth="1"/>
    <col min="10709" max="10709" width="15.796875" style="63" bestFit="1" customWidth="1"/>
    <col min="10710" max="10710" width="10.296875" style="63" customWidth="1"/>
    <col min="10711" max="10711" width="7.09765625" style="63"/>
    <col min="10712" max="10712" width="12.3984375" style="63" bestFit="1" customWidth="1"/>
    <col min="10713" max="10713" width="12.69921875" style="63" bestFit="1" customWidth="1"/>
    <col min="10714" max="10714" width="7.796875" style="63" bestFit="1" customWidth="1"/>
    <col min="10715" max="10715" width="7.09765625" style="63"/>
    <col min="10716" max="10716" width="8.59765625" style="63" bestFit="1" customWidth="1"/>
    <col min="10717" max="10955" width="7.09765625" style="63"/>
    <col min="10956" max="10956" width="4.796875" style="63" customWidth="1"/>
    <col min="10957" max="10957" width="3" style="63" customWidth="1"/>
    <col min="10958" max="10958" width="37.19921875" style="63" customWidth="1"/>
    <col min="10959" max="10961" width="5.796875" style="63" customWidth="1"/>
    <col min="10962" max="10963" width="7.3984375" style="63" customWidth="1"/>
    <col min="10964" max="10964" width="14.3984375" style="63" bestFit="1" customWidth="1"/>
    <col min="10965" max="10965" width="15.796875" style="63" bestFit="1" customWidth="1"/>
    <col min="10966" max="10966" width="10.296875" style="63" customWidth="1"/>
    <col min="10967" max="10967" width="7.09765625" style="63"/>
    <col min="10968" max="10968" width="12.3984375" style="63" bestFit="1" customWidth="1"/>
    <col min="10969" max="10969" width="12.69921875" style="63" bestFit="1" customWidth="1"/>
    <col min="10970" max="10970" width="7.796875" style="63" bestFit="1" customWidth="1"/>
    <col min="10971" max="10971" width="7.09765625" style="63"/>
    <col min="10972" max="10972" width="8.59765625" style="63" bestFit="1" customWidth="1"/>
    <col min="10973" max="11211" width="7.09765625" style="63"/>
    <col min="11212" max="11212" width="4.796875" style="63" customWidth="1"/>
    <col min="11213" max="11213" width="3" style="63" customWidth="1"/>
    <col min="11214" max="11214" width="37.19921875" style="63" customWidth="1"/>
    <col min="11215" max="11217" width="5.796875" style="63" customWidth="1"/>
    <col min="11218" max="11219" width="7.3984375" style="63" customWidth="1"/>
    <col min="11220" max="11220" width="14.3984375" style="63" bestFit="1" customWidth="1"/>
    <col min="11221" max="11221" width="15.796875" style="63" bestFit="1" customWidth="1"/>
    <col min="11222" max="11222" width="10.296875" style="63" customWidth="1"/>
    <col min="11223" max="11223" width="7.09765625" style="63"/>
    <col min="11224" max="11224" width="12.3984375" style="63" bestFit="1" customWidth="1"/>
    <col min="11225" max="11225" width="12.69921875" style="63" bestFit="1" customWidth="1"/>
    <col min="11226" max="11226" width="7.796875" style="63" bestFit="1" customWidth="1"/>
    <col min="11227" max="11227" width="7.09765625" style="63"/>
    <col min="11228" max="11228" width="8.59765625" style="63" bestFit="1" customWidth="1"/>
    <col min="11229" max="11467" width="7.09765625" style="63"/>
    <col min="11468" max="11468" width="4.796875" style="63" customWidth="1"/>
    <col min="11469" max="11469" width="3" style="63" customWidth="1"/>
    <col min="11470" max="11470" width="37.19921875" style="63" customWidth="1"/>
    <col min="11471" max="11473" width="5.796875" style="63" customWidth="1"/>
    <col min="11474" max="11475" width="7.3984375" style="63" customWidth="1"/>
    <col min="11476" max="11476" width="14.3984375" style="63" bestFit="1" customWidth="1"/>
    <col min="11477" max="11477" width="15.796875" style="63" bestFit="1" customWidth="1"/>
    <col min="11478" max="11478" width="10.296875" style="63" customWidth="1"/>
    <col min="11479" max="11479" width="7.09765625" style="63"/>
    <col min="11480" max="11480" width="12.3984375" style="63" bestFit="1" customWidth="1"/>
    <col min="11481" max="11481" width="12.69921875" style="63" bestFit="1" customWidth="1"/>
    <col min="11482" max="11482" width="7.796875" style="63" bestFit="1" customWidth="1"/>
    <col min="11483" max="11483" width="7.09765625" style="63"/>
    <col min="11484" max="11484" width="8.59765625" style="63" bestFit="1" customWidth="1"/>
    <col min="11485" max="11723" width="7.09765625" style="63"/>
    <col min="11724" max="11724" width="4.796875" style="63" customWidth="1"/>
    <col min="11725" max="11725" width="3" style="63" customWidth="1"/>
    <col min="11726" max="11726" width="37.19921875" style="63" customWidth="1"/>
    <col min="11727" max="11729" width="5.796875" style="63" customWidth="1"/>
    <col min="11730" max="11731" width="7.3984375" style="63" customWidth="1"/>
    <col min="11732" max="11732" width="14.3984375" style="63" bestFit="1" customWidth="1"/>
    <col min="11733" max="11733" width="15.796875" style="63" bestFit="1" customWidth="1"/>
    <col min="11734" max="11734" width="10.296875" style="63" customWidth="1"/>
    <col min="11735" max="11735" width="7.09765625" style="63"/>
    <col min="11736" max="11736" width="12.3984375" style="63" bestFit="1" customWidth="1"/>
    <col min="11737" max="11737" width="12.69921875" style="63" bestFit="1" customWidth="1"/>
    <col min="11738" max="11738" width="7.796875" style="63" bestFit="1" customWidth="1"/>
    <col min="11739" max="11739" width="7.09765625" style="63"/>
    <col min="11740" max="11740" width="8.59765625" style="63" bestFit="1" customWidth="1"/>
    <col min="11741" max="11979" width="7.09765625" style="63"/>
    <col min="11980" max="11980" width="4.796875" style="63" customWidth="1"/>
    <col min="11981" max="11981" width="3" style="63" customWidth="1"/>
    <col min="11982" max="11982" width="37.19921875" style="63" customWidth="1"/>
    <col min="11983" max="11985" width="5.796875" style="63" customWidth="1"/>
    <col min="11986" max="11987" width="7.3984375" style="63" customWidth="1"/>
    <col min="11988" max="11988" width="14.3984375" style="63" bestFit="1" customWidth="1"/>
    <col min="11989" max="11989" width="15.796875" style="63" bestFit="1" customWidth="1"/>
    <col min="11990" max="11990" width="10.296875" style="63" customWidth="1"/>
    <col min="11991" max="11991" width="7.09765625" style="63"/>
    <col min="11992" max="11992" width="12.3984375" style="63" bestFit="1" customWidth="1"/>
    <col min="11993" max="11993" width="12.69921875" style="63" bestFit="1" customWidth="1"/>
    <col min="11994" max="11994" width="7.796875" style="63" bestFit="1" customWidth="1"/>
    <col min="11995" max="11995" width="7.09765625" style="63"/>
    <col min="11996" max="11996" width="8.59765625" style="63" bestFit="1" customWidth="1"/>
    <col min="11997" max="12235" width="7.09765625" style="63"/>
    <col min="12236" max="12236" width="4.796875" style="63" customWidth="1"/>
    <col min="12237" max="12237" width="3" style="63" customWidth="1"/>
    <col min="12238" max="12238" width="37.19921875" style="63" customWidth="1"/>
    <col min="12239" max="12241" width="5.796875" style="63" customWidth="1"/>
    <col min="12242" max="12243" width="7.3984375" style="63" customWidth="1"/>
    <col min="12244" max="12244" width="14.3984375" style="63" bestFit="1" customWidth="1"/>
    <col min="12245" max="12245" width="15.796875" style="63" bestFit="1" customWidth="1"/>
    <col min="12246" max="12246" width="10.296875" style="63" customWidth="1"/>
    <col min="12247" max="12247" width="7.09765625" style="63"/>
    <col min="12248" max="12248" width="12.3984375" style="63" bestFit="1" customWidth="1"/>
    <col min="12249" max="12249" width="12.69921875" style="63" bestFit="1" customWidth="1"/>
    <col min="12250" max="12250" width="7.796875" style="63" bestFit="1" customWidth="1"/>
    <col min="12251" max="12251" width="7.09765625" style="63"/>
    <col min="12252" max="12252" width="8.59765625" style="63" bestFit="1" customWidth="1"/>
    <col min="12253" max="12491" width="7.09765625" style="63"/>
    <col min="12492" max="12492" width="4.796875" style="63" customWidth="1"/>
    <col min="12493" max="12493" width="3" style="63" customWidth="1"/>
    <col min="12494" max="12494" width="37.19921875" style="63" customWidth="1"/>
    <col min="12495" max="12497" width="5.796875" style="63" customWidth="1"/>
    <col min="12498" max="12499" width="7.3984375" style="63" customWidth="1"/>
    <col min="12500" max="12500" width="14.3984375" style="63" bestFit="1" customWidth="1"/>
    <col min="12501" max="12501" width="15.796875" style="63" bestFit="1" customWidth="1"/>
    <col min="12502" max="12502" width="10.296875" style="63" customWidth="1"/>
    <col min="12503" max="12503" width="7.09765625" style="63"/>
    <col min="12504" max="12504" width="12.3984375" style="63" bestFit="1" customWidth="1"/>
    <col min="12505" max="12505" width="12.69921875" style="63" bestFit="1" customWidth="1"/>
    <col min="12506" max="12506" width="7.796875" style="63" bestFit="1" customWidth="1"/>
    <col min="12507" max="12507" width="7.09765625" style="63"/>
    <col min="12508" max="12508" width="8.59765625" style="63" bestFit="1" customWidth="1"/>
    <col min="12509" max="12747" width="7.09765625" style="63"/>
    <col min="12748" max="12748" width="4.796875" style="63" customWidth="1"/>
    <col min="12749" max="12749" width="3" style="63" customWidth="1"/>
    <col min="12750" max="12750" width="37.19921875" style="63" customWidth="1"/>
    <col min="12751" max="12753" width="5.796875" style="63" customWidth="1"/>
    <col min="12754" max="12755" width="7.3984375" style="63" customWidth="1"/>
    <col min="12756" max="12756" width="14.3984375" style="63" bestFit="1" customWidth="1"/>
    <col min="12757" max="12757" width="15.796875" style="63" bestFit="1" customWidth="1"/>
    <col min="12758" max="12758" width="10.296875" style="63" customWidth="1"/>
    <col min="12759" max="12759" width="7.09765625" style="63"/>
    <col min="12760" max="12760" width="12.3984375" style="63" bestFit="1" customWidth="1"/>
    <col min="12761" max="12761" width="12.69921875" style="63" bestFit="1" customWidth="1"/>
    <col min="12762" max="12762" width="7.796875" style="63" bestFit="1" customWidth="1"/>
    <col min="12763" max="12763" width="7.09765625" style="63"/>
    <col min="12764" max="12764" width="8.59765625" style="63" bestFit="1" customWidth="1"/>
    <col min="12765" max="13003" width="7.09765625" style="63"/>
    <col min="13004" max="13004" width="4.796875" style="63" customWidth="1"/>
    <col min="13005" max="13005" width="3" style="63" customWidth="1"/>
    <col min="13006" max="13006" width="37.19921875" style="63" customWidth="1"/>
    <col min="13007" max="13009" width="5.796875" style="63" customWidth="1"/>
    <col min="13010" max="13011" width="7.3984375" style="63" customWidth="1"/>
    <col min="13012" max="13012" width="14.3984375" style="63" bestFit="1" customWidth="1"/>
    <col min="13013" max="13013" width="15.796875" style="63" bestFit="1" customWidth="1"/>
    <col min="13014" max="13014" width="10.296875" style="63" customWidth="1"/>
    <col min="13015" max="13015" width="7.09765625" style="63"/>
    <col min="13016" max="13016" width="12.3984375" style="63" bestFit="1" customWidth="1"/>
    <col min="13017" max="13017" width="12.69921875" style="63" bestFit="1" customWidth="1"/>
    <col min="13018" max="13018" width="7.796875" style="63" bestFit="1" customWidth="1"/>
    <col min="13019" max="13019" width="7.09765625" style="63"/>
    <col min="13020" max="13020" width="8.59765625" style="63" bestFit="1" customWidth="1"/>
    <col min="13021" max="13259" width="7.09765625" style="63"/>
    <col min="13260" max="13260" width="4.796875" style="63" customWidth="1"/>
    <col min="13261" max="13261" width="3" style="63" customWidth="1"/>
    <col min="13262" max="13262" width="37.19921875" style="63" customWidth="1"/>
    <col min="13263" max="13265" width="5.796875" style="63" customWidth="1"/>
    <col min="13266" max="13267" width="7.3984375" style="63" customWidth="1"/>
    <col min="13268" max="13268" width="14.3984375" style="63" bestFit="1" customWidth="1"/>
    <col min="13269" max="13269" width="15.796875" style="63" bestFit="1" customWidth="1"/>
    <col min="13270" max="13270" width="10.296875" style="63" customWidth="1"/>
    <col min="13271" max="13271" width="7.09765625" style="63"/>
    <col min="13272" max="13272" width="12.3984375" style="63" bestFit="1" customWidth="1"/>
    <col min="13273" max="13273" width="12.69921875" style="63" bestFit="1" customWidth="1"/>
    <col min="13274" max="13274" width="7.796875" style="63" bestFit="1" customWidth="1"/>
    <col min="13275" max="13275" width="7.09765625" style="63"/>
    <col min="13276" max="13276" width="8.59765625" style="63" bestFit="1" customWidth="1"/>
    <col min="13277" max="13515" width="7.09765625" style="63"/>
    <col min="13516" max="13516" width="4.796875" style="63" customWidth="1"/>
    <col min="13517" max="13517" width="3" style="63" customWidth="1"/>
    <col min="13518" max="13518" width="37.19921875" style="63" customWidth="1"/>
    <col min="13519" max="13521" width="5.796875" style="63" customWidth="1"/>
    <col min="13522" max="13523" width="7.3984375" style="63" customWidth="1"/>
    <col min="13524" max="13524" width="14.3984375" style="63" bestFit="1" customWidth="1"/>
    <col min="13525" max="13525" width="15.796875" style="63" bestFit="1" customWidth="1"/>
    <col min="13526" max="13526" width="10.296875" style="63" customWidth="1"/>
    <col min="13527" max="13527" width="7.09765625" style="63"/>
    <col min="13528" max="13528" width="12.3984375" style="63" bestFit="1" customWidth="1"/>
    <col min="13529" max="13529" width="12.69921875" style="63" bestFit="1" customWidth="1"/>
    <col min="13530" max="13530" width="7.796875" style="63" bestFit="1" customWidth="1"/>
    <col min="13531" max="13531" width="7.09765625" style="63"/>
    <col min="13532" max="13532" width="8.59765625" style="63" bestFit="1" customWidth="1"/>
    <col min="13533" max="13771" width="7.09765625" style="63"/>
    <col min="13772" max="13772" width="4.796875" style="63" customWidth="1"/>
    <col min="13773" max="13773" width="3" style="63" customWidth="1"/>
    <col min="13774" max="13774" width="37.19921875" style="63" customWidth="1"/>
    <col min="13775" max="13777" width="5.796875" style="63" customWidth="1"/>
    <col min="13778" max="13779" width="7.3984375" style="63" customWidth="1"/>
    <col min="13780" max="13780" width="14.3984375" style="63" bestFit="1" customWidth="1"/>
    <col min="13781" max="13781" width="15.796875" style="63" bestFit="1" customWidth="1"/>
    <col min="13782" max="13782" width="10.296875" style="63" customWidth="1"/>
    <col min="13783" max="13783" width="7.09765625" style="63"/>
    <col min="13784" max="13784" width="12.3984375" style="63" bestFit="1" customWidth="1"/>
    <col min="13785" max="13785" width="12.69921875" style="63" bestFit="1" customWidth="1"/>
    <col min="13786" max="13786" width="7.796875" style="63" bestFit="1" customWidth="1"/>
    <col min="13787" max="13787" width="7.09765625" style="63"/>
    <col min="13788" max="13788" width="8.59765625" style="63" bestFit="1" customWidth="1"/>
    <col min="13789" max="14027" width="7.09765625" style="63"/>
    <col min="14028" max="14028" width="4.796875" style="63" customWidth="1"/>
    <col min="14029" max="14029" width="3" style="63" customWidth="1"/>
    <col min="14030" max="14030" width="37.19921875" style="63" customWidth="1"/>
    <col min="14031" max="14033" width="5.796875" style="63" customWidth="1"/>
    <col min="14034" max="14035" width="7.3984375" style="63" customWidth="1"/>
    <col min="14036" max="14036" width="14.3984375" style="63" bestFit="1" customWidth="1"/>
    <col min="14037" max="14037" width="15.796875" style="63" bestFit="1" customWidth="1"/>
    <col min="14038" max="14038" width="10.296875" style="63" customWidth="1"/>
    <col min="14039" max="14039" width="7.09765625" style="63"/>
    <col min="14040" max="14040" width="12.3984375" style="63" bestFit="1" customWidth="1"/>
    <col min="14041" max="14041" width="12.69921875" style="63" bestFit="1" customWidth="1"/>
    <col min="14042" max="14042" width="7.796875" style="63" bestFit="1" customWidth="1"/>
    <col min="14043" max="14043" width="7.09765625" style="63"/>
    <col min="14044" max="14044" width="8.59765625" style="63" bestFit="1" customWidth="1"/>
    <col min="14045" max="14283" width="7.09765625" style="63"/>
    <col min="14284" max="14284" width="4.796875" style="63" customWidth="1"/>
    <col min="14285" max="14285" width="3" style="63" customWidth="1"/>
    <col min="14286" max="14286" width="37.19921875" style="63" customWidth="1"/>
    <col min="14287" max="14289" width="5.796875" style="63" customWidth="1"/>
    <col min="14290" max="14291" width="7.3984375" style="63" customWidth="1"/>
    <col min="14292" max="14292" width="14.3984375" style="63" bestFit="1" customWidth="1"/>
    <col min="14293" max="14293" width="15.796875" style="63" bestFit="1" customWidth="1"/>
    <col min="14294" max="14294" width="10.296875" style="63" customWidth="1"/>
    <col min="14295" max="14295" width="7.09765625" style="63"/>
    <col min="14296" max="14296" width="12.3984375" style="63" bestFit="1" customWidth="1"/>
    <col min="14297" max="14297" width="12.69921875" style="63" bestFit="1" customWidth="1"/>
    <col min="14298" max="14298" width="7.796875" style="63" bestFit="1" customWidth="1"/>
    <col min="14299" max="14299" width="7.09765625" style="63"/>
    <col min="14300" max="14300" width="8.59765625" style="63" bestFit="1" customWidth="1"/>
    <col min="14301" max="14539" width="7.09765625" style="63"/>
    <col min="14540" max="14540" width="4.796875" style="63" customWidth="1"/>
    <col min="14541" max="14541" width="3" style="63" customWidth="1"/>
    <col min="14542" max="14542" width="37.19921875" style="63" customWidth="1"/>
    <col min="14543" max="14545" width="5.796875" style="63" customWidth="1"/>
    <col min="14546" max="14547" width="7.3984375" style="63" customWidth="1"/>
    <col min="14548" max="14548" width="14.3984375" style="63" bestFit="1" customWidth="1"/>
    <col min="14549" max="14549" width="15.796875" style="63" bestFit="1" customWidth="1"/>
    <col min="14550" max="14550" width="10.296875" style="63" customWidth="1"/>
    <col min="14551" max="14551" width="7.09765625" style="63"/>
    <col min="14552" max="14552" width="12.3984375" style="63" bestFit="1" customWidth="1"/>
    <col min="14553" max="14553" width="12.69921875" style="63" bestFit="1" customWidth="1"/>
    <col min="14554" max="14554" width="7.796875" style="63" bestFit="1" customWidth="1"/>
    <col min="14555" max="14555" width="7.09765625" style="63"/>
    <col min="14556" max="14556" width="8.59765625" style="63" bestFit="1" customWidth="1"/>
    <col min="14557" max="14795" width="7.09765625" style="63"/>
    <col min="14796" max="14796" width="4.796875" style="63" customWidth="1"/>
    <col min="14797" max="14797" width="3" style="63" customWidth="1"/>
    <col min="14798" max="14798" width="37.19921875" style="63" customWidth="1"/>
    <col min="14799" max="14801" width="5.796875" style="63" customWidth="1"/>
    <col min="14802" max="14803" width="7.3984375" style="63" customWidth="1"/>
    <col min="14804" max="14804" width="14.3984375" style="63" bestFit="1" customWidth="1"/>
    <col min="14805" max="14805" width="15.796875" style="63" bestFit="1" customWidth="1"/>
    <col min="14806" max="14806" width="10.296875" style="63" customWidth="1"/>
    <col min="14807" max="14807" width="7.09765625" style="63"/>
    <col min="14808" max="14808" width="12.3984375" style="63" bestFit="1" customWidth="1"/>
    <col min="14809" max="14809" width="12.69921875" style="63" bestFit="1" customWidth="1"/>
    <col min="14810" max="14810" width="7.796875" style="63" bestFit="1" customWidth="1"/>
    <col min="14811" max="14811" width="7.09765625" style="63"/>
    <col min="14812" max="14812" width="8.59765625" style="63" bestFit="1" customWidth="1"/>
    <col min="14813" max="15051" width="7.09765625" style="63"/>
    <col min="15052" max="15052" width="4.796875" style="63" customWidth="1"/>
    <col min="15053" max="15053" width="3" style="63" customWidth="1"/>
    <col min="15054" max="15054" width="37.19921875" style="63" customWidth="1"/>
    <col min="15055" max="15057" width="5.796875" style="63" customWidth="1"/>
    <col min="15058" max="15059" width="7.3984375" style="63" customWidth="1"/>
    <col min="15060" max="15060" width="14.3984375" style="63" bestFit="1" customWidth="1"/>
    <col min="15061" max="15061" width="15.796875" style="63" bestFit="1" customWidth="1"/>
    <col min="15062" max="15062" width="10.296875" style="63" customWidth="1"/>
    <col min="15063" max="15063" width="7.09765625" style="63"/>
    <col min="15064" max="15064" width="12.3984375" style="63" bestFit="1" customWidth="1"/>
    <col min="15065" max="15065" width="12.69921875" style="63" bestFit="1" customWidth="1"/>
    <col min="15066" max="15066" width="7.796875" style="63" bestFit="1" customWidth="1"/>
    <col min="15067" max="15067" width="7.09765625" style="63"/>
    <col min="15068" max="15068" width="8.59765625" style="63" bestFit="1" customWidth="1"/>
    <col min="15069" max="15307" width="7.09765625" style="63"/>
    <col min="15308" max="15308" width="4.796875" style="63" customWidth="1"/>
    <col min="15309" max="15309" width="3" style="63" customWidth="1"/>
    <col min="15310" max="15310" width="37.19921875" style="63" customWidth="1"/>
    <col min="15311" max="15313" width="5.796875" style="63" customWidth="1"/>
    <col min="15314" max="15315" width="7.3984375" style="63" customWidth="1"/>
    <col min="15316" max="15316" width="14.3984375" style="63" bestFit="1" customWidth="1"/>
    <col min="15317" max="15317" width="15.796875" style="63" bestFit="1" customWidth="1"/>
    <col min="15318" max="15318" width="10.296875" style="63" customWidth="1"/>
    <col min="15319" max="15319" width="7.09765625" style="63"/>
    <col min="15320" max="15320" width="12.3984375" style="63" bestFit="1" customWidth="1"/>
    <col min="15321" max="15321" width="12.69921875" style="63" bestFit="1" customWidth="1"/>
    <col min="15322" max="15322" width="7.796875" style="63" bestFit="1" customWidth="1"/>
    <col min="15323" max="15323" width="7.09765625" style="63"/>
    <col min="15324" max="15324" width="8.59765625" style="63" bestFit="1" customWidth="1"/>
    <col min="15325" max="15563" width="7.09765625" style="63"/>
    <col min="15564" max="15564" width="4.796875" style="63" customWidth="1"/>
    <col min="15565" max="15565" width="3" style="63" customWidth="1"/>
    <col min="15566" max="15566" width="37.19921875" style="63" customWidth="1"/>
    <col min="15567" max="15569" width="5.796875" style="63" customWidth="1"/>
    <col min="15570" max="15571" width="7.3984375" style="63" customWidth="1"/>
    <col min="15572" max="15572" width="14.3984375" style="63" bestFit="1" customWidth="1"/>
    <col min="15573" max="15573" width="15.796875" style="63" bestFit="1" customWidth="1"/>
    <col min="15574" max="15574" width="10.296875" style="63" customWidth="1"/>
    <col min="15575" max="15575" width="7.09765625" style="63"/>
    <col min="15576" max="15576" width="12.3984375" style="63" bestFit="1" customWidth="1"/>
    <col min="15577" max="15577" width="12.69921875" style="63" bestFit="1" customWidth="1"/>
    <col min="15578" max="15578" width="7.796875" style="63" bestFit="1" customWidth="1"/>
    <col min="15579" max="15579" width="7.09765625" style="63"/>
    <col min="15580" max="15580" width="8.59765625" style="63" bestFit="1" customWidth="1"/>
    <col min="15581" max="15819" width="7.09765625" style="63"/>
    <col min="15820" max="15820" width="4.796875" style="63" customWidth="1"/>
    <col min="15821" max="15821" width="3" style="63" customWidth="1"/>
    <col min="15822" max="15822" width="37.19921875" style="63" customWidth="1"/>
    <col min="15823" max="15825" width="5.796875" style="63" customWidth="1"/>
    <col min="15826" max="15827" width="7.3984375" style="63" customWidth="1"/>
    <col min="15828" max="15828" width="14.3984375" style="63" bestFit="1" customWidth="1"/>
    <col min="15829" max="15829" width="15.796875" style="63" bestFit="1" customWidth="1"/>
    <col min="15830" max="15830" width="10.296875" style="63" customWidth="1"/>
    <col min="15831" max="15831" width="7.09765625" style="63"/>
    <col min="15832" max="15832" width="12.3984375" style="63" bestFit="1" customWidth="1"/>
    <col min="15833" max="15833" width="12.69921875" style="63" bestFit="1" customWidth="1"/>
    <col min="15834" max="15834" width="7.796875" style="63" bestFit="1" customWidth="1"/>
    <col min="15835" max="15835" width="7.09765625" style="63"/>
    <col min="15836" max="15836" width="8.59765625" style="63" bestFit="1" customWidth="1"/>
    <col min="15837" max="16075" width="7.09765625" style="63"/>
    <col min="16076" max="16076" width="4.796875" style="63" customWidth="1"/>
    <col min="16077" max="16077" width="3" style="63" customWidth="1"/>
    <col min="16078" max="16078" width="37.19921875" style="63" customWidth="1"/>
    <col min="16079" max="16081" width="5.796875" style="63" customWidth="1"/>
    <col min="16082" max="16083" width="7.3984375" style="63" customWidth="1"/>
    <col min="16084" max="16084" width="14.3984375" style="63" bestFit="1" customWidth="1"/>
    <col min="16085" max="16085" width="15.796875" style="63" bestFit="1" customWidth="1"/>
    <col min="16086" max="16086" width="10.296875" style="63" customWidth="1"/>
    <col min="16087" max="16087" width="7.09765625" style="63"/>
    <col min="16088" max="16088" width="12.3984375" style="63" bestFit="1" customWidth="1"/>
    <col min="16089" max="16089" width="12.69921875" style="63" bestFit="1" customWidth="1"/>
    <col min="16090" max="16090" width="7.796875" style="63" bestFit="1" customWidth="1"/>
    <col min="16091" max="16091" width="7.09765625" style="63"/>
    <col min="16092" max="16092" width="8.59765625" style="63" bestFit="1" customWidth="1"/>
    <col min="16093" max="16384" width="7.09765625" style="63"/>
  </cols>
  <sheetData>
    <row r="1" spans="1:18" s="60" customFormat="1" ht="25.8" x14ac:dyDescent="0.3">
      <c r="A1" s="59" t="s">
        <v>65</v>
      </c>
      <c r="B1" s="59"/>
      <c r="C1" s="59"/>
      <c r="D1" s="59"/>
      <c r="E1" s="59"/>
      <c r="F1" s="59"/>
      <c r="G1" s="59"/>
      <c r="H1" s="59"/>
      <c r="I1" s="59"/>
      <c r="J1" s="59"/>
      <c r="K1" s="59"/>
      <c r="L1" s="59"/>
      <c r="M1" s="59"/>
      <c r="N1" s="59"/>
      <c r="O1" s="59"/>
      <c r="P1" s="59"/>
      <c r="R1" s="61" t="s">
        <v>66</v>
      </c>
    </row>
    <row r="2" spans="1:18" ht="11.25" customHeight="1" x14ac:dyDescent="0.25">
      <c r="A2" s="62"/>
      <c r="B2" s="62"/>
      <c r="C2" s="62"/>
      <c r="D2" s="62"/>
      <c r="E2" s="62"/>
      <c r="F2" s="62"/>
      <c r="G2" s="62"/>
      <c r="H2" s="62"/>
      <c r="I2" s="62"/>
      <c r="J2" s="62"/>
      <c r="K2" s="62"/>
      <c r="L2" s="62"/>
    </row>
    <row r="3" spans="1:18" ht="20.100000000000001" customHeight="1" x14ac:dyDescent="0.15">
      <c r="A3" s="65" t="s">
        <v>67</v>
      </c>
      <c r="B3" s="66"/>
      <c r="C3" s="67"/>
      <c r="E3" s="68" t="s">
        <v>68</v>
      </c>
      <c r="F3" s="68"/>
      <c r="L3" s="68"/>
      <c r="M3" s="68"/>
      <c r="N3" s="69"/>
    </row>
    <row r="4" spans="1:18" ht="20.100000000000001" customHeight="1" x14ac:dyDescent="0.15">
      <c r="A4" s="70"/>
      <c r="B4" s="66"/>
      <c r="C4" s="67"/>
      <c r="D4" s="71"/>
      <c r="E4" s="72" t="s">
        <v>69</v>
      </c>
      <c r="F4" s="73" t="s">
        <v>70</v>
      </c>
      <c r="G4" s="71"/>
      <c r="H4" s="71"/>
      <c r="I4" s="71"/>
      <c r="J4" s="71"/>
      <c r="K4" s="71"/>
      <c r="L4" s="72"/>
      <c r="M4" s="73"/>
      <c r="N4" s="74"/>
      <c r="O4" s="64" t="s">
        <v>71</v>
      </c>
      <c r="P4" s="64"/>
    </row>
    <row r="5" spans="1:18" ht="20.100000000000001" customHeight="1" x14ac:dyDescent="0.15">
      <c r="A5" s="75" t="str">
        <f>IF(Input_CI!E3="Yes", "외주최소화 Ver.", "일반 Ver.")</f>
        <v>일반 Ver.</v>
      </c>
      <c r="B5" s="76"/>
      <c r="C5" s="77"/>
      <c r="D5" s="71"/>
      <c r="E5" s="72"/>
      <c r="F5" s="78" t="s">
        <v>72</v>
      </c>
      <c r="G5" s="71"/>
      <c r="H5" s="71"/>
      <c r="I5" s="71"/>
      <c r="J5" s="71"/>
      <c r="K5" s="71"/>
      <c r="L5" s="72"/>
      <c r="M5" s="78"/>
      <c r="N5" s="79"/>
      <c r="O5" s="64" t="s">
        <v>73</v>
      </c>
      <c r="P5" s="64"/>
    </row>
    <row r="6" spans="1:18" ht="20.100000000000001" customHeight="1" x14ac:dyDescent="0.15">
      <c r="A6" s="75"/>
      <c r="B6" s="76"/>
      <c r="C6" s="77"/>
      <c r="D6" s="80"/>
      <c r="E6" s="72" t="s">
        <v>74</v>
      </c>
      <c r="F6" s="73" t="s">
        <v>75</v>
      </c>
      <c r="G6" s="81"/>
      <c r="H6" s="81"/>
      <c r="I6" s="81"/>
      <c r="J6" s="81"/>
      <c r="K6" s="81"/>
      <c r="L6" s="72"/>
      <c r="M6" s="73"/>
      <c r="N6" s="73"/>
      <c r="O6" s="64"/>
      <c r="P6" s="64"/>
    </row>
    <row r="7" spans="1:18" ht="18" customHeight="1" thickBot="1" x14ac:dyDescent="0.2">
      <c r="A7" s="82"/>
      <c r="B7" s="83"/>
      <c r="C7" s="80"/>
      <c r="D7" s="80"/>
      <c r="E7" s="84"/>
      <c r="F7" s="84"/>
      <c r="G7" s="84"/>
      <c r="H7" s="84"/>
      <c r="I7" s="84"/>
      <c r="J7" s="84"/>
      <c r="K7" s="84"/>
      <c r="L7" s="84"/>
      <c r="M7" s="85"/>
      <c r="N7" s="85"/>
      <c r="O7" s="85"/>
      <c r="P7" s="85">
        <v>45838</v>
      </c>
      <c r="R7" s="64" t="s">
        <v>76</v>
      </c>
    </row>
    <row r="8" spans="1:18" ht="20.100000000000001" customHeight="1" x14ac:dyDescent="0.15">
      <c r="A8" s="86" t="s">
        <v>77</v>
      </c>
      <c r="B8" s="87" t="s">
        <v>78</v>
      </c>
      <c r="C8" s="88"/>
      <c r="D8" s="89" t="s">
        <v>79</v>
      </c>
      <c r="E8" s="90" t="s">
        <v>80</v>
      </c>
      <c r="F8" s="91"/>
      <c r="G8" s="91"/>
      <c r="H8" s="91"/>
      <c r="I8" s="91"/>
      <c r="J8" s="91"/>
      <c r="K8" s="91"/>
      <c r="L8" s="92"/>
      <c r="M8" s="93" t="s">
        <v>81</v>
      </c>
      <c r="N8" s="94" t="s">
        <v>82</v>
      </c>
      <c r="O8" s="95"/>
      <c r="P8" s="95"/>
    </row>
    <row r="9" spans="1:18" ht="20.100000000000001" customHeight="1" x14ac:dyDescent="0.15">
      <c r="A9" s="96"/>
      <c r="B9" s="97"/>
      <c r="C9" s="98"/>
      <c r="D9" s="99"/>
      <c r="E9" s="100" t="s">
        <v>83</v>
      </c>
      <c r="F9" s="101"/>
      <c r="G9" s="101"/>
      <c r="H9" s="102"/>
      <c r="I9" s="100" t="s">
        <v>84</v>
      </c>
      <c r="J9" s="101"/>
      <c r="K9" s="101"/>
      <c r="L9" s="102"/>
      <c r="M9" s="103"/>
      <c r="N9" s="104" t="s">
        <v>85</v>
      </c>
      <c r="O9" s="105" t="s">
        <v>86</v>
      </c>
      <c r="P9" s="106" t="s">
        <v>87</v>
      </c>
    </row>
    <row r="10" spans="1:18" ht="20.100000000000001" customHeight="1" x14ac:dyDescent="0.15">
      <c r="A10" s="96"/>
      <c r="B10" s="97"/>
      <c r="C10" s="98"/>
      <c r="D10" s="99"/>
      <c r="E10" s="107" t="s">
        <v>88</v>
      </c>
      <c r="F10" s="108" t="s">
        <v>89</v>
      </c>
      <c r="G10" s="109" t="s">
        <v>90</v>
      </c>
      <c r="H10" s="110" t="s">
        <v>91</v>
      </c>
      <c r="I10" s="107" t="s">
        <v>88</v>
      </c>
      <c r="J10" s="108" t="s">
        <v>89</v>
      </c>
      <c r="K10" s="109" t="s">
        <v>90</v>
      </c>
      <c r="L10" s="110" t="s">
        <v>91</v>
      </c>
      <c r="M10" s="103"/>
      <c r="N10" s="111"/>
      <c r="O10" s="112"/>
      <c r="P10" s="113"/>
    </row>
    <row r="11" spans="1:18" ht="21.9" customHeight="1" x14ac:dyDescent="0.15">
      <c r="A11" s="114"/>
      <c r="B11" s="115"/>
      <c r="C11" s="116"/>
      <c r="D11" s="117"/>
      <c r="E11" s="118"/>
      <c r="F11" s="119"/>
      <c r="G11" s="120"/>
      <c r="H11" s="121"/>
      <c r="I11" s="118"/>
      <c r="J11" s="119"/>
      <c r="K11" s="120"/>
      <c r="L11" s="121"/>
      <c r="M11" s="122"/>
      <c r="N11" s="123"/>
      <c r="O11" s="124"/>
      <c r="P11" s="125"/>
    </row>
    <row r="12" spans="1:18" s="135" customFormat="1" ht="21.9" customHeight="1" x14ac:dyDescent="0.2">
      <c r="A12" s="126" t="s">
        <v>92</v>
      </c>
      <c r="B12" s="127" t="s">
        <v>93</v>
      </c>
      <c r="C12" s="128"/>
      <c r="D12" s="129"/>
      <c r="E12" s="130"/>
      <c r="F12" s="131"/>
      <c r="G12" s="132"/>
      <c r="H12" s="133"/>
      <c r="I12" s="130"/>
      <c r="J12" s="131"/>
      <c r="K12" s="132"/>
      <c r="L12" s="133"/>
      <c r="M12" s="134"/>
      <c r="N12" s="123"/>
      <c r="O12" s="124"/>
      <c r="P12" s="125"/>
      <c r="R12" s="136"/>
    </row>
    <row r="13" spans="1:18" ht="21.9" customHeight="1" x14ac:dyDescent="0.15">
      <c r="A13" s="114">
        <v>1</v>
      </c>
      <c r="B13" s="115" t="s">
        <v>94</v>
      </c>
      <c r="C13" s="116"/>
      <c r="D13" s="117"/>
      <c r="E13" s="118"/>
      <c r="F13" s="119"/>
      <c r="G13" s="120"/>
      <c r="H13" s="121"/>
      <c r="I13" s="118"/>
      <c r="J13" s="119"/>
      <c r="K13" s="120"/>
      <c r="L13" s="121"/>
      <c r="M13" s="122"/>
      <c r="N13" s="123"/>
      <c r="O13" s="124"/>
      <c r="P13" s="125"/>
    </row>
    <row r="14" spans="1:18" ht="21.9" customHeight="1" x14ac:dyDescent="0.15">
      <c r="A14" s="137"/>
      <c r="B14" s="138" t="s">
        <v>95</v>
      </c>
      <c r="C14" s="139" t="s">
        <v>96</v>
      </c>
      <c r="D14" s="140" t="s">
        <v>97</v>
      </c>
      <c r="E14" s="141" t="s">
        <v>98</v>
      </c>
      <c r="F14" s="142">
        <v>120</v>
      </c>
      <c r="G14" s="143">
        <v>90</v>
      </c>
      <c r="H14" s="144">
        <v>45</v>
      </c>
      <c r="I14" s="141" t="s">
        <v>98</v>
      </c>
      <c r="J14" s="145" t="s">
        <v>98</v>
      </c>
      <c r="K14" s="145" t="s">
        <v>98</v>
      </c>
      <c r="L14" s="146" t="s">
        <v>98</v>
      </c>
      <c r="M14" s="147" t="s">
        <v>99</v>
      </c>
      <c r="N14" s="123"/>
      <c r="O14" s="124"/>
      <c r="P14" s="125" t="s">
        <v>100</v>
      </c>
      <c r="R14" s="64" t="s">
        <v>101</v>
      </c>
    </row>
    <row r="15" spans="1:18" ht="33" customHeight="1" x14ac:dyDescent="0.15">
      <c r="A15" s="137"/>
      <c r="B15" s="138" t="s">
        <v>102</v>
      </c>
      <c r="C15" s="148" t="s">
        <v>103</v>
      </c>
      <c r="D15" s="140" t="s">
        <v>97</v>
      </c>
      <c r="E15" s="141" t="s">
        <v>98</v>
      </c>
      <c r="F15" s="142">
        <v>180</v>
      </c>
      <c r="G15" s="143">
        <v>120</v>
      </c>
      <c r="H15" s="144">
        <v>60</v>
      </c>
      <c r="I15" s="141" t="s">
        <v>98</v>
      </c>
      <c r="J15" s="145" t="s">
        <v>98</v>
      </c>
      <c r="K15" s="145" t="s">
        <v>98</v>
      </c>
      <c r="L15" s="146" t="s">
        <v>98</v>
      </c>
      <c r="M15" s="147" t="s">
        <v>104</v>
      </c>
      <c r="N15" s="123"/>
      <c r="O15" s="124"/>
      <c r="P15" s="125" t="s">
        <v>105</v>
      </c>
      <c r="R15" s="64" t="s">
        <v>101</v>
      </c>
    </row>
    <row r="16" spans="1:18" ht="21.9" customHeight="1" x14ac:dyDescent="0.15">
      <c r="A16" s="137"/>
      <c r="B16" s="138" t="s">
        <v>106</v>
      </c>
      <c r="C16" s="139" t="s">
        <v>107</v>
      </c>
      <c r="D16" s="140" t="s">
        <v>97</v>
      </c>
      <c r="E16" s="141" t="s">
        <v>98</v>
      </c>
      <c r="F16" s="142">
        <v>80</v>
      </c>
      <c r="G16" s="143">
        <v>60</v>
      </c>
      <c r="H16" s="144">
        <v>30</v>
      </c>
      <c r="I16" s="141" t="s">
        <v>98</v>
      </c>
      <c r="J16" s="145" t="s">
        <v>98</v>
      </c>
      <c r="K16" s="145" t="s">
        <v>98</v>
      </c>
      <c r="L16" s="146" t="s">
        <v>98</v>
      </c>
      <c r="M16" s="147" t="s">
        <v>108</v>
      </c>
      <c r="N16" s="123"/>
      <c r="O16" s="124"/>
      <c r="P16" s="125" t="s">
        <v>109</v>
      </c>
      <c r="R16" s="149" t="s">
        <v>110</v>
      </c>
    </row>
    <row r="17" spans="1:18" ht="21.9" customHeight="1" x14ac:dyDescent="0.15">
      <c r="A17" s="137"/>
      <c r="B17" s="138"/>
      <c r="C17" s="148"/>
      <c r="D17" s="140"/>
      <c r="E17" s="141"/>
      <c r="F17" s="145"/>
      <c r="G17" s="120"/>
      <c r="H17" s="121"/>
      <c r="I17" s="141"/>
      <c r="J17" s="145"/>
      <c r="K17" s="145"/>
      <c r="L17" s="146"/>
      <c r="M17" s="147"/>
      <c r="N17" s="123"/>
      <c r="O17" s="124"/>
      <c r="P17" s="125"/>
    </row>
    <row r="18" spans="1:18" ht="21.9" customHeight="1" x14ac:dyDescent="0.15">
      <c r="A18" s="114">
        <v>2</v>
      </c>
      <c r="B18" s="115" t="s">
        <v>111</v>
      </c>
      <c r="C18" s="116"/>
      <c r="D18" s="140"/>
      <c r="E18" s="141"/>
      <c r="F18" s="145"/>
      <c r="G18" s="120"/>
      <c r="H18" s="121"/>
      <c r="I18" s="141"/>
      <c r="J18" s="145"/>
      <c r="K18" s="145"/>
      <c r="L18" s="146"/>
      <c r="M18" s="147"/>
      <c r="N18" s="123"/>
      <c r="O18" s="124"/>
      <c r="P18" s="125"/>
    </row>
    <row r="19" spans="1:18" ht="33" customHeight="1" x14ac:dyDescent="0.15">
      <c r="A19" s="137"/>
      <c r="B19" s="150" t="s">
        <v>95</v>
      </c>
      <c r="C19" s="151" t="s">
        <v>112</v>
      </c>
      <c r="D19" s="140" t="s">
        <v>97</v>
      </c>
      <c r="E19" s="141" t="s">
        <v>98</v>
      </c>
      <c r="F19" s="142">
        <v>340</v>
      </c>
      <c r="G19" s="143">
        <v>220</v>
      </c>
      <c r="H19" s="144">
        <v>120</v>
      </c>
      <c r="I19" s="141" t="s">
        <v>98</v>
      </c>
      <c r="J19" s="145" t="s">
        <v>98</v>
      </c>
      <c r="K19" s="145" t="s">
        <v>98</v>
      </c>
      <c r="L19" s="146" t="s">
        <v>98</v>
      </c>
      <c r="M19" s="152" t="s">
        <v>113</v>
      </c>
      <c r="N19" s="123" t="s">
        <v>114</v>
      </c>
      <c r="O19" s="124" t="s">
        <v>115</v>
      </c>
      <c r="P19" s="125" t="s">
        <v>116</v>
      </c>
      <c r="R19" s="64" t="s">
        <v>101</v>
      </c>
    </row>
    <row r="20" spans="1:18" ht="21.9" customHeight="1" x14ac:dyDescent="0.15">
      <c r="A20" s="137"/>
      <c r="B20" s="138" t="s">
        <v>102</v>
      </c>
      <c r="C20" s="139" t="s">
        <v>117</v>
      </c>
      <c r="D20" s="140" t="s">
        <v>118</v>
      </c>
      <c r="E20" s="141" t="s">
        <v>98</v>
      </c>
      <c r="F20" s="142">
        <v>80</v>
      </c>
      <c r="G20" s="143">
        <v>60</v>
      </c>
      <c r="H20" s="144">
        <v>30</v>
      </c>
      <c r="I20" s="141" t="s">
        <v>98</v>
      </c>
      <c r="J20" s="145" t="s">
        <v>98</v>
      </c>
      <c r="K20" s="145" t="s">
        <v>98</v>
      </c>
      <c r="L20" s="146" t="s">
        <v>98</v>
      </c>
      <c r="M20" s="147" t="s">
        <v>119</v>
      </c>
      <c r="N20" s="123"/>
      <c r="O20" s="124"/>
      <c r="P20" s="125" t="s">
        <v>120</v>
      </c>
    </row>
    <row r="21" spans="1:18" ht="21.9" customHeight="1" x14ac:dyDescent="0.15">
      <c r="A21" s="137"/>
      <c r="B21" s="138" t="s">
        <v>121</v>
      </c>
      <c r="C21" s="139" t="s">
        <v>122</v>
      </c>
      <c r="D21" s="140" t="s">
        <v>118</v>
      </c>
      <c r="E21" s="141" t="s">
        <v>98</v>
      </c>
      <c r="F21" s="142">
        <v>80</v>
      </c>
      <c r="G21" s="143">
        <v>60</v>
      </c>
      <c r="H21" s="144">
        <v>30</v>
      </c>
      <c r="I21" s="141" t="s">
        <v>98</v>
      </c>
      <c r="J21" s="145" t="s">
        <v>98</v>
      </c>
      <c r="K21" s="145" t="s">
        <v>98</v>
      </c>
      <c r="L21" s="146" t="s">
        <v>98</v>
      </c>
      <c r="M21" s="147" t="s">
        <v>123</v>
      </c>
      <c r="N21" s="123"/>
      <c r="O21" s="124"/>
      <c r="P21" s="125" t="s">
        <v>124</v>
      </c>
    </row>
    <row r="22" spans="1:18" ht="21.9" customHeight="1" x14ac:dyDescent="0.15">
      <c r="A22" s="137"/>
      <c r="B22" s="138" t="s">
        <v>125</v>
      </c>
      <c r="C22" s="139" t="s">
        <v>126</v>
      </c>
      <c r="D22" s="140" t="s">
        <v>118</v>
      </c>
      <c r="E22" s="141" t="s">
        <v>98</v>
      </c>
      <c r="F22" s="142">
        <v>400</v>
      </c>
      <c r="G22" s="143">
        <v>320</v>
      </c>
      <c r="H22" s="144">
        <v>150</v>
      </c>
      <c r="I22" s="141" t="s">
        <v>98</v>
      </c>
      <c r="J22" s="145" t="s">
        <v>98</v>
      </c>
      <c r="K22" s="145" t="s">
        <v>98</v>
      </c>
      <c r="L22" s="146" t="s">
        <v>98</v>
      </c>
      <c r="M22" s="147" t="s">
        <v>127</v>
      </c>
      <c r="N22" s="123"/>
      <c r="O22" s="124"/>
      <c r="P22" s="125" t="s">
        <v>128</v>
      </c>
    </row>
    <row r="23" spans="1:18" ht="21.9" customHeight="1" x14ac:dyDescent="0.15">
      <c r="A23" s="137"/>
      <c r="B23" s="138" t="s">
        <v>129</v>
      </c>
      <c r="C23" s="139" t="s">
        <v>130</v>
      </c>
      <c r="D23" s="140" t="s">
        <v>118</v>
      </c>
      <c r="E23" s="141" t="s">
        <v>98</v>
      </c>
      <c r="F23" s="142">
        <v>16</v>
      </c>
      <c r="G23" s="143">
        <v>12</v>
      </c>
      <c r="H23" s="144">
        <v>8</v>
      </c>
      <c r="I23" s="141" t="s">
        <v>98</v>
      </c>
      <c r="J23" s="145" t="s">
        <v>98</v>
      </c>
      <c r="K23" s="145" t="s">
        <v>98</v>
      </c>
      <c r="L23" s="146" t="s">
        <v>98</v>
      </c>
      <c r="M23" s="147" t="s">
        <v>131</v>
      </c>
      <c r="N23" s="123"/>
      <c r="O23" s="124"/>
      <c r="P23" s="125"/>
      <c r="R23" s="149" t="s">
        <v>132</v>
      </c>
    </row>
    <row r="24" spans="1:18" ht="21.9" customHeight="1" x14ac:dyDescent="0.15">
      <c r="A24" s="114"/>
      <c r="B24" s="115"/>
      <c r="C24" s="116"/>
      <c r="D24" s="117"/>
      <c r="E24" s="118"/>
      <c r="F24" s="119"/>
      <c r="G24" s="120"/>
      <c r="H24" s="121"/>
      <c r="I24" s="118"/>
      <c r="J24" s="119"/>
      <c r="K24" s="120"/>
      <c r="L24" s="121"/>
      <c r="M24" s="122"/>
      <c r="N24" s="123"/>
      <c r="O24" s="124"/>
      <c r="P24" s="125"/>
    </row>
    <row r="25" spans="1:18" s="135" customFormat="1" ht="21.9" customHeight="1" x14ac:dyDescent="0.2">
      <c r="A25" s="126" t="s">
        <v>133</v>
      </c>
      <c r="B25" s="127" t="s">
        <v>134</v>
      </c>
      <c r="C25" s="128"/>
      <c r="D25" s="129"/>
      <c r="E25" s="130"/>
      <c r="F25" s="131"/>
      <c r="G25" s="132"/>
      <c r="H25" s="133"/>
      <c r="I25" s="130"/>
      <c r="J25" s="131"/>
      <c r="K25" s="132"/>
      <c r="L25" s="133"/>
      <c r="M25" s="134"/>
      <c r="N25" s="153"/>
      <c r="O25" s="124"/>
      <c r="P25" s="125"/>
      <c r="R25" s="136"/>
    </row>
    <row r="26" spans="1:18" ht="21.9" customHeight="1" x14ac:dyDescent="0.15">
      <c r="A26" s="114">
        <v>1</v>
      </c>
      <c r="B26" s="115" t="s">
        <v>135</v>
      </c>
      <c r="C26" s="116"/>
      <c r="D26" s="117"/>
      <c r="E26" s="118"/>
      <c r="F26" s="119"/>
      <c r="G26" s="120"/>
      <c r="H26" s="121"/>
      <c r="I26" s="118"/>
      <c r="J26" s="119"/>
      <c r="K26" s="120"/>
      <c r="L26" s="121"/>
      <c r="M26" s="122"/>
      <c r="N26" s="153"/>
      <c r="O26" s="124"/>
      <c r="P26" s="125"/>
    </row>
    <row r="27" spans="1:18" ht="21.9" customHeight="1" x14ac:dyDescent="0.15">
      <c r="A27" s="137"/>
      <c r="B27" s="150" t="s">
        <v>95</v>
      </c>
      <c r="C27" s="151" t="s">
        <v>136</v>
      </c>
      <c r="D27" s="140"/>
      <c r="E27" s="154"/>
      <c r="F27" s="155"/>
      <c r="G27" s="156"/>
      <c r="H27" s="157"/>
      <c r="I27" s="158"/>
      <c r="J27" s="159"/>
      <c r="K27" s="160"/>
      <c r="L27" s="161"/>
      <c r="M27" s="162"/>
      <c r="N27" s="153"/>
      <c r="O27" s="124"/>
      <c r="P27" s="125"/>
    </row>
    <row r="28" spans="1:18" ht="21.9" customHeight="1" x14ac:dyDescent="0.15">
      <c r="A28" s="137"/>
      <c r="B28" s="150"/>
      <c r="C28" s="163" t="s">
        <v>137</v>
      </c>
      <c r="D28" s="140" t="s">
        <v>138</v>
      </c>
      <c r="E28" s="141" t="s">
        <v>98</v>
      </c>
      <c r="F28" s="164">
        <v>200</v>
      </c>
      <c r="G28" s="143">
        <v>120</v>
      </c>
      <c r="H28" s="144">
        <v>60</v>
      </c>
      <c r="I28" s="141" t="s">
        <v>98</v>
      </c>
      <c r="J28" s="145" t="s">
        <v>98</v>
      </c>
      <c r="K28" s="145" t="s">
        <v>98</v>
      </c>
      <c r="L28" s="146" t="s">
        <v>98</v>
      </c>
      <c r="M28" s="165" t="s">
        <v>139</v>
      </c>
      <c r="N28" s="123" t="s">
        <v>114</v>
      </c>
      <c r="O28" s="124" t="s">
        <v>115</v>
      </c>
      <c r="P28" s="125"/>
    </row>
    <row r="29" spans="1:18" ht="21.9" customHeight="1" x14ac:dyDescent="0.15">
      <c r="A29" s="137"/>
      <c r="B29" s="150"/>
      <c r="C29" s="163" t="s">
        <v>140</v>
      </c>
      <c r="D29" s="140" t="s">
        <v>138</v>
      </c>
      <c r="E29" s="141" t="s">
        <v>98</v>
      </c>
      <c r="F29" s="164">
        <v>140</v>
      </c>
      <c r="G29" s="143">
        <v>70</v>
      </c>
      <c r="H29" s="144">
        <v>40</v>
      </c>
      <c r="I29" s="141" t="s">
        <v>98</v>
      </c>
      <c r="J29" s="145" t="s">
        <v>98</v>
      </c>
      <c r="K29" s="145" t="s">
        <v>98</v>
      </c>
      <c r="L29" s="146" t="s">
        <v>98</v>
      </c>
      <c r="M29" s="166"/>
      <c r="N29" s="123" t="s">
        <v>114</v>
      </c>
      <c r="O29" s="124" t="s">
        <v>115</v>
      </c>
      <c r="P29" s="125"/>
    </row>
    <row r="30" spans="1:18" ht="21.9" customHeight="1" x14ac:dyDescent="0.15">
      <c r="A30" s="137"/>
      <c r="B30" s="150"/>
      <c r="C30" s="163" t="s">
        <v>141</v>
      </c>
      <c r="D30" s="140" t="s">
        <v>138</v>
      </c>
      <c r="E30" s="141" t="s">
        <v>98</v>
      </c>
      <c r="F30" s="164">
        <v>70</v>
      </c>
      <c r="G30" s="143">
        <v>35</v>
      </c>
      <c r="H30" s="144">
        <v>20</v>
      </c>
      <c r="I30" s="141" t="s">
        <v>98</v>
      </c>
      <c r="J30" s="145" t="s">
        <v>98</v>
      </c>
      <c r="K30" s="145" t="s">
        <v>98</v>
      </c>
      <c r="L30" s="146" t="s">
        <v>98</v>
      </c>
      <c r="M30" s="166"/>
      <c r="N30" s="123" t="s">
        <v>114</v>
      </c>
      <c r="O30" s="124" t="s">
        <v>115</v>
      </c>
      <c r="P30" s="125"/>
    </row>
    <row r="31" spans="1:18" ht="21.9" customHeight="1" x14ac:dyDescent="0.15">
      <c r="A31" s="137"/>
      <c r="B31" s="150"/>
      <c r="C31" s="163" t="s">
        <v>142</v>
      </c>
      <c r="D31" s="140" t="s">
        <v>138</v>
      </c>
      <c r="E31" s="141" t="s">
        <v>98</v>
      </c>
      <c r="F31" s="164">
        <v>70</v>
      </c>
      <c r="G31" s="143">
        <v>35</v>
      </c>
      <c r="H31" s="144">
        <v>20</v>
      </c>
      <c r="I31" s="141" t="s">
        <v>98</v>
      </c>
      <c r="J31" s="145" t="s">
        <v>98</v>
      </c>
      <c r="K31" s="145" t="s">
        <v>98</v>
      </c>
      <c r="L31" s="146" t="s">
        <v>98</v>
      </c>
      <c r="M31" s="167"/>
      <c r="N31" s="123" t="s">
        <v>114</v>
      </c>
      <c r="O31" s="124" t="s">
        <v>115</v>
      </c>
      <c r="P31" s="125"/>
    </row>
    <row r="32" spans="1:18" ht="45.75" customHeight="1" x14ac:dyDescent="0.15">
      <c r="A32" s="137"/>
      <c r="B32" s="150" t="s">
        <v>102</v>
      </c>
      <c r="C32" s="151" t="s">
        <v>143</v>
      </c>
      <c r="D32" s="140" t="s">
        <v>97</v>
      </c>
      <c r="E32" s="154"/>
      <c r="F32" s="142">
        <v>340</v>
      </c>
      <c r="G32" s="143">
        <v>230</v>
      </c>
      <c r="H32" s="144">
        <v>160</v>
      </c>
      <c r="I32" s="141" t="s">
        <v>98</v>
      </c>
      <c r="J32" s="145" t="s">
        <v>98</v>
      </c>
      <c r="K32" s="145" t="s">
        <v>98</v>
      </c>
      <c r="L32" s="146" t="s">
        <v>98</v>
      </c>
      <c r="M32" s="162" t="s">
        <v>144</v>
      </c>
      <c r="N32" s="123" t="s">
        <v>114</v>
      </c>
      <c r="O32" s="124" t="s">
        <v>115</v>
      </c>
      <c r="P32" s="125" t="s">
        <v>144</v>
      </c>
    </row>
    <row r="33" spans="1:18" ht="21.9" customHeight="1" x14ac:dyDescent="0.15">
      <c r="A33" s="114"/>
      <c r="B33" s="115"/>
      <c r="C33" s="116"/>
      <c r="D33" s="117"/>
      <c r="E33" s="118"/>
      <c r="F33" s="119"/>
      <c r="G33" s="120"/>
      <c r="H33" s="121"/>
      <c r="I33" s="118"/>
      <c r="J33" s="119"/>
      <c r="K33" s="120"/>
      <c r="L33" s="121"/>
      <c r="M33" s="122"/>
      <c r="N33" s="123"/>
      <c r="O33" s="124"/>
      <c r="P33" s="125"/>
    </row>
    <row r="34" spans="1:18" ht="21.9" customHeight="1" x14ac:dyDescent="0.15">
      <c r="A34" s="114">
        <v>2</v>
      </c>
      <c r="B34" s="115" t="s">
        <v>145</v>
      </c>
      <c r="C34" s="116"/>
      <c r="D34" s="140"/>
      <c r="E34" s="118"/>
      <c r="F34" s="119"/>
      <c r="G34" s="120"/>
      <c r="H34" s="121"/>
      <c r="I34" s="118"/>
      <c r="J34" s="119"/>
      <c r="K34" s="120"/>
      <c r="L34" s="121"/>
      <c r="M34" s="162"/>
      <c r="N34" s="123"/>
      <c r="O34" s="124"/>
      <c r="P34" s="125"/>
    </row>
    <row r="35" spans="1:18" s="176" customFormat="1" ht="50.1" customHeight="1" x14ac:dyDescent="0.2">
      <c r="A35" s="168"/>
      <c r="B35" s="169" t="s">
        <v>95</v>
      </c>
      <c r="C35" s="170" t="s">
        <v>146</v>
      </c>
      <c r="D35" s="171" t="s">
        <v>147</v>
      </c>
      <c r="E35" s="172">
        <f>IF(A5="일반 Ver.", 0.7, 0.8)</f>
        <v>0.7</v>
      </c>
      <c r="F35" s="145" t="s">
        <v>98</v>
      </c>
      <c r="G35" s="173">
        <f>IF(A5="일반 Ver.", 0.5, 0.6)</f>
        <v>0.5</v>
      </c>
      <c r="H35" s="146" t="s">
        <v>98</v>
      </c>
      <c r="I35" s="174">
        <v>0.2</v>
      </c>
      <c r="J35" s="145" t="s">
        <v>98</v>
      </c>
      <c r="K35" s="173">
        <f>IF(A5="일반 Ver.", 0.1, 0)</f>
        <v>0.1</v>
      </c>
      <c r="L35" s="146" t="s">
        <v>98</v>
      </c>
      <c r="M35" s="175" t="s">
        <v>148</v>
      </c>
      <c r="N35" s="123" t="s">
        <v>149</v>
      </c>
      <c r="O35" s="124" t="s">
        <v>115</v>
      </c>
      <c r="P35" s="125" t="s">
        <v>150</v>
      </c>
      <c r="R35" s="64"/>
    </row>
    <row r="36" spans="1:18" s="176" customFormat="1" ht="65.099999999999994" customHeight="1" x14ac:dyDescent="0.2">
      <c r="A36" s="168"/>
      <c r="B36" s="169" t="s">
        <v>102</v>
      </c>
      <c r="C36" s="170" t="s">
        <v>151</v>
      </c>
      <c r="D36" s="171" t="s">
        <v>152</v>
      </c>
      <c r="E36" s="172">
        <f>IF(A5="일반 Ver.", 0.5, 0.6)</f>
        <v>0.5</v>
      </c>
      <c r="F36" s="145" t="s">
        <v>98</v>
      </c>
      <c r="G36" s="173">
        <f>IF(A5="일반 Ver.", 0.3, 0.4)</f>
        <v>0.3</v>
      </c>
      <c r="H36" s="146" t="s">
        <v>98</v>
      </c>
      <c r="I36" s="174">
        <v>0.3</v>
      </c>
      <c r="J36" s="145" t="s">
        <v>98</v>
      </c>
      <c r="K36" s="173">
        <f>IF(A5="일반 Ver.", 0.1, 0)</f>
        <v>0.1</v>
      </c>
      <c r="L36" s="146" t="s">
        <v>98</v>
      </c>
      <c r="M36" s="175" t="s">
        <v>153</v>
      </c>
      <c r="N36" s="123" t="s">
        <v>149</v>
      </c>
      <c r="O36" s="124" t="s">
        <v>115</v>
      </c>
      <c r="P36" s="125" t="s">
        <v>154</v>
      </c>
      <c r="R36" s="64"/>
    </row>
    <row r="37" spans="1:18" s="176" customFormat="1" ht="65.099999999999994" customHeight="1" x14ac:dyDescent="0.2">
      <c r="A37" s="168"/>
      <c r="B37" s="169" t="s">
        <v>121</v>
      </c>
      <c r="C37" s="170" t="s">
        <v>155</v>
      </c>
      <c r="D37" s="171" t="s">
        <v>156</v>
      </c>
      <c r="E37" s="141" t="s">
        <v>98</v>
      </c>
      <c r="F37" s="173">
        <f>IF(A5="일반 Ver.", 0.3, 0.6)</f>
        <v>0.3</v>
      </c>
      <c r="G37" s="173">
        <f>IF(A5="일반 Ver.", 0.3, 0.6)</f>
        <v>0.3</v>
      </c>
      <c r="H37" s="177">
        <f>IF(A5="일반 Ver.", 0.3, 0.6)</f>
        <v>0.3</v>
      </c>
      <c r="I37" s="141" t="s">
        <v>98</v>
      </c>
      <c r="J37" s="178">
        <f>IF(A5="일반 Ver.", 4, 3.7)</f>
        <v>4</v>
      </c>
      <c r="K37" s="173">
        <f>IF(A5="일반 Ver.", 3, 2.7)</f>
        <v>3</v>
      </c>
      <c r="L37" s="144">
        <f>IF(A5="일반 Ver.", 2, 1.7)</f>
        <v>2</v>
      </c>
      <c r="M37" s="175" t="s">
        <v>157</v>
      </c>
      <c r="N37" s="123" t="s">
        <v>149</v>
      </c>
      <c r="O37" s="124" t="s">
        <v>158</v>
      </c>
      <c r="P37" s="125" t="s">
        <v>159</v>
      </c>
      <c r="R37" s="64"/>
    </row>
    <row r="38" spans="1:18" s="176" customFormat="1" ht="21.9" customHeight="1" x14ac:dyDescent="0.2">
      <c r="A38" s="168"/>
      <c r="B38" s="169" t="s">
        <v>160</v>
      </c>
      <c r="C38" s="179" t="s">
        <v>161</v>
      </c>
      <c r="D38" s="180" t="s">
        <v>97</v>
      </c>
      <c r="E38" s="118" t="s">
        <v>98</v>
      </c>
      <c r="F38" s="119" t="s">
        <v>98</v>
      </c>
      <c r="G38" s="181">
        <v>50</v>
      </c>
      <c r="H38" s="121" t="s">
        <v>98</v>
      </c>
      <c r="I38" s="118" t="s">
        <v>98</v>
      </c>
      <c r="J38" s="119" t="s">
        <v>98</v>
      </c>
      <c r="K38" s="119" t="s">
        <v>98</v>
      </c>
      <c r="L38" s="121" t="s">
        <v>98</v>
      </c>
      <c r="M38" s="175" t="s">
        <v>162</v>
      </c>
      <c r="N38" s="153" t="s">
        <v>163</v>
      </c>
      <c r="O38" s="124" t="s">
        <v>164</v>
      </c>
      <c r="P38" s="125"/>
      <c r="R38" s="64" t="s">
        <v>165</v>
      </c>
    </row>
    <row r="39" spans="1:18" s="176" customFormat="1" ht="21.9" customHeight="1" x14ac:dyDescent="0.2">
      <c r="A39" s="168"/>
      <c r="B39" s="169" t="s">
        <v>166</v>
      </c>
      <c r="C39" s="179" t="s">
        <v>167</v>
      </c>
      <c r="D39" s="180" t="s">
        <v>97</v>
      </c>
      <c r="E39" s="118" t="s">
        <v>98</v>
      </c>
      <c r="F39" s="119" t="s">
        <v>98</v>
      </c>
      <c r="G39" s="181">
        <v>50</v>
      </c>
      <c r="H39" s="121" t="s">
        <v>98</v>
      </c>
      <c r="I39" s="118" t="s">
        <v>98</v>
      </c>
      <c r="J39" s="119" t="s">
        <v>98</v>
      </c>
      <c r="K39" s="119" t="s">
        <v>98</v>
      </c>
      <c r="L39" s="121" t="s">
        <v>98</v>
      </c>
      <c r="M39" s="175" t="s">
        <v>162</v>
      </c>
      <c r="N39" s="153" t="s">
        <v>163</v>
      </c>
      <c r="O39" s="124" t="s">
        <v>164</v>
      </c>
      <c r="P39" s="125"/>
      <c r="R39" s="64" t="s">
        <v>168</v>
      </c>
    </row>
    <row r="40" spans="1:18" s="176" customFormat="1" ht="21.9" customHeight="1" x14ac:dyDescent="0.2">
      <c r="A40" s="168"/>
      <c r="B40" s="182" t="s">
        <v>169</v>
      </c>
      <c r="C40" s="179" t="s">
        <v>170</v>
      </c>
      <c r="D40" s="180" t="s">
        <v>97</v>
      </c>
      <c r="E40" s="118" t="s">
        <v>98</v>
      </c>
      <c r="F40" s="119" t="s">
        <v>98</v>
      </c>
      <c r="G40" s="173">
        <f>IF(A5="일반 Ver.", 100, 120)</f>
        <v>100</v>
      </c>
      <c r="H40" s="121" t="s">
        <v>98</v>
      </c>
      <c r="I40" s="118" t="s">
        <v>98</v>
      </c>
      <c r="J40" s="119" t="s">
        <v>98</v>
      </c>
      <c r="K40" s="173">
        <f>IF(A5="일반 Ver.", 100, 80)</f>
        <v>100</v>
      </c>
      <c r="L40" s="121" t="s">
        <v>98</v>
      </c>
      <c r="M40" s="175" t="s">
        <v>162</v>
      </c>
      <c r="N40" s="153" t="s">
        <v>163</v>
      </c>
      <c r="O40" s="124" t="s">
        <v>164</v>
      </c>
      <c r="P40" s="125"/>
      <c r="R40" s="64" t="s">
        <v>171</v>
      </c>
    </row>
    <row r="41" spans="1:18" s="176" customFormat="1" ht="21.9" customHeight="1" x14ac:dyDescent="0.2">
      <c r="A41" s="168"/>
      <c r="B41" s="182" t="s">
        <v>172</v>
      </c>
      <c r="C41" s="179" t="s">
        <v>173</v>
      </c>
      <c r="D41" s="183" t="s">
        <v>147</v>
      </c>
      <c r="E41" s="118" t="s">
        <v>98</v>
      </c>
      <c r="F41" s="119" t="s">
        <v>98</v>
      </c>
      <c r="G41" s="181">
        <v>0.1</v>
      </c>
      <c r="H41" s="121" t="s">
        <v>98</v>
      </c>
      <c r="I41" s="118" t="s">
        <v>98</v>
      </c>
      <c r="J41" s="119" t="s">
        <v>98</v>
      </c>
      <c r="K41" s="119" t="s">
        <v>98</v>
      </c>
      <c r="L41" s="121" t="s">
        <v>98</v>
      </c>
      <c r="M41" s="175" t="s">
        <v>162</v>
      </c>
      <c r="N41" s="153" t="s">
        <v>163</v>
      </c>
      <c r="O41" s="124" t="s">
        <v>164</v>
      </c>
      <c r="P41" s="125" t="s">
        <v>174</v>
      </c>
      <c r="R41" s="64" t="s">
        <v>175</v>
      </c>
    </row>
    <row r="42" spans="1:18" s="176" customFormat="1" ht="21.9" customHeight="1" x14ac:dyDescent="0.2">
      <c r="A42" s="168"/>
      <c r="B42" s="182" t="s">
        <v>176</v>
      </c>
      <c r="C42" s="179" t="s">
        <v>177</v>
      </c>
      <c r="D42" s="180" t="s">
        <v>97</v>
      </c>
      <c r="E42" s="118" t="s">
        <v>98</v>
      </c>
      <c r="F42" s="119" t="s">
        <v>98</v>
      </c>
      <c r="G42" s="173">
        <f>IF(A5="일반 Ver.", 50, 60)</f>
        <v>50</v>
      </c>
      <c r="H42" s="121" t="s">
        <v>98</v>
      </c>
      <c r="I42" s="118" t="s">
        <v>98</v>
      </c>
      <c r="J42" s="119" t="s">
        <v>98</v>
      </c>
      <c r="K42" s="173">
        <f>IF(A5="일반 Ver.", 50, 40)</f>
        <v>50</v>
      </c>
      <c r="L42" s="121" t="s">
        <v>98</v>
      </c>
      <c r="M42" s="175" t="s">
        <v>162</v>
      </c>
      <c r="N42" s="153" t="s">
        <v>163</v>
      </c>
      <c r="O42" s="124" t="s">
        <v>164</v>
      </c>
      <c r="P42" s="125"/>
      <c r="R42" s="64" t="s">
        <v>178</v>
      </c>
    </row>
    <row r="43" spans="1:18" s="176" customFormat="1" ht="33.75" customHeight="1" x14ac:dyDescent="0.2">
      <c r="A43" s="168"/>
      <c r="B43" s="182" t="s">
        <v>179</v>
      </c>
      <c r="C43" s="179" t="s">
        <v>180</v>
      </c>
      <c r="D43" s="180" t="s">
        <v>97</v>
      </c>
      <c r="E43" s="118" t="s">
        <v>98</v>
      </c>
      <c r="F43" s="119" t="s">
        <v>98</v>
      </c>
      <c r="G43" s="173">
        <f>IF(A5="일반 Ver.", 50, 60)</f>
        <v>50</v>
      </c>
      <c r="H43" s="121" t="s">
        <v>98</v>
      </c>
      <c r="I43" s="118" t="s">
        <v>98</v>
      </c>
      <c r="J43" s="119" t="s">
        <v>98</v>
      </c>
      <c r="K43" s="173">
        <f>IF(A5="일반 Ver.", 50, 40)</f>
        <v>50</v>
      </c>
      <c r="L43" s="121" t="s">
        <v>98</v>
      </c>
      <c r="M43" s="175" t="s">
        <v>181</v>
      </c>
      <c r="N43" s="153" t="s">
        <v>163</v>
      </c>
      <c r="O43" s="124" t="s">
        <v>164</v>
      </c>
      <c r="P43" s="125"/>
      <c r="R43" s="64"/>
    </row>
    <row r="44" spans="1:18" ht="21.9" customHeight="1" x14ac:dyDescent="0.15">
      <c r="A44" s="114"/>
      <c r="B44" s="115"/>
      <c r="C44" s="116"/>
      <c r="D44" s="117"/>
      <c r="E44" s="118"/>
      <c r="F44" s="119"/>
      <c r="G44" s="120"/>
      <c r="H44" s="121"/>
      <c r="I44" s="118"/>
      <c r="J44" s="119"/>
      <c r="K44" s="120"/>
      <c r="L44" s="121"/>
      <c r="M44" s="122"/>
      <c r="N44" s="153"/>
      <c r="O44" s="124"/>
      <c r="P44" s="125"/>
    </row>
    <row r="45" spans="1:18" ht="21.9" customHeight="1" x14ac:dyDescent="0.15">
      <c r="A45" s="114">
        <v>3</v>
      </c>
      <c r="B45" s="115" t="s">
        <v>182</v>
      </c>
      <c r="C45" s="116"/>
      <c r="D45" s="140"/>
      <c r="E45" s="118"/>
      <c r="F45" s="119"/>
      <c r="G45" s="120"/>
      <c r="H45" s="121"/>
      <c r="I45" s="118"/>
      <c r="J45" s="119"/>
      <c r="K45" s="120"/>
      <c r="L45" s="121"/>
      <c r="M45" s="162"/>
      <c r="N45" s="153"/>
      <c r="O45" s="124"/>
      <c r="P45" s="125"/>
    </row>
    <row r="46" spans="1:18" ht="21.9" customHeight="1" x14ac:dyDescent="0.15">
      <c r="A46" s="184"/>
      <c r="B46" s="150" t="s">
        <v>95</v>
      </c>
      <c r="C46" s="151" t="s">
        <v>183</v>
      </c>
      <c r="D46" s="185" t="s">
        <v>147</v>
      </c>
      <c r="E46" s="118" t="s">
        <v>98</v>
      </c>
      <c r="F46" s="119" t="s">
        <v>98</v>
      </c>
      <c r="G46" s="143">
        <v>0.5</v>
      </c>
      <c r="H46" s="121" t="s">
        <v>98</v>
      </c>
      <c r="I46" s="118" t="s">
        <v>98</v>
      </c>
      <c r="J46" s="119" t="s">
        <v>98</v>
      </c>
      <c r="K46" s="119" t="s">
        <v>98</v>
      </c>
      <c r="L46" s="121" t="s">
        <v>98</v>
      </c>
      <c r="M46" s="162" t="s">
        <v>184</v>
      </c>
      <c r="N46" s="123" t="s">
        <v>114</v>
      </c>
      <c r="O46" s="124" t="s">
        <v>115</v>
      </c>
      <c r="P46" s="125"/>
    </row>
    <row r="47" spans="1:18" ht="21.9" customHeight="1" x14ac:dyDescent="0.15">
      <c r="A47" s="184"/>
      <c r="B47" s="150" t="s">
        <v>102</v>
      </c>
      <c r="C47" s="151" t="s">
        <v>185</v>
      </c>
      <c r="D47" s="185" t="s">
        <v>147</v>
      </c>
      <c r="E47" s="174">
        <v>1</v>
      </c>
      <c r="F47" s="119" t="s">
        <v>98</v>
      </c>
      <c r="G47" s="143">
        <v>0.5</v>
      </c>
      <c r="H47" s="121" t="s">
        <v>98</v>
      </c>
      <c r="I47" s="118" t="s">
        <v>98</v>
      </c>
      <c r="J47" s="119" t="s">
        <v>98</v>
      </c>
      <c r="K47" s="119" t="s">
        <v>98</v>
      </c>
      <c r="L47" s="121" t="s">
        <v>98</v>
      </c>
      <c r="M47" s="162" t="s">
        <v>184</v>
      </c>
      <c r="N47" s="123" t="s">
        <v>114</v>
      </c>
      <c r="O47" s="124" t="s">
        <v>115</v>
      </c>
      <c r="P47" s="125"/>
    </row>
    <row r="48" spans="1:18" ht="21.9" customHeight="1" x14ac:dyDescent="0.15">
      <c r="A48" s="184"/>
      <c r="B48" s="150" t="s">
        <v>121</v>
      </c>
      <c r="C48" s="151" t="s">
        <v>186</v>
      </c>
      <c r="D48" s="185" t="s">
        <v>147</v>
      </c>
      <c r="E48" s="174">
        <v>1</v>
      </c>
      <c r="F48" s="119" t="s">
        <v>98</v>
      </c>
      <c r="G48" s="143">
        <v>0.5</v>
      </c>
      <c r="H48" s="121" t="s">
        <v>98</v>
      </c>
      <c r="I48" s="118" t="s">
        <v>98</v>
      </c>
      <c r="J48" s="119" t="s">
        <v>98</v>
      </c>
      <c r="K48" s="119" t="s">
        <v>98</v>
      </c>
      <c r="L48" s="121" t="s">
        <v>98</v>
      </c>
      <c r="M48" s="162" t="s">
        <v>184</v>
      </c>
      <c r="N48" s="123" t="s">
        <v>114</v>
      </c>
      <c r="O48" s="124" t="s">
        <v>115</v>
      </c>
      <c r="P48" s="125"/>
    </row>
    <row r="49" spans="1:18" ht="21.9" customHeight="1" x14ac:dyDescent="0.15">
      <c r="A49" s="184"/>
      <c r="B49" s="150" t="s">
        <v>125</v>
      </c>
      <c r="C49" s="151" t="s">
        <v>187</v>
      </c>
      <c r="D49" s="185" t="s">
        <v>147</v>
      </c>
      <c r="E49" s="174">
        <v>1</v>
      </c>
      <c r="F49" s="119" t="s">
        <v>98</v>
      </c>
      <c r="G49" s="143">
        <v>0.5</v>
      </c>
      <c r="H49" s="121" t="s">
        <v>98</v>
      </c>
      <c r="I49" s="118" t="s">
        <v>98</v>
      </c>
      <c r="J49" s="119" t="s">
        <v>98</v>
      </c>
      <c r="K49" s="119" t="s">
        <v>98</v>
      </c>
      <c r="L49" s="121" t="s">
        <v>98</v>
      </c>
      <c r="M49" s="162" t="s">
        <v>184</v>
      </c>
      <c r="N49" s="123" t="s">
        <v>114</v>
      </c>
      <c r="O49" s="124" t="s">
        <v>115</v>
      </c>
      <c r="P49" s="125"/>
    </row>
    <row r="50" spans="1:18" s="176" customFormat="1" ht="26.25" customHeight="1" x14ac:dyDescent="0.2">
      <c r="A50" s="168"/>
      <c r="B50" s="169"/>
      <c r="C50" s="170"/>
      <c r="D50" s="117"/>
      <c r="E50" s="118"/>
      <c r="F50" s="119"/>
      <c r="G50" s="120"/>
      <c r="H50" s="121"/>
      <c r="I50" s="118"/>
      <c r="J50" s="119"/>
      <c r="K50" s="120"/>
      <c r="L50" s="121"/>
      <c r="M50" s="175"/>
      <c r="N50" s="123"/>
      <c r="O50" s="124"/>
      <c r="P50" s="125"/>
      <c r="R50" s="64"/>
    </row>
    <row r="51" spans="1:18" ht="21.9" customHeight="1" x14ac:dyDescent="0.15">
      <c r="A51" s="168">
        <v>4</v>
      </c>
      <c r="B51" s="186" t="s">
        <v>188</v>
      </c>
      <c r="C51" s="151"/>
      <c r="D51" s="185"/>
      <c r="E51" s="118"/>
      <c r="F51" s="119"/>
      <c r="G51" s="120"/>
      <c r="H51" s="121"/>
      <c r="I51" s="118"/>
      <c r="J51" s="119"/>
      <c r="K51" s="120"/>
      <c r="L51" s="121"/>
      <c r="M51" s="162"/>
      <c r="N51" s="123"/>
      <c r="O51" s="124"/>
      <c r="P51" s="125"/>
    </row>
    <row r="52" spans="1:18" ht="35.25" customHeight="1" x14ac:dyDescent="0.15">
      <c r="A52" s="184"/>
      <c r="B52" s="150" t="s">
        <v>95</v>
      </c>
      <c r="C52" s="179" t="s">
        <v>189</v>
      </c>
      <c r="D52" s="185" t="s">
        <v>147</v>
      </c>
      <c r="E52" s="118" t="s">
        <v>98</v>
      </c>
      <c r="F52" s="119" t="s">
        <v>98</v>
      </c>
      <c r="G52" s="143">
        <v>1.5</v>
      </c>
      <c r="H52" s="144">
        <v>0.5</v>
      </c>
      <c r="I52" s="118" t="s">
        <v>98</v>
      </c>
      <c r="J52" s="119" t="s">
        <v>98</v>
      </c>
      <c r="K52" s="119" t="s">
        <v>98</v>
      </c>
      <c r="L52" s="121" t="s">
        <v>98</v>
      </c>
      <c r="M52" s="162" t="s">
        <v>190</v>
      </c>
      <c r="N52" s="123" t="s">
        <v>114</v>
      </c>
      <c r="O52" s="124" t="s">
        <v>115</v>
      </c>
      <c r="P52" s="125" t="s">
        <v>191</v>
      </c>
    </row>
    <row r="53" spans="1:18" ht="35.25" customHeight="1" x14ac:dyDescent="0.15">
      <c r="A53" s="184"/>
      <c r="B53" s="150" t="s">
        <v>102</v>
      </c>
      <c r="C53" s="151" t="s">
        <v>192</v>
      </c>
      <c r="D53" s="185" t="s">
        <v>147</v>
      </c>
      <c r="E53" s="118" t="s">
        <v>98</v>
      </c>
      <c r="F53" s="119" t="s">
        <v>98</v>
      </c>
      <c r="G53" s="143">
        <v>0.5</v>
      </c>
      <c r="H53" s="144">
        <v>0.2</v>
      </c>
      <c r="I53" s="118" t="s">
        <v>98</v>
      </c>
      <c r="J53" s="119" t="s">
        <v>98</v>
      </c>
      <c r="K53" s="119" t="s">
        <v>98</v>
      </c>
      <c r="L53" s="121" t="s">
        <v>98</v>
      </c>
      <c r="M53" s="162" t="s">
        <v>190</v>
      </c>
      <c r="N53" s="123" t="s">
        <v>114</v>
      </c>
      <c r="O53" s="124" t="s">
        <v>115</v>
      </c>
      <c r="P53" s="125" t="s">
        <v>191</v>
      </c>
    </row>
    <row r="54" spans="1:18" ht="35.25" customHeight="1" x14ac:dyDescent="0.15">
      <c r="A54" s="184"/>
      <c r="B54" s="150" t="s">
        <v>121</v>
      </c>
      <c r="C54" s="151" t="s">
        <v>193</v>
      </c>
      <c r="D54" s="185" t="s">
        <v>147</v>
      </c>
      <c r="E54" s="118" t="s">
        <v>98</v>
      </c>
      <c r="F54" s="119" t="s">
        <v>98</v>
      </c>
      <c r="G54" s="143">
        <v>0.7</v>
      </c>
      <c r="H54" s="144">
        <v>0.3</v>
      </c>
      <c r="I54" s="118" t="s">
        <v>98</v>
      </c>
      <c r="J54" s="119" t="s">
        <v>98</v>
      </c>
      <c r="K54" s="119" t="s">
        <v>98</v>
      </c>
      <c r="L54" s="121" t="s">
        <v>98</v>
      </c>
      <c r="M54" s="162" t="s">
        <v>190</v>
      </c>
      <c r="N54" s="123" t="s">
        <v>114</v>
      </c>
      <c r="O54" s="124" t="s">
        <v>115</v>
      </c>
      <c r="P54" s="125" t="s">
        <v>191</v>
      </c>
    </row>
    <row r="55" spans="1:18" ht="21.9" customHeight="1" x14ac:dyDescent="0.15">
      <c r="A55" s="184"/>
      <c r="B55" s="187"/>
      <c r="C55" s="151"/>
      <c r="D55" s="185"/>
      <c r="E55" s="118"/>
      <c r="F55" s="119"/>
      <c r="G55" s="120"/>
      <c r="H55" s="121"/>
      <c r="I55" s="118"/>
      <c r="J55" s="119"/>
      <c r="K55" s="120"/>
      <c r="L55" s="121"/>
      <c r="M55" s="162"/>
      <c r="N55" s="123"/>
      <c r="O55" s="124"/>
      <c r="P55" s="125"/>
    </row>
    <row r="56" spans="1:18" s="176" customFormat="1" ht="21.9" customHeight="1" x14ac:dyDescent="0.2">
      <c r="A56" s="188">
        <v>5</v>
      </c>
      <c r="B56" s="189" t="s">
        <v>194</v>
      </c>
      <c r="C56" s="190"/>
      <c r="D56" s="191"/>
      <c r="E56" s="118"/>
      <c r="F56" s="119"/>
      <c r="G56" s="119"/>
      <c r="H56" s="121"/>
      <c r="I56" s="118"/>
      <c r="J56" s="119"/>
      <c r="K56" s="119"/>
      <c r="L56" s="121"/>
      <c r="M56" s="192"/>
      <c r="N56" s="123"/>
      <c r="O56" s="124"/>
      <c r="P56" s="125"/>
      <c r="R56" s="64"/>
    </row>
    <row r="57" spans="1:18" s="176" customFormat="1" ht="80.099999999999994" customHeight="1" x14ac:dyDescent="0.2">
      <c r="A57" s="168"/>
      <c r="B57" s="169" t="s">
        <v>95</v>
      </c>
      <c r="C57" s="193" t="s">
        <v>195</v>
      </c>
      <c r="D57" s="194" t="s">
        <v>196</v>
      </c>
      <c r="E57" s="141" t="s">
        <v>98</v>
      </c>
      <c r="F57" s="164">
        <v>120</v>
      </c>
      <c r="G57" s="195">
        <v>80</v>
      </c>
      <c r="H57" s="144">
        <v>60</v>
      </c>
      <c r="I57" s="141" t="s">
        <v>98</v>
      </c>
      <c r="J57" s="164">
        <v>5</v>
      </c>
      <c r="K57" s="195">
        <v>4</v>
      </c>
      <c r="L57" s="144">
        <v>3</v>
      </c>
      <c r="M57" s="175" t="s">
        <v>197</v>
      </c>
      <c r="N57" s="123" t="s">
        <v>149</v>
      </c>
      <c r="O57" s="124" t="s">
        <v>158</v>
      </c>
      <c r="P57" s="125" t="s">
        <v>198</v>
      </c>
      <c r="R57" s="64"/>
    </row>
    <row r="58" spans="1:18" s="176" customFormat="1" ht="21.9" customHeight="1" x14ac:dyDescent="0.2">
      <c r="A58" s="168"/>
      <c r="B58" s="169" t="s">
        <v>102</v>
      </c>
      <c r="C58" s="193" t="s">
        <v>199</v>
      </c>
      <c r="D58" s="194" t="s">
        <v>196</v>
      </c>
      <c r="E58" s="141" t="s">
        <v>98</v>
      </c>
      <c r="F58" s="196">
        <f>IF(A5="일반 Ver.", 5, 10)</f>
        <v>5</v>
      </c>
      <c r="G58" s="196">
        <f>IF(A5="일반 Ver.", 5, 10)</f>
        <v>5</v>
      </c>
      <c r="H58" s="197">
        <f>IF(A5="일반 Ver.", 4, 8)</f>
        <v>4</v>
      </c>
      <c r="I58" s="141" t="s">
        <v>98</v>
      </c>
      <c r="J58" s="196">
        <f>IF(A5="일반 Ver.", 20, 15)</f>
        <v>20</v>
      </c>
      <c r="K58" s="196">
        <f>IF(A5="일반 Ver.", 20, 15)</f>
        <v>20</v>
      </c>
      <c r="L58" s="197">
        <f>IF(A5="일반 Ver.",15, 11)</f>
        <v>15</v>
      </c>
      <c r="M58" s="175"/>
      <c r="N58" s="123" t="s">
        <v>149</v>
      </c>
      <c r="O58" s="124" t="s">
        <v>200</v>
      </c>
      <c r="P58" s="125" t="s">
        <v>201</v>
      </c>
      <c r="R58" s="64"/>
    </row>
    <row r="59" spans="1:18" s="176" customFormat="1" ht="50.1" customHeight="1" x14ac:dyDescent="0.2">
      <c r="A59" s="168"/>
      <c r="B59" s="169" t="s">
        <v>121</v>
      </c>
      <c r="C59" s="198" t="s">
        <v>202</v>
      </c>
      <c r="D59" s="194" t="s">
        <v>203</v>
      </c>
      <c r="E59" s="141" t="s">
        <v>98</v>
      </c>
      <c r="F59" s="196">
        <f>IF(A5="일반 Ver.", 2, 4)</f>
        <v>2</v>
      </c>
      <c r="G59" s="196">
        <f>IF(A5="일반 Ver.", 2, 4)</f>
        <v>2</v>
      </c>
      <c r="H59" s="197">
        <f>IF(A5="일반 Ver.", 2, 4)</f>
        <v>2</v>
      </c>
      <c r="I59" s="141" t="s">
        <v>98</v>
      </c>
      <c r="J59" s="196">
        <f>IF(A5="일반 Ver.", 25, 23)</f>
        <v>25</v>
      </c>
      <c r="K59" s="196">
        <f>IF(A5="일반 Ver.", 25, 23)</f>
        <v>25</v>
      </c>
      <c r="L59" s="197">
        <f>IF(A5="일반 Ver.", 20, 18)</f>
        <v>20</v>
      </c>
      <c r="M59" s="175" t="s">
        <v>204</v>
      </c>
      <c r="N59" s="199" t="s">
        <v>205</v>
      </c>
      <c r="O59" s="124" t="s">
        <v>158</v>
      </c>
      <c r="P59" s="125" t="s">
        <v>206</v>
      </c>
      <c r="R59" s="64"/>
    </row>
    <row r="60" spans="1:18" s="176" customFormat="1" ht="50.1" customHeight="1" x14ac:dyDescent="0.2">
      <c r="A60" s="168"/>
      <c r="B60" s="169" t="s">
        <v>125</v>
      </c>
      <c r="C60" s="193" t="s">
        <v>207</v>
      </c>
      <c r="D60" s="194" t="s">
        <v>196</v>
      </c>
      <c r="E60" s="141" t="s">
        <v>98</v>
      </c>
      <c r="F60" s="196">
        <f>IF(A5="일반 Ver.", 5, 10)</f>
        <v>5</v>
      </c>
      <c r="G60" s="196">
        <f>IF(A5="일반 Ver.", 5, 10)</f>
        <v>5</v>
      </c>
      <c r="H60" s="197">
        <f>IF(A5="일반 Ver.", 4, 8)</f>
        <v>4</v>
      </c>
      <c r="I60" s="141" t="s">
        <v>98</v>
      </c>
      <c r="J60" s="196">
        <f>IF(A5="일반 Ver.", 40, 35)</f>
        <v>40</v>
      </c>
      <c r="K60" s="196">
        <f>IF(A5="일반 Ver.", 40, 35)</f>
        <v>40</v>
      </c>
      <c r="L60" s="197">
        <f>IF(A5="일반 Ver.", 35, 31)</f>
        <v>35</v>
      </c>
      <c r="M60" s="175" t="s">
        <v>208</v>
      </c>
      <c r="N60" s="199" t="s">
        <v>163</v>
      </c>
      <c r="O60" s="124" t="s">
        <v>158</v>
      </c>
      <c r="P60" s="125" t="s">
        <v>209</v>
      </c>
      <c r="R60" s="64"/>
    </row>
    <row r="61" spans="1:18" s="176" customFormat="1" ht="50.1" customHeight="1" x14ac:dyDescent="0.2">
      <c r="A61" s="168"/>
      <c r="B61" s="169" t="s">
        <v>166</v>
      </c>
      <c r="C61" s="200" t="s">
        <v>210</v>
      </c>
      <c r="D61" s="194" t="s">
        <v>203</v>
      </c>
      <c r="E61" s="141" t="s">
        <v>98</v>
      </c>
      <c r="F61" s="178">
        <f>IF(A5="일반 Ver.", 2, 4)</f>
        <v>2</v>
      </c>
      <c r="G61" s="196">
        <f>IF(A5="일반 Ver.", 2, 4)</f>
        <v>2</v>
      </c>
      <c r="H61" s="197">
        <f>IF(A5="일반 Ver.", 2, 4)</f>
        <v>2</v>
      </c>
      <c r="I61" s="141" t="s">
        <v>98</v>
      </c>
      <c r="J61" s="178">
        <f>IF(A5="일반 Ver.", 19, 17)</f>
        <v>19</v>
      </c>
      <c r="K61" s="196">
        <f>IF(A5="일반 Ver.", 15, 13)</f>
        <v>15</v>
      </c>
      <c r="L61" s="197">
        <f>IF(A5="일반 Ver.", 12, 10)</f>
        <v>12</v>
      </c>
      <c r="M61" s="175" t="s">
        <v>211</v>
      </c>
      <c r="N61" s="201" t="s">
        <v>212</v>
      </c>
      <c r="O61" s="124" t="s">
        <v>158</v>
      </c>
      <c r="P61" s="125" t="s">
        <v>213</v>
      </c>
      <c r="R61" s="64"/>
    </row>
    <row r="62" spans="1:18" s="176" customFormat="1" ht="103.5" customHeight="1" x14ac:dyDescent="0.2">
      <c r="A62" s="168"/>
      <c r="B62" s="169" t="s">
        <v>169</v>
      </c>
      <c r="C62" s="200" t="s">
        <v>214</v>
      </c>
      <c r="D62" s="194" t="s">
        <v>203</v>
      </c>
      <c r="E62" s="141" t="s">
        <v>98</v>
      </c>
      <c r="F62" s="178">
        <f>IF(A5="일반 Ver.", 5, 10)</f>
        <v>5</v>
      </c>
      <c r="G62" s="196">
        <f>IF(A5="일반 Ver.", 5, 10)</f>
        <v>5</v>
      </c>
      <c r="H62" s="197">
        <f>IF(A5="일반 Ver.", 5, 10)</f>
        <v>5</v>
      </c>
      <c r="I62" s="141" t="s">
        <v>98</v>
      </c>
      <c r="J62" s="178">
        <f>IF(A5="일반 Ver.", 49, 44)</f>
        <v>49</v>
      </c>
      <c r="K62" s="196">
        <f>IF(A5="일반 Ver.", 44, 39)</f>
        <v>44</v>
      </c>
      <c r="L62" s="197">
        <f>IF(A5="일반 Ver.", 40, 35)</f>
        <v>40</v>
      </c>
      <c r="M62" s="175" t="s">
        <v>215</v>
      </c>
      <c r="N62" s="201" t="s">
        <v>216</v>
      </c>
      <c r="O62" s="124" t="s">
        <v>158</v>
      </c>
      <c r="P62" s="125" t="s">
        <v>217</v>
      </c>
      <c r="R62" s="64"/>
    </row>
    <row r="63" spans="1:18" s="176" customFormat="1" ht="35.1" customHeight="1" x14ac:dyDescent="0.2">
      <c r="A63" s="168"/>
      <c r="B63" s="169" t="s">
        <v>218</v>
      </c>
      <c r="C63" s="200" t="s">
        <v>219</v>
      </c>
      <c r="D63" s="194" t="s">
        <v>203</v>
      </c>
      <c r="E63" s="141" t="s">
        <v>98</v>
      </c>
      <c r="F63" s="178">
        <f>IF(A5="일반 Ver.", 2.5, 4.5)</f>
        <v>2.5</v>
      </c>
      <c r="G63" s="196">
        <f>IF(A5="일반 Ver.", 2.5, 4.5)</f>
        <v>2.5</v>
      </c>
      <c r="H63" s="197">
        <f>IF(A5="일반 Ver.", 2.5, 4.5)</f>
        <v>2.5</v>
      </c>
      <c r="I63" s="141" t="s">
        <v>98</v>
      </c>
      <c r="J63" s="178">
        <f>IF(A5="일반 Ver.", 40, 38)</f>
        <v>40</v>
      </c>
      <c r="K63" s="196">
        <f>IF(A5="일반 Ver.", 35, 33)</f>
        <v>35</v>
      </c>
      <c r="L63" s="197">
        <f>IF(A5="일반 Ver.", 31, 29)</f>
        <v>31</v>
      </c>
      <c r="M63" s="175" t="s">
        <v>220</v>
      </c>
      <c r="N63" s="201" t="s">
        <v>221</v>
      </c>
      <c r="O63" s="124" t="s">
        <v>158</v>
      </c>
      <c r="P63" s="125" t="s">
        <v>222</v>
      </c>
      <c r="R63" s="64"/>
    </row>
    <row r="64" spans="1:18" s="176" customFormat="1" ht="90" customHeight="1" x14ac:dyDescent="0.2">
      <c r="A64" s="168"/>
      <c r="B64" s="169" t="s">
        <v>223</v>
      </c>
      <c r="C64" s="200" t="s">
        <v>224</v>
      </c>
      <c r="D64" s="194" t="s">
        <v>203</v>
      </c>
      <c r="E64" s="141" t="s">
        <v>98</v>
      </c>
      <c r="F64" s="196">
        <f>IF(A5="일반 Ver.", 4, 8)</f>
        <v>4</v>
      </c>
      <c r="G64" s="196">
        <f>IF(A5="일반 Ver.", 4, 8)</f>
        <v>4</v>
      </c>
      <c r="H64" s="202">
        <f>IF(A5="일반 Ver.", 4, 8)</f>
        <v>4</v>
      </c>
      <c r="I64" s="141" t="s">
        <v>98</v>
      </c>
      <c r="J64" s="178">
        <f>IF(A5="일반 Ver.", 67, 63)</f>
        <v>67</v>
      </c>
      <c r="K64" s="196">
        <f>IF(A5="일반 Ver.", 55, 51)</f>
        <v>55</v>
      </c>
      <c r="L64" s="197">
        <f>IF(A5="일반 Ver.", 50, 46)</f>
        <v>50</v>
      </c>
      <c r="M64" s="175" t="s">
        <v>225</v>
      </c>
      <c r="N64" s="201" t="s">
        <v>226</v>
      </c>
      <c r="O64" s="124" t="s">
        <v>158</v>
      </c>
      <c r="P64" s="125" t="s">
        <v>227</v>
      </c>
      <c r="R64" s="64"/>
    </row>
    <row r="65" spans="1:18" s="176" customFormat="1" ht="50.1" customHeight="1" x14ac:dyDescent="0.2">
      <c r="A65" s="168"/>
      <c r="B65" s="169" t="s">
        <v>228</v>
      </c>
      <c r="C65" s="200" t="s">
        <v>229</v>
      </c>
      <c r="D65" s="194" t="s">
        <v>203</v>
      </c>
      <c r="E65" s="141" t="s">
        <v>98</v>
      </c>
      <c r="F65" s="196">
        <f>IF(A5="일반 Ver.", 3, 6)</f>
        <v>3</v>
      </c>
      <c r="G65" s="196">
        <f>IF(A5="일반 Ver.", 3, 6)</f>
        <v>3</v>
      </c>
      <c r="H65" s="202">
        <f>IF(A5="일반 Ver.", 3, 6)</f>
        <v>3</v>
      </c>
      <c r="I65" s="141" t="s">
        <v>98</v>
      </c>
      <c r="J65" s="178">
        <f>IF(A5="일반 Ver.", 50, 47)</f>
        <v>50</v>
      </c>
      <c r="K65" s="196">
        <f>IF(A5="일반 Ver.", 45, 42)</f>
        <v>45</v>
      </c>
      <c r="L65" s="197">
        <f>IF(A5="일반 Ver.", 40, 37)</f>
        <v>40</v>
      </c>
      <c r="M65" s="175" t="s">
        <v>230</v>
      </c>
      <c r="N65" s="201" t="s">
        <v>221</v>
      </c>
      <c r="O65" s="124" t="s">
        <v>158</v>
      </c>
      <c r="P65" s="125" t="s">
        <v>231</v>
      </c>
      <c r="R65" s="64"/>
    </row>
    <row r="66" spans="1:18" s="176" customFormat="1" ht="50.1" customHeight="1" x14ac:dyDescent="0.2">
      <c r="A66" s="168"/>
      <c r="B66" s="169" t="s">
        <v>232</v>
      </c>
      <c r="C66" s="200" t="s">
        <v>233</v>
      </c>
      <c r="D66" s="194" t="s">
        <v>203</v>
      </c>
      <c r="E66" s="141" t="s">
        <v>98</v>
      </c>
      <c r="F66" s="196">
        <f>IF(A5="일반 Ver.", 3, 6)</f>
        <v>3</v>
      </c>
      <c r="G66" s="196">
        <f>IF(A5="일반 Ver.", 3, 6)</f>
        <v>3</v>
      </c>
      <c r="H66" s="202">
        <f>IF(A5="일반 Ver.", 3, 6)</f>
        <v>3</v>
      </c>
      <c r="I66" s="141" t="s">
        <v>98</v>
      </c>
      <c r="J66" s="178">
        <f>IF(A5="일반 Ver.", 34, 31)</f>
        <v>34</v>
      </c>
      <c r="K66" s="196">
        <f>IF(A5="일반 Ver.", 30, 27)</f>
        <v>30</v>
      </c>
      <c r="L66" s="197">
        <f>IF(A5="일반 Ver.", 26, 23)</f>
        <v>26</v>
      </c>
      <c r="M66" s="175" t="s">
        <v>234</v>
      </c>
      <c r="N66" s="201" t="s">
        <v>226</v>
      </c>
      <c r="O66" s="124" t="s">
        <v>158</v>
      </c>
      <c r="P66" s="125" t="s">
        <v>235</v>
      </c>
      <c r="R66" s="64"/>
    </row>
    <row r="67" spans="1:18" s="176" customFormat="1" ht="39.9" customHeight="1" x14ac:dyDescent="0.2">
      <c r="A67" s="168"/>
      <c r="B67" s="169" t="s">
        <v>236</v>
      </c>
      <c r="C67" s="193" t="s">
        <v>237</v>
      </c>
      <c r="D67" s="194" t="s">
        <v>203</v>
      </c>
      <c r="E67" s="141" t="s">
        <v>98</v>
      </c>
      <c r="F67" s="196">
        <f>IF(A5="일반 Ver.", 3, 6)</f>
        <v>3</v>
      </c>
      <c r="G67" s="196">
        <f>IF(A5="일반 Ver.", 3, 6)</f>
        <v>3</v>
      </c>
      <c r="H67" s="202">
        <f>IF(A5="일반 Ver.", 3, 6)</f>
        <v>3</v>
      </c>
      <c r="I67" s="141" t="s">
        <v>98</v>
      </c>
      <c r="J67" s="178">
        <f>IF(A5="일반 Ver.", 34, 31)</f>
        <v>34</v>
      </c>
      <c r="K67" s="196">
        <f>IF(A5="일반 Ver.", 30, 27)</f>
        <v>30</v>
      </c>
      <c r="L67" s="197">
        <f>IF(A5="일반 Ver.", 26, 23)</f>
        <v>26</v>
      </c>
      <c r="M67" s="175" t="s">
        <v>238</v>
      </c>
      <c r="N67" s="201" t="s">
        <v>239</v>
      </c>
      <c r="O67" s="124" t="s">
        <v>158</v>
      </c>
      <c r="P67" s="125" t="s">
        <v>240</v>
      </c>
      <c r="R67" s="64"/>
    </row>
    <row r="68" spans="1:18" s="176" customFormat="1" ht="39.9" customHeight="1" x14ac:dyDescent="0.2">
      <c r="A68" s="168"/>
      <c r="B68" s="169" t="s">
        <v>241</v>
      </c>
      <c r="C68" s="200" t="s">
        <v>242</v>
      </c>
      <c r="D68" s="194" t="s">
        <v>203</v>
      </c>
      <c r="E68" s="141" t="s">
        <v>98</v>
      </c>
      <c r="F68" s="196">
        <f>IF(A5="일반 Ver.", 4, 8)</f>
        <v>4</v>
      </c>
      <c r="G68" s="196">
        <f>IF(A5="일반 Ver.", 4, 8)</f>
        <v>4</v>
      </c>
      <c r="H68" s="202">
        <f>IF(A5="일반 Ver.", 4, 8)</f>
        <v>4</v>
      </c>
      <c r="I68" s="141" t="s">
        <v>98</v>
      </c>
      <c r="J68" s="178">
        <f>IF(A5="일반 Ver.", 40, 36)</f>
        <v>40</v>
      </c>
      <c r="K68" s="196">
        <f>IF(A5="일반 Ver.", 35, 31)</f>
        <v>35</v>
      </c>
      <c r="L68" s="197">
        <f>IF(A5="일반 Ver.", 31, 27)</f>
        <v>31</v>
      </c>
      <c r="M68" s="175" t="s">
        <v>243</v>
      </c>
      <c r="N68" s="201" t="s">
        <v>239</v>
      </c>
      <c r="O68" s="124" t="s">
        <v>158</v>
      </c>
      <c r="P68" s="125" t="s">
        <v>244</v>
      </c>
      <c r="R68" s="64"/>
    </row>
    <row r="69" spans="1:18" s="176" customFormat="1" ht="39.9" customHeight="1" x14ac:dyDescent="0.2">
      <c r="A69" s="168"/>
      <c r="B69" s="169" t="s">
        <v>245</v>
      </c>
      <c r="C69" s="200" t="s">
        <v>246</v>
      </c>
      <c r="D69" s="194" t="s">
        <v>203</v>
      </c>
      <c r="E69" s="141" t="s">
        <v>98</v>
      </c>
      <c r="F69" s="196">
        <f>IF(A5="일반 Ver.", 2, 4)</f>
        <v>2</v>
      </c>
      <c r="G69" s="196">
        <f>IF(A5="일반 Ver.", 2, 4)</f>
        <v>2</v>
      </c>
      <c r="H69" s="202">
        <f>IF(A5="일반 Ver.", 2, 4)</f>
        <v>2</v>
      </c>
      <c r="I69" s="141" t="s">
        <v>98</v>
      </c>
      <c r="J69" s="178">
        <f>IF(A5="일반 Ver.", 19, 17)</f>
        <v>19</v>
      </c>
      <c r="K69" s="196">
        <f>IF(A5="일반 Ver.", 15, 13)</f>
        <v>15</v>
      </c>
      <c r="L69" s="197">
        <f>IF(A5="일반 Ver.", 12, 10)</f>
        <v>12</v>
      </c>
      <c r="M69" s="175" t="s">
        <v>247</v>
      </c>
      <c r="N69" s="201" t="s">
        <v>239</v>
      </c>
      <c r="O69" s="124" t="s">
        <v>158</v>
      </c>
      <c r="P69" s="125" t="s">
        <v>248</v>
      </c>
      <c r="R69" s="64"/>
    </row>
    <row r="70" spans="1:18" s="176" customFormat="1" ht="48" customHeight="1" x14ac:dyDescent="0.2">
      <c r="A70" s="168"/>
      <c r="B70" s="169" t="s">
        <v>249</v>
      </c>
      <c r="C70" s="203" t="s">
        <v>250</v>
      </c>
      <c r="D70" s="171" t="s">
        <v>156</v>
      </c>
      <c r="E70" s="172">
        <f>IF(A5="일반 Ver.", 0.5, 0.8)</f>
        <v>0.5</v>
      </c>
      <c r="F70" s="173">
        <f>IF(A5="일반 Ver.", 0.3, 0.6)</f>
        <v>0.3</v>
      </c>
      <c r="G70" s="173">
        <f>IF(A5="일반 Ver.", 0.3, 0.6)</f>
        <v>0.3</v>
      </c>
      <c r="H70" s="177">
        <f>IF(A5="일반 Ver.", 0.3, 0.6)</f>
        <v>0.3</v>
      </c>
      <c r="I70" s="172">
        <f>IF(A5="일반 Ver.", 4.5, 4.2)</f>
        <v>4.5</v>
      </c>
      <c r="J70" s="178">
        <f>IF(A5="일반 Ver.", 4, 3.7)</f>
        <v>4</v>
      </c>
      <c r="K70" s="173">
        <f>IF(A5="일반 Ver.", 3, 2.7)</f>
        <v>3</v>
      </c>
      <c r="L70" s="197">
        <f>IF(A5="일반 Ver.", 2, 1.7)</f>
        <v>2</v>
      </c>
      <c r="M70" s="175"/>
      <c r="N70" s="123" t="s">
        <v>149</v>
      </c>
      <c r="O70" s="124" t="s">
        <v>158</v>
      </c>
      <c r="P70" s="125" t="s">
        <v>251</v>
      </c>
      <c r="R70" s="64"/>
    </row>
    <row r="71" spans="1:18" s="176" customFormat="1" ht="48" customHeight="1" x14ac:dyDescent="0.2">
      <c r="A71" s="168"/>
      <c r="B71" s="169" t="s">
        <v>252</v>
      </c>
      <c r="C71" s="203" t="s">
        <v>253</v>
      </c>
      <c r="D71" s="171" t="s">
        <v>156</v>
      </c>
      <c r="E71" s="172">
        <f>IF(A5="일반 Ver.", 0.5, 0.8)</f>
        <v>0.5</v>
      </c>
      <c r="F71" s="173">
        <f>IF(A5="일반 Ver.", 0.3, 0.6)</f>
        <v>0.3</v>
      </c>
      <c r="G71" s="173">
        <f>IF(A5="일반 Ver.", 0.3, 0.6)</f>
        <v>0.3</v>
      </c>
      <c r="H71" s="177">
        <f>IF(A5="일반 Ver.", 0.3, 0.6)</f>
        <v>0.3</v>
      </c>
      <c r="I71" s="172">
        <f>IF(A5="일반 Ver.", 4.5, 4.2)</f>
        <v>4.5</v>
      </c>
      <c r="J71" s="178">
        <f>IF(A5="일반 Ver.", 4, 3.7)</f>
        <v>4</v>
      </c>
      <c r="K71" s="173">
        <f>IF(A5="일반 Ver.", 3, 2.7)</f>
        <v>3</v>
      </c>
      <c r="L71" s="197">
        <f>IF(A5="일반 Ver.", 2, 1.7)</f>
        <v>2</v>
      </c>
      <c r="M71" s="175"/>
      <c r="N71" s="123" t="s">
        <v>149</v>
      </c>
      <c r="O71" s="124" t="s">
        <v>158</v>
      </c>
      <c r="P71" s="125" t="s">
        <v>254</v>
      </c>
      <c r="R71" s="64"/>
    </row>
    <row r="72" spans="1:18" s="176" customFormat="1" ht="50.1" customHeight="1" x14ac:dyDescent="0.2">
      <c r="A72" s="168"/>
      <c r="B72" s="169" t="s">
        <v>255</v>
      </c>
      <c r="C72" s="203" t="s">
        <v>256</v>
      </c>
      <c r="D72" s="171" t="s">
        <v>156</v>
      </c>
      <c r="E72" s="172">
        <f>IF(A5="일반 Ver.", 0.5, 0.8)</f>
        <v>0.5</v>
      </c>
      <c r="F72" s="173">
        <f>IF(A5="일반 Ver.", 0.3, 0.6)</f>
        <v>0.3</v>
      </c>
      <c r="G72" s="173">
        <f>IF(A5="일반 Ver.", 0.3, 0.6)</f>
        <v>0.3</v>
      </c>
      <c r="H72" s="177">
        <f>IF(A5="일반 Ver.", 0.3, 0.6)</f>
        <v>0.3</v>
      </c>
      <c r="I72" s="172">
        <f>IF(A5="일반 Ver.", 4.5, 4.2)</f>
        <v>4.5</v>
      </c>
      <c r="J72" s="178">
        <f>IF(A5="일반 Ver.", 4, 3.7)</f>
        <v>4</v>
      </c>
      <c r="K72" s="173">
        <f>IF(A5="일반 Ver.", 3, 2.7)</f>
        <v>3</v>
      </c>
      <c r="L72" s="197">
        <f>IF(A5="일반 Ver.", 2, 1.7)</f>
        <v>2</v>
      </c>
      <c r="M72" s="175" t="s">
        <v>257</v>
      </c>
      <c r="N72" s="123" t="s">
        <v>149</v>
      </c>
      <c r="O72" s="124" t="s">
        <v>158</v>
      </c>
      <c r="P72" s="204" t="s">
        <v>258</v>
      </c>
      <c r="R72" s="64"/>
    </row>
    <row r="73" spans="1:18" s="176" customFormat="1" ht="21.9" customHeight="1" x14ac:dyDescent="0.2">
      <c r="A73" s="168"/>
      <c r="B73" s="169" t="s">
        <v>259</v>
      </c>
      <c r="C73" s="203" t="s">
        <v>260</v>
      </c>
      <c r="D73" s="171" t="s">
        <v>156</v>
      </c>
      <c r="E73" s="141" t="s">
        <v>98</v>
      </c>
      <c r="F73" s="145" t="s">
        <v>98</v>
      </c>
      <c r="G73" s="178">
        <f>IF(A5="일반 Ver.", 0.5, 1)</f>
        <v>0.5</v>
      </c>
      <c r="H73" s="146" t="s">
        <v>98</v>
      </c>
      <c r="I73" s="141" t="s">
        <v>98</v>
      </c>
      <c r="J73" s="145" t="s">
        <v>98</v>
      </c>
      <c r="K73" s="178">
        <f>IF(A5="일반 Ver.", 2, 1.5)</f>
        <v>2</v>
      </c>
      <c r="L73" s="146" t="s">
        <v>98</v>
      </c>
      <c r="M73" s="175" t="s">
        <v>261</v>
      </c>
      <c r="N73" s="123" t="s">
        <v>149</v>
      </c>
      <c r="O73" s="124" t="s">
        <v>158</v>
      </c>
      <c r="P73" s="125" t="s">
        <v>262</v>
      </c>
      <c r="R73" s="64"/>
    </row>
    <row r="74" spans="1:18" s="176" customFormat="1" ht="50.1" customHeight="1" x14ac:dyDescent="0.2">
      <c r="A74" s="168"/>
      <c r="B74" s="169" t="s">
        <v>263</v>
      </c>
      <c r="C74" s="203" t="s">
        <v>264</v>
      </c>
      <c r="D74" s="171" t="s">
        <v>265</v>
      </c>
      <c r="E74" s="141" t="s">
        <v>98</v>
      </c>
      <c r="F74" s="145" t="s">
        <v>98</v>
      </c>
      <c r="G74" s="164">
        <v>2</v>
      </c>
      <c r="H74" s="146" t="s">
        <v>98</v>
      </c>
      <c r="I74" s="141" t="s">
        <v>98</v>
      </c>
      <c r="J74" s="145" t="s">
        <v>98</v>
      </c>
      <c r="K74" s="164">
        <v>0.5</v>
      </c>
      <c r="L74" s="146" t="s">
        <v>98</v>
      </c>
      <c r="M74" s="175" t="s">
        <v>266</v>
      </c>
      <c r="N74" s="123" t="s">
        <v>149</v>
      </c>
      <c r="O74" s="124" t="s">
        <v>158</v>
      </c>
      <c r="P74" s="125" t="s">
        <v>267</v>
      </c>
      <c r="R74" s="64"/>
    </row>
    <row r="75" spans="1:18" s="176" customFormat="1" ht="50.1" customHeight="1" x14ac:dyDescent="0.2">
      <c r="A75" s="168"/>
      <c r="B75" s="169" t="s">
        <v>268</v>
      </c>
      <c r="C75" s="170" t="s">
        <v>269</v>
      </c>
      <c r="D75" s="171" t="s">
        <v>156</v>
      </c>
      <c r="E75" s="174">
        <v>0.5</v>
      </c>
      <c r="F75" s="145" t="s">
        <v>98</v>
      </c>
      <c r="G75" s="181">
        <v>0.3</v>
      </c>
      <c r="H75" s="146" t="s">
        <v>98</v>
      </c>
      <c r="I75" s="174">
        <v>2</v>
      </c>
      <c r="J75" s="145" t="s">
        <v>98</v>
      </c>
      <c r="K75" s="181">
        <v>1</v>
      </c>
      <c r="L75" s="146" t="s">
        <v>98</v>
      </c>
      <c r="M75" s="175" t="s">
        <v>270</v>
      </c>
      <c r="N75" s="123" t="s">
        <v>149</v>
      </c>
      <c r="O75" s="124" t="s">
        <v>158</v>
      </c>
      <c r="P75" s="125" t="s">
        <v>271</v>
      </c>
      <c r="R75" s="64"/>
    </row>
    <row r="76" spans="1:18" s="176" customFormat="1" ht="58.5" customHeight="1" x14ac:dyDescent="0.2">
      <c r="A76" s="168"/>
      <c r="B76" s="169" t="s">
        <v>272</v>
      </c>
      <c r="C76" s="203" t="s">
        <v>273</v>
      </c>
      <c r="D76" s="171" t="s">
        <v>152</v>
      </c>
      <c r="E76" s="174">
        <v>0.3</v>
      </c>
      <c r="F76" s="145" t="s">
        <v>98</v>
      </c>
      <c r="G76" s="181">
        <v>0.1</v>
      </c>
      <c r="H76" s="146" t="s">
        <v>98</v>
      </c>
      <c r="I76" s="205">
        <v>0.5</v>
      </c>
      <c r="J76" s="145" t="s">
        <v>98</v>
      </c>
      <c r="K76" s="181">
        <v>0.2</v>
      </c>
      <c r="L76" s="146" t="s">
        <v>98</v>
      </c>
      <c r="M76" s="175" t="s">
        <v>274</v>
      </c>
      <c r="N76" s="123" t="s">
        <v>149</v>
      </c>
      <c r="O76" s="124" t="s">
        <v>158</v>
      </c>
      <c r="P76" s="125" t="s">
        <v>275</v>
      </c>
      <c r="R76" s="64"/>
    </row>
    <row r="77" spans="1:18" s="176" customFormat="1" ht="42" customHeight="1" x14ac:dyDescent="0.2">
      <c r="A77" s="168"/>
      <c r="B77" s="169" t="s">
        <v>276</v>
      </c>
      <c r="C77" s="203" t="s">
        <v>277</v>
      </c>
      <c r="D77" s="171" t="s">
        <v>265</v>
      </c>
      <c r="E77" s="141" t="s">
        <v>98</v>
      </c>
      <c r="F77" s="145" t="s">
        <v>98</v>
      </c>
      <c r="G77" s="173">
        <f>IF(A5="일반 Ver.", 2, 3)</f>
        <v>2</v>
      </c>
      <c r="H77" s="206">
        <v>1</v>
      </c>
      <c r="I77" s="141" t="s">
        <v>98</v>
      </c>
      <c r="J77" s="145" t="s">
        <v>98</v>
      </c>
      <c r="K77" s="173">
        <f>IF(A5="일반 Ver.", 5, 4)</f>
        <v>5</v>
      </c>
      <c r="L77" s="206">
        <v>0.2</v>
      </c>
      <c r="M77" s="175" t="s">
        <v>278</v>
      </c>
      <c r="N77" s="123" t="s">
        <v>149</v>
      </c>
      <c r="O77" s="124" t="s">
        <v>158</v>
      </c>
      <c r="P77" s="125" t="s">
        <v>279</v>
      </c>
      <c r="R77" s="64"/>
    </row>
    <row r="78" spans="1:18" s="176" customFormat="1" ht="21.9" customHeight="1" x14ac:dyDescent="0.2">
      <c r="A78" s="168"/>
      <c r="B78" s="169"/>
      <c r="C78" s="203"/>
      <c r="D78" s="171"/>
      <c r="E78" s="141"/>
      <c r="F78" s="145"/>
      <c r="G78" s="207"/>
      <c r="H78" s="146"/>
      <c r="I78" s="141"/>
      <c r="J78" s="145"/>
      <c r="K78" s="207"/>
      <c r="L78" s="146"/>
      <c r="M78" s="175"/>
      <c r="N78" s="123"/>
      <c r="O78" s="124"/>
      <c r="P78" s="125"/>
      <c r="R78" s="64"/>
    </row>
    <row r="79" spans="1:18" s="176" customFormat="1" ht="21.9" customHeight="1" x14ac:dyDescent="0.2">
      <c r="A79" s="208">
        <v>6</v>
      </c>
      <c r="B79" s="209" t="s">
        <v>280</v>
      </c>
      <c r="C79" s="210"/>
      <c r="D79" s="211"/>
      <c r="E79" s="212"/>
      <c r="F79" s="213"/>
      <c r="G79" s="214"/>
      <c r="H79" s="215"/>
      <c r="I79" s="212"/>
      <c r="J79" s="213"/>
      <c r="K79" s="214"/>
      <c r="L79" s="215"/>
      <c r="M79" s="216"/>
      <c r="N79" s="123"/>
      <c r="O79" s="124"/>
      <c r="P79" s="125"/>
      <c r="R79" s="64"/>
    </row>
    <row r="80" spans="1:18" s="176" customFormat="1" ht="122.25" customHeight="1" x14ac:dyDescent="0.2">
      <c r="A80" s="217"/>
      <c r="B80" s="218" t="s">
        <v>95</v>
      </c>
      <c r="C80" s="203" t="s">
        <v>281</v>
      </c>
      <c r="D80" s="171" t="s">
        <v>97</v>
      </c>
      <c r="E80" s="141" t="s">
        <v>98</v>
      </c>
      <c r="F80" s="145"/>
      <c r="G80" s="142">
        <v>400</v>
      </c>
      <c r="H80" s="145" t="s">
        <v>98</v>
      </c>
      <c r="I80" s="219" t="s">
        <v>282</v>
      </c>
      <c r="J80" s="220"/>
      <c r="K80" s="220"/>
      <c r="L80" s="221"/>
      <c r="M80" s="175" t="s">
        <v>283</v>
      </c>
      <c r="N80" s="123" t="s">
        <v>114</v>
      </c>
      <c r="O80" s="124" t="s">
        <v>284</v>
      </c>
      <c r="P80" s="125" t="s">
        <v>285</v>
      </c>
      <c r="R80" s="64" t="s">
        <v>286</v>
      </c>
    </row>
    <row r="81" spans="1:18" s="176" customFormat="1" ht="21.9" customHeight="1" x14ac:dyDescent="0.2">
      <c r="A81" s="168"/>
      <c r="B81" s="182"/>
      <c r="C81" s="179"/>
      <c r="D81" s="183"/>
      <c r="E81" s="222"/>
      <c r="F81" s="207"/>
      <c r="G81" s="207"/>
      <c r="H81" s="223"/>
      <c r="I81" s="222"/>
      <c r="J81" s="207"/>
      <c r="K81" s="207"/>
      <c r="L81" s="223"/>
      <c r="M81" s="175"/>
      <c r="N81" s="224"/>
      <c r="O81" s="225"/>
      <c r="P81" s="226"/>
      <c r="R81" s="64"/>
    </row>
    <row r="82" spans="1:18" s="176" customFormat="1" ht="21.9" customHeight="1" x14ac:dyDescent="0.2">
      <c r="A82" s="188">
        <v>7</v>
      </c>
      <c r="B82" s="189" t="s">
        <v>287</v>
      </c>
      <c r="C82" s="190"/>
      <c r="D82" s="191"/>
      <c r="E82" s="118"/>
      <c r="F82" s="119"/>
      <c r="G82" s="119"/>
      <c r="H82" s="121"/>
      <c r="I82" s="118"/>
      <c r="J82" s="119"/>
      <c r="K82" s="119"/>
      <c r="L82" s="121"/>
      <c r="M82" s="192"/>
      <c r="N82" s="224"/>
      <c r="O82" s="225"/>
      <c r="P82" s="226"/>
      <c r="R82" s="64"/>
    </row>
    <row r="83" spans="1:18" s="176" customFormat="1" ht="21.9" customHeight="1" x14ac:dyDescent="0.2">
      <c r="A83" s="114"/>
      <c r="B83" s="227" t="s">
        <v>288</v>
      </c>
      <c r="C83" s="228" t="s">
        <v>289</v>
      </c>
      <c r="D83" s="229"/>
      <c r="E83" s="230"/>
      <c r="F83" s="231"/>
      <c r="G83" s="119"/>
      <c r="H83" s="121"/>
      <c r="I83" s="230"/>
      <c r="J83" s="231"/>
      <c r="K83" s="119"/>
      <c r="L83" s="121"/>
      <c r="M83" s="192"/>
      <c r="N83" s="224"/>
      <c r="O83" s="225"/>
      <c r="P83" s="226"/>
      <c r="R83" s="64"/>
    </row>
    <row r="84" spans="1:18" s="176" customFormat="1" ht="21.9" customHeight="1" x14ac:dyDescent="0.2">
      <c r="A84" s="137"/>
      <c r="B84" s="232"/>
      <c r="C84" s="233" t="s">
        <v>290</v>
      </c>
      <c r="D84" s="140" t="s">
        <v>152</v>
      </c>
      <c r="E84" s="234">
        <v>0.1</v>
      </c>
      <c r="F84" s="207" t="s">
        <v>98</v>
      </c>
      <c r="G84" s="207" t="s">
        <v>98</v>
      </c>
      <c r="H84" s="223" t="s">
        <v>98</v>
      </c>
      <c r="I84" s="141" t="s">
        <v>98</v>
      </c>
      <c r="J84" s="207" t="s">
        <v>98</v>
      </c>
      <c r="K84" s="207" t="s">
        <v>98</v>
      </c>
      <c r="L84" s="223" t="s">
        <v>98</v>
      </c>
      <c r="M84" s="235" t="s">
        <v>291</v>
      </c>
      <c r="N84" s="123" t="s">
        <v>114</v>
      </c>
      <c r="O84" s="124" t="s">
        <v>115</v>
      </c>
      <c r="P84" s="125" t="s">
        <v>292</v>
      </c>
      <c r="R84" s="64"/>
    </row>
    <row r="85" spans="1:18" s="176" customFormat="1" ht="21.9" customHeight="1" x14ac:dyDescent="0.2">
      <c r="A85" s="137"/>
      <c r="B85" s="232"/>
      <c r="C85" s="233" t="s">
        <v>293</v>
      </c>
      <c r="D85" s="140" t="s">
        <v>152</v>
      </c>
      <c r="E85" s="234">
        <v>0.05</v>
      </c>
      <c r="F85" s="207" t="s">
        <v>98</v>
      </c>
      <c r="G85" s="207" t="s">
        <v>98</v>
      </c>
      <c r="H85" s="223" t="s">
        <v>98</v>
      </c>
      <c r="I85" s="141" t="s">
        <v>98</v>
      </c>
      <c r="J85" s="207" t="s">
        <v>98</v>
      </c>
      <c r="K85" s="207" t="s">
        <v>98</v>
      </c>
      <c r="L85" s="223" t="s">
        <v>98</v>
      </c>
      <c r="M85" s="235" t="s">
        <v>294</v>
      </c>
      <c r="N85" s="123" t="s">
        <v>114</v>
      </c>
      <c r="O85" s="124" t="s">
        <v>115</v>
      </c>
      <c r="P85" s="125" t="s">
        <v>295</v>
      </c>
      <c r="R85" s="64"/>
    </row>
    <row r="86" spans="1:18" s="176" customFormat="1" ht="31.5" customHeight="1" x14ac:dyDescent="0.2">
      <c r="A86" s="168"/>
      <c r="B86" s="169"/>
      <c r="C86" s="203" t="s">
        <v>296</v>
      </c>
      <c r="D86" s="171" t="s">
        <v>147</v>
      </c>
      <c r="E86" s="141" t="s">
        <v>98</v>
      </c>
      <c r="F86" s="145" t="s">
        <v>98</v>
      </c>
      <c r="G86" s="145" t="s">
        <v>98</v>
      </c>
      <c r="H86" s="146" t="s">
        <v>98</v>
      </c>
      <c r="I86" s="174">
        <v>0.3</v>
      </c>
      <c r="J86" s="145" t="s">
        <v>98</v>
      </c>
      <c r="K86" s="145" t="s">
        <v>98</v>
      </c>
      <c r="L86" s="146" t="s">
        <v>98</v>
      </c>
      <c r="M86" s="125" t="s">
        <v>297</v>
      </c>
      <c r="N86" s="123" t="s">
        <v>114</v>
      </c>
      <c r="O86" s="124" t="s">
        <v>115</v>
      </c>
      <c r="P86" s="125" t="s">
        <v>298</v>
      </c>
      <c r="R86" s="64"/>
    </row>
    <row r="87" spans="1:18" s="176" customFormat="1" ht="21.9" customHeight="1" x14ac:dyDescent="0.2">
      <c r="A87" s="137"/>
      <c r="B87" s="232"/>
      <c r="C87" s="233" t="s">
        <v>299</v>
      </c>
      <c r="D87" s="140" t="s">
        <v>300</v>
      </c>
      <c r="E87" s="234">
        <v>0.01</v>
      </c>
      <c r="F87" s="207" t="s">
        <v>98</v>
      </c>
      <c r="G87" s="207" t="s">
        <v>98</v>
      </c>
      <c r="H87" s="223" t="s">
        <v>98</v>
      </c>
      <c r="I87" s="141" t="s">
        <v>98</v>
      </c>
      <c r="J87" s="207" t="s">
        <v>98</v>
      </c>
      <c r="K87" s="207" t="s">
        <v>98</v>
      </c>
      <c r="L87" s="223" t="s">
        <v>98</v>
      </c>
      <c r="M87" s="235" t="s">
        <v>301</v>
      </c>
      <c r="N87" s="123" t="s">
        <v>114</v>
      </c>
      <c r="O87" s="124" t="s">
        <v>115</v>
      </c>
      <c r="P87" s="125" t="s">
        <v>302</v>
      </c>
      <c r="R87" s="64"/>
    </row>
    <row r="88" spans="1:18" s="176" customFormat="1" ht="21.9" customHeight="1" x14ac:dyDescent="0.2">
      <c r="A88" s="114"/>
      <c r="B88" s="236" t="s">
        <v>303</v>
      </c>
      <c r="C88" s="228" t="s">
        <v>304</v>
      </c>
      <c r="D88" s="229"/>
      <c r="E88" s="230"/>
      <c r="F88" s="231"/>
      <c r="G88" s="119"/>
      <c r="H88" s="121"/>
      <c r="I88" s="230"/>
      <c r="J88" s="231"/>
      <c r="K88" s="119"/>
      <c r="L88" s="121"/>
      <c r="M88" s="192"/>
      <c r="N88" s="224"/>
      <c r="O88" s="225"/>
      <c r="P88" s="226"/>
      <c r="R88" s="64"/>
    </row>
    <row r="89" spans="1:18" s="176" customFormat="1" ht="165.75" customHeight="1" x14ac:dyDescent="0.2">
      <c r="A89" s="137"/>
      <c r="B89" s="232"/>
      <c r="C89" s="233" t="s">
        <v>305</v>
      </c>
      <c r="D89" s="140" t="s">
        <v>60</v>
      </c>
      <c r="E89" s="237" t="s">
        <v>306</v>
      </c>
      <c r="F89" s="238"/>
      <c r="G89" s="238"/>
      <c r="H89" s="239"/>
      <c r="I89" s="237" t="s">
        <v>306</v>
      </c>
      <c r="J89" s="238"/>
      <c r="K89" s="238"/>
      <c r="L89" s="239"/>
      <c r="M89" s="235" t="s">
        <v>307</v>
      </c>
      <c r="N89" s="123" t="s">
        <v>114</v>
      </c>
      <c r="O89" s="124" t="s">
        <v>308</v>
      </c>
      <c r="P89" s="125" t="s">
        <v>309</v>
      </c>
      <c r="R89" s="64"/>
    </row>
    <row r="90" spans="1:18" s="176" customFormat="1" ht="45" customHeight="1" x14ac:dyDescent="0.2">
      <c r="A90" s="184"/>
      <c r="B90" s="182"/>
      <c r="C90" s="240" t="s">
        <v>310</v>
      </c>
      <c r="D90" s="185" t="s">
        <v>147</v>
      </c>
      <c r="E90" s="141" t="s">
        <v>98</v>
      </c>
      <c r="F90" s="145" t="s">
        <v>98</v>
      </c>
      <c r="G90" s="145" t="s">
        <v>98</v>
      </c>
      <c r="H90" s="146" t="s">
        <v>98</v>
      </c>
      <c r="I90" s="141" t="s">
        <v>98</v>
      </c>
      <c r="J90" s="207" t="s">
        <v>98</v>
      </c>
      <c r="K90" s="181">
        <v>1</v>
      </c>
      <c r="L90" s="223" t="s">
        <v>98</v>
      </c>
      <c r="M90" s="241" t="s">
        <v>311</v>
      </c>
      <c r="N90" s="123" t="s">
        <v>114</v>
      </c>
      <c r="O90" s="124" t="s">
        <v>308</v>
      </c>
      <c r="P90" s="242" t="s">
        <v>312</v>
      </c>
      <c r="R90" s="64"/>
    </row>
    <row r="91" spans="1:18" s="176" customFormat="1" ht="21.9" customHeight="1" x14ac:dyDescent="0.2">
      <c r="A91" s="114"/>
      <c r="B91" s="236" t="s">
        <v>313</v>
      </c>
      <c r="C91" s="228" t="s">
        <v>314</v>
      </c>
      <c r="D91" s="229"/>
      <c r="E91" s="230"/>
      <c r="F91" s="231"/>
      <c r="G91" s="119"/>
      <c r="H91" s="121"/>
      <c r="I91" s="230"/>
      <c r="J91" s="231"/>
      <c r="K91" s="119"/>
      <c r="L91" s="121"/>
      <c r="M91" s="192"/>
      <c r="N91" s="224"/>
      <c r="O91" s="243"/>
      <c r="P91" s="226"/>
      <c r="R91" s="64"/>
    </row>
    <row r="92" spans="1:18" s="176" customFormat="1" ht="91.5" customHeight="1" x14ac:dyDescent="0.2">
      <c r="A92" s="137"/>
      <c r="B92" s="244"/>
      <c r="C92" s="139" t="s">
        <v>315</v>
      </c>
      <c r="D92" s="140" t="s">
        <v>60</v>
      </c>
      <c r="E92" s="141" t="s">
        <v>98</v>
      </c>
      <c r="F92" s="145" t="s">
        <v>98</v>
      </c>
      <c r="G92" s="145" t="s">
        <v>98</v>
      </c>
      <c r="H92" s="146" t="s">
        <v>98</v>
      </c>
      <c r="I92" s="219" t="s">
        <v>306</v>
      </c>
      <c r="J92" s="220"/>
      <c r="K92" s="220"/>
      <c r="L92" s="221"/>
      <c r="M92" s="245" t="s">
        <v>316</v>
      </c>
      <c r="N92" s="123" t="s">
        <v>317</v>
      </c>
      <c r="O92" s="124" t="s">
        <v>308</v>
      </c>
      <c r="P92" s="125" t="s">
        <v>318</v>
      </c>
      <c r="R92" s="64"/>
    </row>
    <row r="93" spans="1:18" s="176" customFormat="1" ht="91.5" customHeight="1" x14ac:dyDescent="0.2">
      <c r="A93" s="246"/>
      <c r="B93" s="247"/>
      <c r="C93" s="248" t="s">
        <v>319</v>
      </c>
      <c r="D93" s="249" t="s">
        <v>60</v>
      </c>
      <c r="E93" s="250" t="s">
        <v>98</v>
      </c>
      <c r="F93" s="251" t="s">
        <v>98</v>
      </c>
      <c r="G93" s="251" t="s">
        <v>98</v>
      </c>
      <c r="H93" s="252" t="s">
        <v>98</v>
      </c>
      <c r="I93" s="237" t="s">
        <v>306</v>
      </c>
      <c r="J93" s="238"/>
      <c r="K93" s="238"/>
      <c r="L93" s="239"/>
      <c r="M93" s="253" t="s">
        <v>320</v>
      </c>
      <c r="N93" s="123" t="s">
        <v>317</v>
      </c>
      <c r="O93" s="124" t="s">
        <v>308</v>
      </c>
      <c r="P93" s="125" t="s">
        <v>321</v>
      </c>
      <c r="R93" s="64"/>
    </row>
    <row r="94" spans="1:18" s="176" customFormat="1" ht="21.9" customHeight="1" x14ac:dyDescent="0.2">
      <c r="A94" s="254"/>
      <c r="B94" s="255" t="s">
        <v>322</v>
      </c>
      <c r="C94" s="256" t="s">
        <v>323</v>
      </c>
      <c r="D94" s="257"/>
      <c r="E94" s="258"/>
      <c r="F94" s="259"/>
      <c r="G94" s="260"/>
      <c r="H94" s="261"/>
      <c r="I94" s="258"/>
      <c r="J94" s="259"/>
      <c r="K94" s="260"/>
      <c r="L94" s="261"/>
      <c r="M94" s="262"/>
      <c r="N94" s="263"/>
      <c r="O94" s="264"/>
      <c r="P94" s="265" t="s">
        <v>324</v>
      </c>
      <c r="R94" s="64"/>
    </row>
    <row r="95" spans="1:18" ht="21.75" customHeight="1" x14ac:dyDescent="0.15">
      <c r="A95" s="266"/>
      <c r="B95" s="267"/>
      <c r="C95" s="268" t="s">
        <v>325</v>
      </c>
      <c r="D95" s="269" t="s">
        <v>60</v>
      </c>
      <c r="E95" s="270" t="s">
        <v>98</v>
      </c>
      <c r="F95" s="271" t="s">
        <v>98</v>
      </c>
      <c r="G95" s="271" t="s">
        <v>98</v>
      </c>
      <c r="H95" s="272" t="s">
        <v>98</v>
      </c>
      <c r="I95" s="270" t="s">
        <v>98</v>
      </c>
      <c r="J95" s="273" t="s">
        <v>98</v>
      </c>
      <c r="K95" s="274">
        <v>200</v>
      </c>
      <c r="L95" s="275" t="s">
        <v>98</v>
      </c>
      <c r="M95" s="276" t="s">
        <v>326</v>
      </c>
      <c r="N95" s="277" t="s">
        <v>317</v>
      </c>
      <c r="O95" s="278" t="s">
        <v>308</v>
      </c>
      <c r="P95" s="265" t="s">
        <v>324</v>
      </c>
    </row>
    <row r="96" spans="1:18" ht="21.75" customHeight="1" x14ac:dyDescent="0.15">
      <c r="A96" s="266"/>
      <c r="B96" s="267"/>
      <c r="C96" s="268" t="s">
        <v>327</v>
      </c>
      <c r="D96" s="269" t="s">
        <v>60</v>
      </c>
      <c r="E96" s="270" t="s">
        <v>98</v>
      </c>
      <c r="F96" s="271" t="s">
        <v>98</v>
      </c>
      <c r="G96" s="271" t="s">
        <v>98</v>
      </c>
      <c r="H96" s="272" t="s">
        <v>98</v>
      </c>
      <c r="I96" s="270" t="s">
        <v>98</v>
      </c>
      <c r="J96" s="273" t="s">
        <v>98</v>
      </c>
      <c r="K96" s="274">
        <v>250</v>
      </c>
      <c r="L96" s="275" t="s">
        <v>98</v>
      </c>
      <c r="M96" s="276" t="s">
        <v>328</v>
      </c>
      <c r="N96" s="277" t="s">
        <v>317</v>
      </c>
      <c r="O96" s="278" t="s">
        <v>308</v>
      </c>
      <c r="P96" s="265" t="s">
        <v>324</v>
      </c>
    </row>
    <row r="97" spans="1:18" ht="21.75" customHeight="1" x14ac:dyDescent="0.15">
      <c r="A97" s="266"/>
      <c r="B97" s="267"/>
      <c r="C97" s="268" t="s">
        <v>329</v>
      </c>
      <c r="D97" s="269" t="s">
        <v>60</v>
      </c>
      <c r="E97" s="270" t="s">
        <v>98</v>
      </c>
      <c r="F97" s="271" t="s">
        <v>98</v>
      </c>
      <c r="G97" s="271" t="s">
        <v>98</v>
      </c>
      <c r="H97" s="272" t="s">
        <v>98</v>
      </c>
      <c r="I97" s="270" t="s">
        <v>98</v>
      </c>
      <c r="J97" s="273" t="s">
        <v>98</v>
      </c>
      <c r="K97" s="274">
        <v>300</v>
      </c>
      <c r="L97" s="275" t="s">
        <v>98</v>
      </c>
      <c r="M97" s="276" t="s">
        <v>330</v>
      </c>
      <c r="N97" s="277" t="s">
        <v>317</v>
      </c>
      <c r="O97" s="278" t="s">
        <v>308</v>
      </c>
      <c r="P97" s="265" t="s">
        <v>324</v>
      </c>
    </row>
    <row r="98" spans="1:18" ht="21.75" customHeight="1" x14ac:dyDescent="0.15">
      <c r="A98" s="266"/>
      <c r="B98" s="267"/>
      <c r="C98" s="268" t="s">
        <v>331</v>
      </c>
      <c r="D98" s="269" t="s">
        <v>60</v>
      </c>
      <c r="E98" s="270" t="s">
        <v>98</v>
      </c>
      <c r="F98" s="271" t="s">
        <v>98</v>
      </c>
      <c r="G98" s="271" t="s">
        <v>98</v>
      </c>
      <c r="H98" s="272" t="s">
        <v>98</v>
      </c>
      <c r="I98" s="270" t="s">
        <v>98</v>
      </c>
      <c r="J98" s="273" t="s">
        <v>98</v>
      </c>
      <c r="K98" s="274">
        <v>360</v>
      </c>
      <c r="L98" s="275" t="s">
        <v>98</v>
      </c>
      <c r="M98" s="276" t="s">
        <v>332</v>
      </c>
      <c r="N98" s="277" t="s">
        <v>317</v>
      </c>
      <c r="O98" s="278" t="s">
        <v>308</v>
      </c>
      <c r="P98" s="265" t="s">
        <v>324</v>
      </c>
    </row>
    <row r="99" spans="1:18" ht="21.75" customHeight="1" x14ac:dyDescent="0.15">
      <c r="A99" s="137"/>
      <c r="B99" s="244"/>
      <c r="C99" s="139"/>
      <c r="D99" s="140"/>
      <c r="E99" s="141"/>
      <c r="F99" s="145"/>
      <c r="G99" s="145"/>
      <c r="H99" s="146"/>
      <c r="I99" s="141"/>
      <c r="J99" s="207"/>
      <c r="K99" s="279"/>
      <c r="L99" s="223"/>
      <c r="M99" s="245"/>
      <c r="N99" s="280"/>
      <c r="O99" s="281"/>
      <c r="P99" s="282"/>
    </row>
    <row r="100" spans="1:18" ht="21.75" customHeight="1" x14ac:dyDescent="0.15">
      <c r="A100" s="188">
        <v>8</v>
      </c>
      <c r="B100" s="189" t="s">
        <v>333</v>
      </c>
      <c r="C100" s="190"/>
      <c r="D100" s="140"/>
      <c r="E100" s="141"/>
      <c r="F100" s="145"/>
      <c r="G100" s="145"/>
      <c r="H100" s="146"/>
      <c r="I100" s="141"/>
      <c r="J100" s="207"/>
      <c r="K100" s="279"/>
      <c r="L100" s="223"/>
      <c r="M100" s="245"/>
      <c r="N100" s="280"/>
      <c r="O100" s="281"/>
      <c r="P100" s="282"/>
    </row>
    <row r="101" spans="1:18" ht="21.75" customHeight="1" x14ac:dyDescent="0.15">
      <c r="A101" s="188"/>
      <c r="B101" s="283"/>
      <c r="C101" s="284" t="s">
        <v>334</v>
      </c>
      <c r="D101" s="140" t="s">
        <v>335</v>
      </c>
      <c r="E101" s="219" t="s">
        <v>306</v>
      </c>
      <c r="F101" s="220"/>
      <c r="G101" s="220"/>
      <c r="H101" s="221"/>
      <c r="I101" s="141" t="s">
        <v>98</v>
      </c>
      <c r="J101" s="207" t="s">
        <v>98</v>
      </c>
      <c r="K101" s="207" t="s">
        <v>98</v>
      </c>
      <c r="L101" s="223" t="s">
        <v>98</v>
      </c>
      <c r="M101" s="245" t="s">
        <v>336</v>
      </c>
      <c r="N101" s="123" t="s">
        <v>114</v>
      </c>
      <c r="O101" s="124" t="s">
        <v>115</v>
      </c>
      <c r="P101" s="285" t="s">
        <v>337</v>
      </c>
    </row>
    <row r="102" spans="1:18" ht="21.75" customHeight="1" x14ac:dyDescent="0.15">
      <c r="A102" s="137"/>
      <c r="B102" s="244"/>
      <c r="C102" s="139"/>
      <c r="D102" s="140"/>
      <c r="E102" s="141"/>
      <c r="F102" s="145"/>
      <c r="G102" s="145"/>
      <c r="H102" s="146"/>
      <c r="I102" s="286"/>
      <c r="J102" s="287"/>
      <c r="K102" s="279"/>
      <c r="L102" s="288"/>
      <c r="M102" s="122"/>
      <c r="N102" s="123"/>
      <c r="O102" s="124"/>
      <c r="P102" s="125"/>
    </row>
    <row r="103" spans="1:18" s="135" customFormat="1" ht="21.9" customHeight="1" x14ac:dyDescent="0.2">
      <c r="A103" s="126" t="s">
        <v>338</v>
      </c>
      <c r="B103" s="127" t="s">
        <v>339</v>
      </c>
      <c r="C103" s="128"/>
      <c r="D103" s="129"/>
      <c r="E103" s="130"/>
      <c r="F103" s="131"/>
      <c r="G103" s="132"/>
      <c r="H103" s="133"/>
      <c r="I103" s="130"/>
      <c r="J103" s="131"/>
      <c r="K103" s="132"/>
      <c r="L103" s="133"/>
      <c r="M103" s="134"/>
      <c r="N103" s="123"/>
      <c r="O103" s="124"/>
      <c r="P103" s="125"/>
      <c r="R103" s="136"/>
    </row>
    <row r="104" spans="1:18" ht="21.9" customHeight="1" x14ac:dyDescent="0.15">
      <c r="A104" s="114">
        <v>1</v>
      </c>
      <c r="B104" s="115" t="s">
        <v>340</v>
      </c>
      <c r="C104" s="116"/>
      <c r="D104" s="117"/>
      <c r="E104" s="118"/>
      <c r="F104" s="119"/>
      <c r="G104" s="120"/>
      <c r="H104" s="121"/>
      <c r="I104" s="118"/>
      <c r="J104" s="119"/>
      <c r="K104" s="120"/>
      <c r="L104" s="121"/>
      <c r="M104" s="122"/>
      <c r="N104" s="123"/>
      <c r="O104" s="124"/>
      <c r="P104" s="125"/>
    </row>
    <row r="105" spans="1:18" ht="21.9" customHeight="1" x14ac:dyDescent="0.15">
      <c r="A105" s="137"/>
      <c r="B105" s="150" t="s">
        <v>95</v>
      </c>
      <c r="C105" s="151" t="s">
        <v>341</v>
      </c>
      <c r="D105" s="140"/>
      <c r="E105" s="154"/>
      <c r="F105" s="155"/>
      <c r="G105" s="156"/>
      <c r="H105" s="157"/>
      <c r="I105" s="158"/>
      <c r="J105" s="159"/>
      <c r="K105" s="160"/>
      <c r="L105" s="161"/>
      <c r="M105" s="162"/>
      <c r="N105" s="123"/>
      <c r="O105" s="124"/>
      <c r="P105" s="125"/>
    </row>
    <row r="106" spans="1:18" ht="21.9" customHeight="1" x14ac:dyDescent="0.15">
      <c r="A106" s="137"/>
      <c r="B106" s="150"/>
      <c r="C106" s="163" t="s">
        <v>140</v>
      </c>
      <c r="D106" s="140" t="s">
        <v>147</v>
      </c>
      <c r="E106" s="234">
        <v>7</v>
      </c>
      <c r="F106" s="145" t="s">
        <v>98</v>
      </c>
      <c r="G106" s="143">
        <v>5</v>
      </c>
      <c r="H106" s="146" t="s">
        <v>98</v>
      </c>
      <c r="I106" s="234">
        <v>1.5</v>
      </c>
      <c r="J106" s="145" t="s">
        <v>98</v>
      </c>
      <c r="K106" s="145" t="s">
        <v>98</v>
      </c>
      <c r="L106" s="146" t="s">
        <v>98</v>
      </c>
      <c r="M106" s="165" t="s">
        <v>342</v>
      </c>
      <c r="N106" s="123" t="s">
        <v>114</v>
      </c>
      <c r="O106" s="124" t="s">
        <v>115</v>
      </c>
      <c r="P106" s="125" t="s">
        <v>343</v>
      </c>
    </row>
    <row r="107" spans="1:18" ht="21.9" customHeight="1" x14ac:dyDescent="0.15">
      <c r="A107" s="137"/>
      <c r="B107" s="150"/>
      <c r="C107" s="163" t="s">
        <v>344</v>
      </c>
      <c r="D107" s="140" t="s">
        <v>147</v>
      </c>
      <c r="E107" s="234">
        <v>3.5</v>
      </c>
      <c r="F107" s="145" t="s">
        <v>98</v>
      </c>
      <c r="G107" s="143">
        <v>3</v>
      </c>
      <c r="H107" s="146" t="s">
        <v>98</v>
      </c>
      <c r="I107" s="234">
        <v>1</v>
      </c>
      <c r="J107" s="145" t="s">
        <v>98</v>
      </c>
      <c r="K107" s="145" t="s">
        <v>98</v>
      </c>
      <c r="L107" s="146" t="s">
        <v>98</v>
      </c>
      <c r="M107" s="166"/>
      <c r="N107" s="123" t="s">
        <v>114</v>
      </c>
      <c r="O107" s="124" t="s">
        <v>115</v>
      </c>
      <c r="P107" s="125" t="s">
        <v>343</v>
      </c>
    </row>
    <row r="108" spans="1:18" ht="21.9" customHeight="1" x14ac:dyDescent="0.15">
      <c r="A108" s="137"/>
      <c r="B108" s="150"/>
      <c r="C108" s="163" t="s">
        <v>345</v>
      </c>
      <c r="D108" s="140" t="s">
        <v>147</v>
      </c>
      <c r="E108" s="234">
        <v>1.5</v>
      </c>
      <c r="F108" s="145" t="s">
        <v>98</v>
      </c>
      <c r="G108" s="143">
        <v>1</v>
      </c>
      <c r="H108" s="146" t="s">
        <v>98</v>
      </c>
      <c r="I108" s="234">
        <v>0.5</v>
      </c>
      <c r="J108" s="145" t="s">
        <v>98</v>
      </c>
      <c r="K108" s="145" t="s">
        <v>98</v>
      </c>
      <c r="L108" s="146" t="s">
        <v>98</v>
      </c>
      <c r="M108" s="167"/>
      <c r="N108" s="123" t="s">
        <v>114</v>
      </c>
      <c r="O108" s="124" t="s">
        <v>115</v>
      </c>
      <c r="P108" s="125" t="s">
        <v>343</v>
      </c>
    </row>
    <row r="109" spans="1:18" ht="21.9" customHeight="1" x14ac:dyDescent="0.15">
      <c r="A109" s="137"/>
      <c r="B109" s="150"/>
      <c r="C109" s="163"/>
      <c r="D109" s="140"/>
      <c r="E109" s="118"/>
      <c r="F109" s="119"/>
      <c r="G109" s="120"/>
      <c r="H109" s="121"/>
      <c r="I109" s="118"/>
      <c r="J109" s="119"/>
      <c r="K109" s="145"/>
      <c r="L109" s="146"/>
      <c r="M109" s="289"/>
      <c r="N109" s="123"/>
      <c r="O109" s="124"/>
      <c r="P109" s="125"/>
    </row>
    <row r="110" spans="1:18" ht="21.9" customHeight="1" x14ac:dyDescent="0.15">
      <c r="A110" s="114">
        <v>2</v>
      </c>
      <c r="B110" s="115" t="s">
        <v>346</v>
      </c>
      <c r="C110" s="116"/>
      <c r="D110" s="140"/>
      <c r="E110" s="118"/>
      <c r="F110" s="119"/>
      <c r="G110" s="120"/>
      <c r="H110" s="121"/>
      <c r="I110" s="118"/>
      <c r="J110" s="119"/>
      <c r="K110" s="120"/>
      <c r="L110" s="121"/>
      <c r="M110" s="289"/>
      <c r="N110" s="123"/>
      <c r="O110" s="124"/>
      <c r="P110" s="125"/>
    </row>
    <row r="111" spans="1:18" ht="21.9" customHeight="1" x14ac:dyDescent="0.15">
      <c r="A111" s="137"/>
      <c r="B111" s="150" t="s">
        <v>95</v>
      </c>
      <c r="C111" s="151" t="s">
        <v>347</v>
      </c>
      <c r="D111" s="140"/>
      <c r="E111" s="118"/>
      <c r="F111" s="119"/>
      <c r="G111" s="120"/>
      <c r="H111" s="121"/>
      <c r="I111" s="118"/>
      <c r="J111" s="119"/>
      <c r="K111" s="120"/>
      <c r="L111" s="121"/>
      <c r="M111" s="162"/>
      <c r="N111" s="123"/>
      <c r="O111" s="124"/>
      <c r="P111" s="125"/>
    </row>
    <row r="112" spans="1:18" ht="35.1" customHeight="1" x14ac:dyDescent="0.15">
      <c r="A112" s="137"/>
      <c r="B112" s="150"/>
      <c r="C112" s="163" t="s">
        <v>137</v>
      </c>
      <c r="D112" s="140" t="s">
        <v>138</v>
      </c>
      <c r="E112" s="118" t="s">
        <v>98</v>
      </c>
      <c r="F112" s="164">
        <v>200</v>
      </c>
      <c r="G112" s="143">
        <v>120</v>
      </c>
      <c r="H112" s="121" t="s">
        <v>98</v>
      </c>
      <c r="I112" s="141" t="s">
        <v>98</v>
      </c>
      <c r="J112" s="145" t="s">
        <v>98</v>
      </c>
      <c r="K112" s="145" t="s">
        <v>98</v>
      </c>
      <c r="L112" s="146" t="s">
        <v>98</v>
      </c>
      <c r="M112" s="290" t="s">
        <v>348</v>
      </c>
      <c r="N112" s="123" t="s">
        <v>114</v>
      </c>
      <c r="O112" s="124" t="s">
        <v>115</v>
      </c>
      <c r="P112" s="125" t="s">
        <v>349</v>
      </c>
    </row>
    <row r="113" spans="1:18" ht="21.9" customHeight="1" x14ac:dyDescent="0.15">
      <c r="A113" s="137"/>
      <c r="B113" s="150"/>
      <c r="C113" s="163" t="s">
        <v>140</v>
      </c>
      <c r="D113" s="140" t="s">
        <v>138</v>
      </c>
      <c r="E113" s="118" t="s">
        <v>98</v>
      </c>
      <c r="F113" s="119" t="s">
        <v>98</v>
      </c>
      <c r="G113" s="143">
        <v>85</v>
      </c>
      <c r="H113" s="121" t="s">
        <v>98</v>
      </c>
      <c r="I113" s="141" t="s">
        <v>98</v>
      </c>
      <c r="J113" s="145" t="s">
        <v>98</v>
      </c>
      <c r="K113" s="145" t="s">
        <v>98</v>
      </c>
      <c r="L113" s="146" t="s">
        <v>98</v>
      </c>
      <c r="M113" s="165" t="s">
        <v>350</v>
      </c>
      <c r="N113" s="123" t="s">
        <v>114</v>
      </c>
      <c r="O113" s="124" t="s">
        <v>115</v>
      </c>
      <c r="P113" s="125"/>
    </row>
    <row r="114" spans="1:18" ht="21.9" customHeight="1" x14ac:dyDescent="0.15">
      <c r="A114" s="137"/>
      <c r="B114" s="150"/>
      <c r="C114" s="291" t="s">
        <v>351</v>
      </c>
      <c r="D114" s="140" t="s">
        <v>138</v>
      </c>
      <c r="E114" s="118" t="s">
        <v>98</v>
      </c>
      <c r="F114" s="119" t="s">
        <v>98</v>
      </c>
      <c r="G114" s="143">
        <v>60</v>
      </c>
      <c r="H114" s="121" t="s">
        <v>98</v>
      </c>
      <c r="I114" s="141" t="s">
        <v>98</v>
      </c>
      <c r="J114" s="145" t="s">
        <v>98</v>
      </c>
      <c r="K114" s="145" t="s">
        <v>98</v>
      </c>
      <c r="L114" s="146" t="s">
        <v>98</v>
      </c>
      <c r="M114" s="166"/>
      <c r="N114" s="123" t="s">
        <v>114</v>
      </c>
      <c r="O114" s="124" t="s">
        <v>115</v>
      </c>
      <c r="P114" s="125"/>
    </row>
    <row r="115" spans="1:18" ht="21.9" customHeight="1" x14ac:dyDescent="0.15">
      <c r="A115" s="137"/>
      <c r="B115" s="150"/>
      <c r="C115" s="163" t="s">
        <v>352</v>
      </c>
      <c r="D115" s="140" t="s">
        <v>138</v>
      </c>
      <c r="E115" s="118" t="s">
        <v>98</v>
      </c>
      <c r="F115" s="119" t="s">
        <v>98</v>
      </c>
      <c r="G115" s="143">
        <v>60</v>
      </c>
      <c r="H115" s="121" t="s">
        <v>98</v>
      </c>
      <c r="I115" s="141" t="s">
        <v>98</v>
      </c>
      <c r="J115" s="145" t="s">
        <v>98</v>
      </c>
      <c r="K115" s="145" t="s">
        <v>98</v>
      </c>
      <c r="L115" s="146" t="s">
        <v>98</v>
      </c>
      <c r="M115" s="166"/>
      <c r="N115" s="123" t="s">
        <v>114</v>
      </c>
      <c r="O115" s="124" t="s">
        <v>115</v>
      </c>
      <c r="P115" s="125"/>
    </row>
    <row r="116" spans="1:18" ht="21.9" customHeight="1" x14ac:dyDescent="0.15">
      <c r="A116" s="137"/>
      <c r="B116" s="150"/>
      <c r="C116" s="163" t="s">
        <v>353</v>
      </c>
      <c r="D116" s="140" t="s">
        <v>138</v>
      </c>
      <c r="E116" s="118" t="s">
        <v>98</v>
      </c>
      <c r="F116" s="119" t="s">
        <v>98</v>
      </c>
      <c r="G116" s="143">
        <v>60</v>
      </c>
      <c r="H116" s="121" t="s">
        <v>98</v>
      </c>
      <c r="I116" s="141" t="s">
        <v>98</v>
      </c>
      <c r="J116" s="145" t="s">
        <v>98</v>
      </c>
      <c r="K116" s="145" t="s">
        <v>98</v>
      </c>
      <c r="L116" s="146" t="s">
        <v>98</v>
      </c>
      <c r="M116" s="167"/>
      <c r="N116" s="123" t="s">
        <v>114</v>
      </c>
      <c r="O116" s="124" t="s">
        <v>115</v>
      </c>
      <c r="P116" s="125"/>
    </row>
    <row r="117" spans="1:18" ht="21.9" customHeight="1" x14ac:dyDescent="0.15">
      <c r="A117" s="114"/>
      <c r="B117" s="115"/>
      <c r="C117" s="116"/>
      <c r="D117" s="140"/>
      <c r="E117" s="118"/>
      <c r="F117" s="119"/>
      <c r="G117" s="120"/>
      <c r="H117" s="121"/>
      <c r="I117" s="141"/>
      <c r="J117" s="145"/>
      <c r="K117" s="145"/>
      <c r="L117" s="146"/>
      <c r="M117" s="289"/>
      <c r="N117" s="123"/>
      <c r="O117" s="124"/>
      <c r="P117" s="125"/>
    </row>
    <row r="118" spans="1:18" ht="21.9" customHeight="1" x14ac:dyDescent="0.15">
      <c r="A118" s="114">
        <v>3</v>
      </c>
      <c r="B118" s="115" t="s">
        <v>354</v>
      </c>
      <c r="C118" s="163"/>
      <c r="D118" s="140"/>
      <c r="E118" s="118"/>
      <c r="F118" s="119"/>
      <c r="G118" s="120"/>
      <c r="H118" s="121"/>
      <c r="I118" s="141"/>
      <c r="J118" s="145"/>
      <c r="K118" s="145"/>
      <c r="L118" s="146"/>
      <c r="M118" s="289"/>
      <c r="N118" s="123"/>
      <c r="O118" s="124"/>
      <c r="P118" s="125"/>
    </row>
    <row r="119" spans="1:18" ht="21.9" customHeight="1" x14ac:dyDescent="0.15">
      <c r="A119" s="137"/>
      <c r="B119" s="150" t="s">
        <v>95</v>
      </c>
      <c r="C119" s="151" t="s">
        <v>355</v>
      </c>
      <c r="D119" s="140"/>
      <c r="E119" s="118"/>
      <c r="F119" s="119"/>
      <c r="G119" s="120"/>
      <c r="H119" s="121"/>
      <c r="I119" s="118"/>
      <c r="J119" s="119"/>
      <c r="K119" s="120"/>
      <c r="L119" s="121"/>
      <c r="M119" s="162"/>
      <c r="N119" s="123"/>
      <c r="O119" s="124"/>
      <c r="P119" s="125" t="s">
        <v>356</v>
      </c>
    </row>
    <row r="120" spans="1:18" ht="60" customHeight="1" x14ac:dyDescent="0.15">
      <c r="A120" s="137"/>
      <c r="B120" s="150"/>
      <c r="C120" s="163" t="s">
        <v>137</v>
      </c>
      <c r="D120" s="140" t="s">
        <v>138</v>
      </c>
      <c r="E120" s="118" t="s">
        <v>98</v>
      </c>
      <c r="F120" s="164">
        <v>500</v>
      </c>
      <c r="G120" s="143">
        <v>400</v>
      </c>
      <c r="H120" s="144">
        <v>200</v>
      </c>
      <c r="I120" s="141" t="s">
        <v>98</v>
      </c>
      <c r="J120" s="145" t="s">
        <v>98</v>
      </c>
      <c r="K120" s="145" t="s">
        <v>98</v>
      </c>
      <c r="L120" s="146" t="s">
        <v>98</v>
      </c>
      <c r="M120" s="125" t="s">
        <v>357</v>
      </c>
      <c r="N120" s="123" t="s">
        <v>114</v>
      </c>
      <c r="O120" s="124" t="s">
        <v>115</v>
      </c>
      <c r="P120" s="125" t="s">
        <v>358</v>
      </c>
    </row>
    <row r="121" spans="1:18" ht="51" customHeight="1" x14ac:dyDescent="0.15">
      <c r="A121" s="137"/>
      <c r="B121" s="150"/>
      <c r="C121" s="163" t="s">
        <v>140</v>
      </c>
      <c r="D121" s="140" t="s">
        <v>138</v>
      </c>
      <c r="E121" s="219" t="s">
        <v>306</v>
      </c>
      <c r="F121" s="220"/>
      <c r="G121" s="220"/>
      <c r="H121" s="221"/>
      <c r="I121" s="141" t="s">
        <v>98</v>
      </c>
      <c r="J121" s="145" t="s">
        <v>98</v>
      </c>
      <c r="K121" s="145" t="s">
        <v>98</v>
      </c>
      <c r="L121" s="146" t="s">
        <v>98</v>
      </c>
      <c r="M121" s="125" t="s">
        <v>359</v>
      </c>
      <c r="N121" s="123" t="s">
        <v>114</v>
      </c>
      <c r="O121" s="124" t="s">
        <v>115</v>
      </c>
      <c r="P121" s="125" t="s">
        <v>360</v>
      </c>
    </row>
    <row r="122" spans="1:18" ht="51" customHeight="1" x14ac:dyDescent="0.15">
      <c r="A122" s="137"/>
      <c r="B122" s="150"/>
      <c r="C122" s="291" t="s">
        <v>351</v>
      </c>
      <c r="D122" s="140" t="s">
        <v>138</v>
      </c>
      <c r="E122" s="219" t="s">
        <v>306</v>
      </c>
      <c r="F122" s="220"/>
      <c r="G122" s="220"/>
      <c r="H122" s="221"/>
      <c r="I122" s="141" t="s">
        <v>98</v>
      </c>
      <c r="J122" s="145" t="s">
        <v>98</v>
      </c>
      <c r="K122" s="145" t="s">
        <v>98</v>
      </c>
      <c r="L122" s="146" t="s">
        <v>98</v>
      </c>
      <c r="M122" s="125" t="s">
        <v>361</v>
      </c>
      <c r="N122" s="123" t="s">
        <v>114</v>
      </c>
      <c r="O122" s="124" t="s">
        <v>115</v>
      </c>
      <c r="P122" s="125" t="s">
        <v>362</v>
      </c>
    </row>
    <row r="123" spans="1:18" ht="74.25" customHeight="1" x14ac:dyDescent="0.15">
      <c r="A123" s="137"/>
      <c r="B123" s="150"/>
      <c r="C123" s="291" t="s">
        <v>352</v>
      </c>
      <c r="D123" s="140" t="s">
        <v>138</v>
      </c>
      <c r="E123" s="219" t="s">
        <v>306</v>
      </c>
      <c r="F123" s="220"/>
      <c r="G123" s="220"/>
      <c r="H123" s="221"/>
      <c r="I123" s="141" t="s">
        <v>98</v>
      </c>
      <c r="J123" s="145" t="s">
        <v>98</v>
      </c>
      <c r="K123" s="145" t="s">
        <v>98</v>
      </c>
      <c r="L123" s="146" t="s">
        <v>98</v>
      </c>
      <c r="M123" s="125" t="s">
        <v>363</v>
      </c>
      <c r="N123" s="123" t="s">
        <v>114</v>
      </c>
      <c r="O123" s="124" t="s">
        <v>115</v>
      </c>
      <c r="P123" s="125" t="s">
        <v>364</v>
      </c>
    </row>
    <row r="124" spans="1:18" ht="21.9" customHeight="1" x14ac:dyDescent="0.15">
      <c r="A124" s="137"/>
      <c r="B124" s="150"/>
      <c r="C124" s="163" t="s">
        <v>353</v>
      </c>
      <c r="D124" s="140" t="s">
        <v>138</v>
      </c>
      <c r="E124" s="118" t="s">
        <v>98</v>
      </c>
      <c r="F124" s="119" t="s">
        <v>98</v>
      </c>
      <c r="G124" s="143">
        <v>90</v>
      </c>
      <c r="H124" s="121" t="s">
        <v>98</v>
      </c>
      <c r="I124" s="141" t="s">
        <v>98</v>
      </c>
      <c r="J124" s="145" t="s">
        <v>98</v>
      </c>
      <c r="K124" s="145" t="s">
        <v>98</v>
      </c>
      <c r="L124" s="146" t="s">
        <v>98</v>
      </c>
      <c r="M124" s="162"/>
      <c r="N124" s="123" t="s">
        <v>114</v>
      </c>
      <c r="O124" s="124" t="s">
        <v>115</v>
      </c>
      <c r="P124" s="125"/>
    </row>
    <row r="125" spans="1:18" s="176" customFormat="1" ht="21.9" customHeight="1" x14ac:dyDescent="0.2">
      <c r="A125" s="188"/>
      <c r="B125" s="292" t="s">
        <v>102</v>
      </c>
      <c r="C125" s="293" t="s">
        <v>365</v>
      </c>
      <c r="D125" s="294"/>
      <c r="E125" s="222"/>
      <c r="F125" s="207"/>
      <c r="G125" s="207"/>
      <c r="H125" s="223"/>
      <c r="I125" s="222"/>
      <c r="J125" s="207"/>
      <c r="K125" s="207"/>
      <c r="L125" s="223"/>
      <c r="M125" s="192"/>
      <c r="N125" s="123"/>
      <c r="O125" s="124"/>
      <c r="P125" s="125"/>
      <c r="R125" s="64"/>
    </row>
    <row r="126" spans="1:18" s="176" customFormat="1" ht="33" customHeight="1" x14ac:dyDescent="0.2">
      <c r="A126" s="168"/>
      <c r="B126" s="182"/>
      <c r="C126" s="295" t="s">
        <v>366</v>
      </c>
      <c r="D126" s="171" t="s">
        <v>138</v>
      </c>
      <c r="E126" s="118" t="s">
        <v>98</v>
      </c>
      <c r="F126" s="119" t="s">
        <v>98</v>
      </c>
      <c r="G126" s="164">
        <v>25</v>
      </c>
      <c r="H126" s="121" t="s">
        <v>98</v>
      </c>
      <c r="I126" s="141" t="s">
        <v>98</v>
      </c>
      <c r="J126" s="145" t="s">
        <v>98</v>
      </c>
      <c r="K126" s="145" t="s">
        <v>98</v>
      </c>
      <c r="L126" s="146" t="s">
        <v>98</v>
      </c>
      <c r="M126" s="296" t="s">
        <v>367</v>
      </c>
      <c r="N126" s="123" t="s">
        <v>114</v>
      </c>
      <c r="O126" s="124" t="s">
        <v>115</v>
      </c>
      <c r="P126" s="125" t="s">
        <v>368</v>
      </c>
      <c r="R126" s="64"/>
    </row>
    <row r="127" spans="1:18" s="176" customFormat="1" ht="33" customHeight="1" x14ac:dyDescent="0.2">
      <c r="A127" s="168"/>
      <c r="B127" s="182"/>
      <c r="C127" s="295" t="s">
        <v>369</v>
      </c>
      <c r="D127" s="171" t="s">
        <v>138</v>
      </c>
      <c r="E127" s="118" t="s">
        <v>98</v>
      </c>
      <c r="F127" s="119" t="s">
        <v>98</v>
      </c>
      <c r="G127" s="164">
        <v>10</v>
      </c>
      <c r="H127" s="121" t="s">
        <v>98</v>
      </c>
      <c r="I127" s="141" t="s">
        <v>98</v>
      </c>
      <c r="J127" s="145" t="s">
        <v>98</v>
      </c>
      <c r="K127" s="145" t="s">
        <v>98</v>
      </c>
      <c r="L127" s="146" t="s">
        <v>98</v>
      </c>
      <c r="M127" s="297"/>
      <c r="N127" s="123" t="s">
        <v>114</v>
      </c>
      <c r="O127" s="124" t="s">
        <v>115</v>
      </c>
      <c r="P127" s="125" t="s">
        <v>370</v>
      </c>
      <c r="R127" s="64"/>
    </row>
    <row r="128" spans="1:18" s="176" customFormat="1" ht="21.9" customHeight="1" x14ac:dyDescent="0.2">
      <c r="A128" s="168"/>
      <c r="B128" s="169"/>
      <c r="C128" s="295"/>
      <c r="D128" s="171"/>
      <c r="E128" s="118"/>
      <c r="F128" s="119"/>
      <c r="G128" s="120"/>
      <c r="H128" s="121"/>
      <c r="I128" s="141"/>
      <c r="J128" s="145"/>
      <c r="K128" s="120"/>
      <c r="L128" s="146"/>
      <c r="M128" s="298"/>
      <c r="N128" s="123"/>
      <c r="O128" s="124"/>
      <c r="P128" s="125"/>
      <c r="R128" s="64"/>
    </row>
    <row r="129" spans="1:18" s="176" customFormat="1" ht="21.9" customHeight="1" x14ac:dyDescent="0.2">
      <c r="A129" s="114">
        <v>4</v>
      </c>
      <c r="B129" s="115" t="s">
        <v>371</v>
      </c>
      <c r="C129" s="163"/>
      <c r="D129" s="171"/>
      <c r="E129" s="118"/>
      <c r="F129" s="119"/>
      <c r="G129" s="120"/>
      <c r="H129" s="121"/>
      <c r="I129" s="141"/>
      <c r="J129" s="145"/>
      <c r="K129" s="120"/>
      <c r="L129" s="146"/>
      <c r="M129" s="298"/>
      <c r="N129" s="123"/>
      <c r="O129" s="124"/>
      <c r="P129" s="125"/>
      <c r="R129" s="64"/>
    </row>
    <row r="130" spans="1:18" ht="21.9" customHeight="1" x14ac:dyDescent="0.15">
      <c r="A130" s="137"/>
      <c r="B130" s="150" t="s">
        <v>95</v>
      </c>
      <c r="C130" s="151" t="s">
        <v>372</v>
      </c>
      <c r="D130" s="140"/>
      <c r="E130" s="118"/>
      <c r="F130" s="119"/>
      <c r="G130" s="120"/>
      <c r="H130" s="121"/>
      <c r="I130" s="118"/>
      <c r="J130" s="119"/>
      <c r="K130" s="120"/>
      <c r="L130" s="121"/>
      <c r="M130" s="162"/>
      <c r="N130" s="123"/>
      <c r="O130" s="124"/>
      <c r="P130" s="204"/>
    </row>
    <row r="131" spans="1:18" ht="58.5" customHeight="1" x14ac:dyDescent="0.15">
      <c r="A131" s="137"/>
      <c r="B131" s="150"/>
      <c r="C131" s="163" t="s">
        <v>137</v>
      </c>
      <c r="D131" s="140" t="s">
        <v>138</v>
      </c>
      <c r="E131" s="219" t="s">
        <v>306</v>
      </c>
      <c r="F131" s="220"/>
      <c r="G131" s="220"/>
      <c r="H131" s="221"/>
      <c r="I131" s="141" t="s">
        <v>98</v>
      </c>
      <c r="J131" s="145" t="s">
        <v>98</v>
      </c>
      <c r="K131" s="145" t="s">
        <v>98</v>
      </c>
      <c r="L131" s="146" t="s">
        <v>98</v>
      </c>
      <c r="M131" s="299" t="s">
        <v>373</v>
      </c>
      <c r="N131" s="123" t="s">
        <v>114</v>
      </c>
      <c r="O131" s="124" t="s">
        <v>115</v>
      </c>
      <c r="P131" s="299" t="s">
        <v>374</v>
      </c>
    </row>
    <row r="132" spans="1:18" ht="47.25" customHeight="1" x14ac:dyDescent="0.15">
      <c r="A132" s="137"/>
      <c r="B132" s="150"/>
      <c r="C132" s="163" t="s">
        <v>140</v>
      </c>
      <c r="D132" s="140" t="s">
        <v>138</v>
      </c>
      <c r="E132" s="219" t="s">
        <v>306</v>
      </c>
      <c r="F132" s="220"/>
      <c r="G132" s="220"/>
      <c r="H132" s="221"/>
      <c r="I132" s="141" t="s">
        <v>98</v>
      </c>
      <c r="J132" s="145" t="s">
        <v>98</v>
      </c>
      <c r="K132" s="145" t="s">
        <v>98</v>
      </c>
      <c r="L132" s="146" t="s">
        <v>98</v>
      </c>
      <c r="M132" s="125" t="s">
        <v>359</v>
      </c>
      <c r="N132" s="123" t="s">
        <v>114</v>
      </c>
      <c r="O132" s="124" t="s">
        <v>115</v>
      </c>
      <c r="P132" s="299" t="s">
        <v>375</v>
      </c>
    </row>
    <row r="133" spans="1:18" ht="47.25" customHeight="1" x14ac:dyDescent="0.15">
      <c r="A133" s="137"/>
      <c r="B133" s="150"/>
      <c r="C133" s="291" t="s">
        <v>351</v>
      </c>
      <c r="D133" s="140" t="s">
        <v>138</v>
      </c>
      <c r="E133" s="219" t="s">
        <v>306</v>
      </c>
      <c r="F133" s="220"/>
      <c r="G133" s="220"/>
      <c r="H133" s="221"/>
      <c r="I133" s="141" t="s">
        <v>98</v>
      </c>
      <c r="J133" s="145" t="s">
        <v>98</v>
      </c>
      <c r="K133" s="145" t="s">
        <v>98</v>
      </c>
      <c r="L133" s="146" t="s">
        <v>98</v>
      </c>
      <c r="M133" s="125" t="s">
        <v>361</v>
      </c>
      <c r="N133" s="123" t="s">
        <v>114</v>
      </c>
      <c r="O133" s="124" t="s">
        <v>115</v>
      </c>
      <c r="P133" s="299" t="s">
        <v>376</v>
      </c>
    </row>
    <row r="134" spans="1:18" ht="78" customHeight="1" x14ac:dyDescent="0.15">
      <c r="A134" s="137"/>
      <c r="B134" s="150"/>
      <c r="C134" s="291" t="s">
        <v>352</v>
      </c>
      <c r="D134" s="140" t="s">
        <v>138</v>
      </c>
      <c r="E134" s="219" t="s">
        <v>306</v>
      </c>
      <c r="F134" s="220"/>
      <c r="G134" s="220"/>
      <c r="H134" s="221"/>
      <c r="I134" s="141" t="s">
        <v>98</v>
      </c>
      <c r="J134" s="145" t="s">
        <v>98</v>
      </c>
      <c r="K134" s="145" t="s">
        <v>98</v>
      </c>
      <c r="L134" s="146" t="s">
        <v>98</v>
      </c>
      <c r="M134" s="125" t="s">
        <v>363</v>
      </c>
      <c r="N134" s="123" t="s">
        <v>114</v>
      </c>
      <c r="O134" s="124" t="s">
        <v>115</v>
      </c>
      <c r="P134" s="299" t="s">
        <v>377</v>
      </c>
    </row>
    <row r="135" spans="1:18" ht="21.9" customHeight="1" x14ac:dyDescent="0.15">
      <c r="A135" s="137"/>
      <c r="B135" s="187"/>
      <c r="C135" s="163" t="s">
        <v>353</v>
      </c>
      <c r="D135" s="140" t="s">
        <v>138</v>
      </c>
      <c r="E135" s="118" t="s">
        <v>98</v>
      </c>
      <c r="F135" s="119" t="s">
        <v>98</v>
      </c>
      <c r="G135" s="143">
        <v>50</v>
      </c>
      <c r="H135" s="121" t="s">
        <v>98</v>
      </c>
      <c r="I135" s="141" t="s">
        <v>98</v>
      </c>
      <c r="J135" s="145" t="s">
        <v>98</v>
      </c>
      <c r="K135" s="145" t="s">
        <v>98</v>
      </c>
      <c r="L135" s="146" t="s">
        <v>98</v>
      </c>
      <c r="M135" s="162"/>
      <c r="N135" s="123" t="s">
        <v>114</v>
      </c>
      <c r="O135" s="124" t="s">
        <v>115</v>
      </c>
      <c r="P135" s="125"/>
    </row>
    <row r="136" spans="1:18" s="176" customFormat="1" ht="21.9" customHeight="1" x14ac:dyDescent="0.2">
      <c r="A136" s="168"/>
      <c r="B136" s="150" t="s">
        <v>102</v>
      </c>
      <c r="C136" s="203" t="s">
        <v>378</v>
      </c>
      <c r="D136" s="171"/>
      <c r="E136" s="222"/>
      <c r="F136" s="207"/>
      <c r="G136" s="207"/>
      <c r="H136" s="223"/>
      <c r="I136" s="222"/>
      <c r="J136" s="207"/>
      <c r="K136" s="207"/>
      <c r="L136" s="223"/>
      <c r="M136" s="175"/>
      <c r="N136" s="123"/>
      <c r="O136" s="124"/>
      <c r="P136" s="125"/>
      <c r="R136" s="64"/>
    </row>
    <row r="137" spans="1:18" s="176" customFormat="1" ht="33.75" customHeight="1" x14ac:dyDescent="0.2">
      <c r="A137" s="168"/>
      <c r="B137" s="169"/>
      <c r="C137" s="295" t="s">
        <v>366</v>
      </c>
      <c r="D137" s="171" t="s">
        <v>138</v>
      </c>
      <c r="E137" s="118" t="s">
        <v>98</v>
      </c>
      <c r="F137" s="119" t="s">
        <v>98</v>
      </c>
      <c r="G137" s="178">
        <f>IF(A5="일반 Ver.", 50, 54)</f>
        <v>50</v>
      </c>
      <c r="H137" s="121" t="s">
        <v>98</v>
      </c>
      <c r="I137" s="141" t="s">
        <v>98</v>
      </c>
      <c r="J137" s="145" t="s">
        <v>98</v>
      </c>
      <c r="K137" s="178">
        <f>IF(A5="일반 Ver.", 20, 16)</f>
        <v>20</v>
      </c>
      <c r="L137" s="146" t="s">
        <v>98</v>
      </c>
      <c r="M137" s="296" t="s">
        <v>379</v>
      </c>
      <c r="N137" s="123" t="s">
        <v>114</v>
      </c>
      <c r="O137" s="124" t="s">
        <v>158</v>
      </c>
      <c r="P137" s="125" t="s">
        <v>368</v>
      </c>
      <c r="R137" s="64"/>
    </row>
    <row r="138" spans="1:18" s="176" customFormat="1" ht="33.75" customHeight="1" x14ac:dyDescent="0.2">
      <c r="A138" s="168"/>
      <c r="B138" s="169"/>
      <c r="C138" s="295" t="s">
        <v>369</v>
      </c>
      <c r="D138" s="171" t="s">
        <v>138</v>
      </c>
      <c r="E138" s="118" t="s">
        <v>98</v>
      </c>
      <c r="F138" s="119" t="s">
        <v>98</v>
      </c>
      <c r="G138" s="178">
        <f>IF(A5="일반 Ver.", 20, 22)</f>
        <v>20</v>
      </c>
      <c r="H138" s="121" t="s">
        <v>98</v>
      </c>
      <c r="I138" s="141" t="s">
        <v>98</v>
      </c>
      <c r="J138" s="145" t="s">
        <v>98</v>
      </c>
      <c r="K138" s="178">
        <f>IF(A5="일반 Ver.", 10, 8)</f>
        <v>10</v>
      </c>
      <c r="L138" s="146" t="s">
        <v>98</v>
      </c>
      <c r="M138" s="297"/>
      <c r="N138" s="123" t="s">
        <v>114</v>
      </c>
      <c r="O138" s="124" t="s">
        <v>158</v>
      </c>
      <c r="P138" s="125" t="s">
        <v>370</v>
      </c>
      <c r="R138" s="64"/>
    </row>
    <row r="139" spans="1:18" s="176" customFormat="1" ht="21.9" customHeight="1" x14ac:dyDescent="0.2">
      <c r="A139" s="168"/>
      <c r="B139" s="182"/>
      <c r="C139" s="179"/>
      <c r="D139" s="180"/>
      <c r="E139" s="222"/>
      <c r="F139" s="207"/>
      <c r="G139" s="207"/>
      <c r="H139" s="223"/>
      <c r="I139" s="222"/>
      <c r="J139" s="207"/>
      <c r="K139" s="207"/>
      <c r="L139" s="223"/>
      <c r="M139" s="175"/>
      <c r="N139" s="123"/>
      <c r="O139" s="124"/>
      <c r="P139" s="125"/>
      <c r="R139" s="64"/>
    </row>
    <row r="140" spans="1:18" s="176" customFormat="1" ht="21.9" customHeight="1" x14ac:dyDescent="0.2">
      <c r="A140" s="114">
        <v>5</v>
      </c>
      <c r="B140" s="189" t="s">
        <v>380</v>
      </c>
      <c r="C140" s="190"/>
      <c r="D140" s="229"/>
      <c r="E140" s="230"/>
      <c r="F140" s="231"/>
      <c r="G140" s="119"/>
      <c r="H140" s="121"/>
      <c r="I140" s="230"/>
      <c r="J140" s="231"/>
      <c r="K140" s="119"/>
      <c r="L140" s="121"/>
      <c r="M140" s="192"/>
      <c r="N140" s="224"/>
      <c r="O140" s="243"/>
      <c r="P140" s="226"/>
      <c r="R140" s="64"/>
    </row>
    <row r="141" spans="1:18" ht="104.25" customHeight="1" x14ac:dyDescent="0.15">
      <c r="A141" s="137"/>
      <c r="B141" s="244" t="s">
        <v>95</v>
      </c>
      <c r="C141" s="139" t="s">
        <v>381</v>
      </c>
      <c r="D141" s="183" t="s">
        <v>152</v>
      </c>
      <c r="E141" s="219" t="s">
        <v>306</v>
      </c>
      <c r="F141" s="220"/>
      <c r="G141" s="220"/>
      <c r="H141" s="221"/>
      <c r="I141" s="141" t="s">
        <v>98</v>
      </c>
      <c r="J141" s="145" t="s">
        <v>98</v>
      </c>
      <c r="K141" s="145" t="s">
        <v>98</v>
      </c>
      <c r="L141" s="146" t="s">
        <v>98</v>
      </c>
      <c r="M141" s="245" t="s">
        <v>382</v>
      </c>
      <c r="N141" s="123"/>
      <c r="O141" s="124"/>
      <c r="P141" s="125" t="s">
        <v>383</v>
      </c>
    </row>
    <row r="142" spans="1:18" ht="26.25" customHeight="1" x14ac:dyDescent="0.15">
      <c r="A142" s="137"/>
      <c r="B142" s="244" t="s">
        <v>102</v>
      </c>
      <c r="C142" s="139" t="s">
        <v>384</v>
      </c>
      <c r="D142" s="140" t="s">
        <v>59</v>
      </c>
      <c r="E142" s="141" t="s">
        <v>98</v>
      </c>
      <c r="F142" s="145" t="s">
        <v>98</v>
      </c>
      <c r="G142" s="142">
        <v>40</v>
      </c>
      <c r="H142" s="146" t="s">
        <v>98</v>
      </c>
      <c r="I142" s="141" t="s">
        <v>98</v>
      </c>
      <c r="J142" s="145" t="s">
        <v>98</v>
      </c>
      <c r="K142" s="145" t="s">
        <v>98</v>
      </c>
      <c r="L142" s="146" t="s">
        <v>98</v>
      </c>
      <c r="M142" s="245"/>
      <c r="N142" s="123"/>
      <c r="O142" s="124"/>
      <c r="P142" s="125"/>
    </row>
    <row r="143" spans="1:18" ht="20.25" customHeight="1" x14ac:dyDescent="0.15">
      <c r="A143" s="184"/>
      <c r="B143" s="244"/>
      <c r="C143" s="139"/>
      <c r="D143" s="185"/>
      <c r="E143" s="141"/>
      <c r="F143" s="145"/>
      <c r="G143" s="145"/>
      <c r="H143" s="146"/>
      <c r="I143" s="286"/>
      <c r="J143" s="287"/>
      <c r="K143" s="279"/>
      <c r="L143" s="288"/>
      <c r="M143" s="192"/>
      <c r="N143" s="123"/>
      <c r="O143" s="124"/>
      <c r="P143" s="125"/>
    </row>
    <row r="144" spans="1:18" s="176" customFormat="1" ht="21.9" customHeight="1" x14ac:dyDescent="0.2">
      <c r="A144" s="188" t="s">
        <v>385</v>
      </c>
      <c r="B144" s="189" t="s">
        <v>386</v>
      </c>
      <c r="C144" s="190"/>
      <c r="D144" s="191"/>
      <c r="E144" s="118"/>
      <c r="F144" s="119"/>
      <c r="G144" s="119"/>
      <c r="H144" s="121"/>
      <c r="I144" s="118"/>
      <c r="J144" s="119"/>
      <c r="K144" s="119"/>
      <c r="L144" s="121"/>
      <c r="M144" s="192"/>
      <c r="N144" s="123"/>
      <c r="O144" s="124"/>
      <c r="P144" s="226"/>
      <c r="R144" s="64"/>
    </row>
    <row r="145" spans="1:18" s="176" customFormat="1" ht="21.9" customHeight="1" x14ac:dyDescent="0.2">
      <c r="A145" s="114">
        <v>1</v>
      </c>
      <c r="B145" s="115" t="s">
        <v>387</v>
      </c>
      <c r="C145" s="163"/>
      <c r="D145" s="183"/>
      <c r="E145" s="222"/>
      <c r="F145" s="207"/>
      <c r="G145" s="207"/>
      <c r="H145" s="223"/>
      <c r="I145" s="222"/>
      <c r="J145" s="207"/>
      <c r="K145" s="207"/>
      <c r="L145" s="223"/>
      <c r="M145" s="175"/>
      <c r="N145" s="123"/>
      <c r="O145" s="124"/>
      <c r="P145" s="125"/>
      <c r="R145" s="64"/>
    </row>
    <row r="146" spans="1:18" ht="58.5" customHeight="1" x14ac:dyDescent="0.15">
      <c r="A146" s="114"/>
      <c r="B146" s="150" t="s">
        <v>388</v>
      </c>
      <c r="C146" s="203" t="s">
        <v>389</v>
      </c>
      <c r="D146" s="183" t="s">
        <v>97</v>
      </c>
      <c r="E146" s="205">
        <v>600</v>
      </c>
      <c r="F146" s="119" t="s">
        <v>98</v>
      </c>
      <c r="G146" s="181">
        <v>400</v>
      </c>
      <c r="H146" s="121" t="s">
        <v>98</v>
      </c>
      <c r="I146" s="237" t="s">
        <v>390</v>
      </c>
      <c r="J146" s="238"/>
      <c r="K146" s="238"/>
      <c r="L146" s="239"/>
      <c r="M146" s="175" t="s">
        <v>391</v>
      </c>
      <c r="N146" s="123" t="s">
        <v>114</v>
      </c>
      <c r="O146" s="124" t="s">
        <v>392</v>
      </c>
      <c r="P146" s="125" t="s">
        <v>391</v>
      </c>
    </row>
    <row r="147" spans="1:18" ht="21" customHeight="1" thickBot="1" x14ac:dyDescent="0.2">
      <c r="A147" s="114"/>
      <c r="B147" s="115"/>
      <c r="C147" s="163"/>
      <c r="D147" s="183"/>
      <c r="E147" s="222"/>
      <c r="F147" s="207"/>
      <c r="G147" s="207"/>
      <c r="H147" s="223"/>
      <c r="I147" s="222"/>
      <c r="J147" s="207"/>
      <c r="K147" s="207"/>
      <c r="L147" s="223"/>
      <c r="M147" s="175"/>
      <c r="N147" s="300"/>
      <c r="O147" s="301"/>
      <c r="P147" s="302"/>
    </row>
    <row r="148" spans="1:18" x14ac:dyDescent="0.15">
      <c r="N148" s="305"/>
      <c r="O148" s="305"/>
      <c r="P148" s="305"/>
    </row>
    <row r="149" spans="1:18" ht="13.2" x14ac:dyDescent="0.15">
      <c r="N149" s="306"/>
      <c r="O149" s="306"/>
      <c r="P149" s="306"/>
    </row>
    <row r="150" spans="1:18" x14ac:dyDescent="0.15">
      <c r="N150" s="307"/>
      <c r="O150" s="307"/>
      <c r="P150" s="307"/>
    </row>
    <row r="151" spans="1:18" x14ac:dyDescent="0.15">
      <c r="N151" s="307"/>
      <c r="O151" s="307"/>
      <c r="P151" s="307"/>
    </row>
    <row r="152" spans="1:18" x14ac:dyDescent="0.15">
      <c r="N152" s="307"/>
      <c r="O152" s="307"/>
      <c r="P152" s="307"/>
    </row>
    <row r="153" spans="1:18" x14ac:dyDescent="0.15">
      <c r="N153" s="307"/>
      <c r="O153" s="307"/>
      <c r="P153" s="307"/>
    </row>
    <row r="154" spans="1:18" x14ac:dyDescent="0.15">
      <c r="N154" s="305"/>
      <c r="O154" s="305"/>
      <c r="P154" s="305"/>
    </row>
    <row r="155" spans="1:18" x14ac:dyDescent="0.15">
      <c r="N155" s="305"/>
      <c r="O155" s="305"/>
      <c r="P155" s="305"/>
    </row>
    <row r="156" spans="1:18" x14ac:dyDescent="0.15">
      <c r="N156" s="308"/>
      <c r="O156" s="308"/>
      <c r="P156" s="308"/>
    </row>
    <row r="157" spans="1:18" x14ac:dyDescent="0.15">
      <c r="N157" s="308"/>
      <c r="O157" s="308"/>
      <c r="P157" s="308"/>
    </row>
    <row r="158" spans="1:18" x14ac:dyDescent="0.15">
      <c r="N158" s="308"/>
      <c r="O158" s="308"/>
      <c r="P158" s="308"/>
    </row>
    <row r="159" spans="1:18" x14ac:dyDescent="0.15">
      <c r="N159" s="305"/>
      <c r="O159" s="305"/>
      <c r="P159" s="305"/>
    </row>
    <row r="160" spans="1:18" x14ac:dyDescent="0.15">
      <c r="N160" s="308"/>
      <c r="O160" s="308"/>
      <c r="P160" s="308"/>
    </row>
    <row r="161" spans="14:16" x14ac:dyDescent="0.15">
      <c r="N161" s="307"/>
      <c r="O161" s="307"/>
      <c r="P161" s="307"/>
    </row>
    <row r="162" spans="14:16" x14ac:dyDescent="0.15">
      <c r="N162" s="307"/>
      <c r="O162" s="307"/>
      <c r="P162" s="307"/>
    </row>
    <row r="163" spans="14:16" x14ac:dyDescent="0.15">
      <c r="N163" s="308"/>
      <c r="O163" s="308"/>
      <c r="P163" s="308"/>
    </row>
    <row r="164" spans="14:16" ht="13.2" x14ac:dyDescent="0.15">
      <c r="N164" s="306"/>
      <c r="O164" s="306"/>
      <c r="P164" s="306"/>
    </row>
    <row r="165" spans="14:16" x14ac:dyDescent="0.15">
      <c r="N165" s="309"/>
      <c r="O165" s="309"/>
      <c r="P165" s="309"/>
    </row>
    <row r="166" spans="14:16" x14ac:dyDescent="0.15">
      <c r="N166" s="309"/>
      <c r="O166" s="309"/>
      <c r="P166" s="309"/>
    </row>
    <row r="167" spans="14:16" ht="13.2" x14ac:dyDescent="0.15">
      <c r="N167" s="306"/>
      <c r="O167" s="306"/>
      <c r="P167" s="306"/>
    </row>
    <row r="168" spans="14:16" ht="13.2" x14ac:dyDescent="0.15">
      <c r="N168" s="306"/>
      <c r="O168" s="306"/>
      <c r="P168" s="306"/>
    </row>
    <row r="169" spans="14:16" x14ac:dyDescent="0.15">
      <c r="N169" s="308"/>
      <c r="O169" s="308"/>
      <c r="P169" s="308"/>
    </row>
    <row r="170" spans="14:16" x14ac:dyDescent="0.15">
      <c r="N170" s="308"/>
      <c r="O170" s="308"/>
      <c r="P170" s="308"/>
    </row>
    <row r="171" spans="14:16" x14ac:dyDescent="0.15">
      <c r="N171" s="308"/>
      <c r="O171" s="308"/>
      <c r="P171" s="308"/>
    </row>
  </sheetData>
  <mergeCells count="39">
    <mergeCell ref="I146:L146"/>
    <mergeCell ref="E133:H133"/>
    <mergeCell ref="E134:H134"/>
    <mergeCell ref="M137:M138"/>
    <mergeCell ref="B140:C140"/>
    <mergeCell ref="E141:H141"/>
    <mergeCell ref="B144:C144"/>
    <mergeCell ref="E121:H121"/>
    <mergeCell ref="E122:H122"/>
    <mergeCell ref="E123:H123"/>
    <mergeCell ref="M126:M127"/>
    <mergeCell ref="E131:H131"/>
    <mergeCell ref="E132:H132"/>
    <mergeCell ref="I92:L92"/>
    <mergeCell ref="I93:L93"/>
    <mergeCell ref="B100:C100"/>
    <mergeCell ref="E101:H101"/>
    <mergeCell ref="M106:M108"/>
    <mergeCell ref="M113:M116"/>
    <mergeCell ref="M28:M31"/>
    <mergeCell ref="B56:C56"/>
    <mergeCell ref="B79:C79"/>
    <mergeCell ref="I80:L80"/>
    <mergeCell ref="B82:C82"/>
    <mergeCell ref="E89:H89"/>
    <mergeCell ref="I89:L89"/>
    <mergeCell ref="M8:M10"/>
    <mergeCell ref="N8:P8"/>
    <mergeCell ref="E9:H9"/>
    <mergeCell ref="I9:L9"/>
    <mergeCell ref="N9:N10"/>
    <mergeCell ref="O9:O10"/>
    <mergeCell ref="P9:P10"/>
    <mergeCell ref="A3:C4"/>
    <mergeCell ref="A5:C6"/>
    <mergeCell ref="A8:A10"/>
    <mergeCell ref="B8:C10"/>
    <mergeCell ref="D8:D10"/>
    <mergeCell ref="E8:L8"/>
  </mergeCells>
  <printOptions horizontalCentered="1"/>
  <pageMargins left="0.39370078740157483" right="0.39370078740157483" top="0.39370078740157483" bottom="0.39370078740157483" header="0" footer="0"/>
  <pageSetup paperSize="9" scale="32" fitToHeight="0" orientation="portrait" r:id="rId1"/>
  <headerFooter alignWithMargins="0">
    <oddFooter>&amp;L&amp;9&amp;F&amp;C&amp;9&amp;P of &amp;N</oddFooter>
  </headerFooter>
  <rowBreaks count="2" manualBreakCount="2">
    <brk id="61" max="15" man="1"/>
    <brk id="99" max="15"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ABAFC-4522-4099-AE70-387423A4EC3F}">
  <sheetPr>
    <tabColor rgb="FFFFFF00"/>
    <pageSetUpPr fitToPage="1"/>
  </sheetPr>
  <dimension ref="B1:AN139"/>
  <sheetViews>
    <sheetView view="pageBreakPreview" zoomScale="55" zoomScaleNormal="55" zoomScaleSheetLayoutView="55" workbookViewId="0">
      <selection activeCell="J114" sqref="J114"/>
    </sheetView>
  </sheetViews>
  <sheetFormatPr defaultColWidth="8.8984375" defaultRowHeight="13.2" x14ac:dyDescent="0.2"/>
  <cols>
    <col min="1" max="1" width="2.796875" style="2" customWidth="1"/>
    <col min="2" max="2" width="8.8984375" style="2"/>
    <col min="3" max="3" width="14.69921875" style="2" customWidth="1"/>
    <col min="4" max="4" width="14.69921875" style="320" customWidth="1"/>
    <col min="5" max="5" width="30.8984375" style="2" customWidth="1"/>
    <col min="6" max="6" width="10.3984375" style="2" customWidth="1"/>
    <col min="7" max="8" width="10" style="2" customWidth="1"/>
    <col min="9" max="9" width="9.8984375" style="2" customWidth="1"/>
    <col min="10" max="10" width="6.69921875" style="318" customWidth="1"/>
    <col min="11" max="11" width="7.3984375" style="2" customWidth="1"/>
    <col min="12" max="12" width="6.69921875" style="318" customWidth="1"/>
    <col min="13" max="14" width="8.59765625" style="318" hidden="1" customWidth="1"/>
    <col min="15" max="18" width="8.8984375" style="318" hidden="1" customWidth="1"/>
    <col min="19" max="19" width="12.59765625" style="2" customWidth="1"/>
    <col min="20" max="20" width="8.8984375" style="2"/>
    <col min="21" max="21" width="17.8984375" style="319" customWidth="1"/>
    <col min="22" max="22" width="34" style="320" customWidth="1"/>
    <col min="23" max="23" width="35.8984375" style="2" customWidth="1"/>
    <col min="24" max="24" width="10.09765625" style="2" customWidth="1"/>
    <col min="25" max="26" width="10" style="2" customWidth="1"/>
    <col min="27" max="27" width="8.8984375" style="318"/>
    <col min="28" max="28" width="8.8984375" style="2"/>
    <col min="29" max="29" width="13" style="2" customWidth="1"/>
    <col min="30" max="30" width="8.8984375" style="2"/>
    <col min="31" max="31" width="25.59765625" style="2" customWidth="1"/>
    <col min="32" max="32" width="27.296875" style="321" customWidth="1"/>
    <col min="33" max="33" width="62.09765625" style="2" customWidth="1"/>
    <col min="34" max="34" width="8.8984375" style="2"/>
    <col min="35" max="35" width="8.8984375" style="2" hidden="1" customWidth="1"/>
    <col min="36" max="36" width="8.8984375" style="2"/>
    <col min="37" max="37" width="40.296875" style="2" customWidth="1"/>
    <col min="38" max="38" width="2.796875" style="2" customWidth="1"/>
    <col min="39" max="39" width="8.8984375" style="2"/>
    <col min="40" max="40" width="12.19921875" style="2" bestFit="1" customWidth="1"/>
    <col min="41" max="16384" width="8.8984375" style="2"/>
  </cols>
  <sheetData>
    <row r="1" spans="2:40" ht="42" x14ac:dyDescent="0.5">
      <c r="B1" s="310" t="s">
        <v>393</v>
      </c>
      <c r="C1" s="311"/>
      <c r="D1" s="312"/>
      <c r="E1" s="313"/>
      <c r="F1" s="313"/>
      <c r="G1" s="313"/>
      <c r="H1" s="313"/>
      <c r="I1" s="313"/>
      <c r="J1" s="313"/>
      <c r="K1" s="313"/>
      <c r="L1" s="313"/>
      <c r="M1" s="313"/>
      <c r="N1" s="313"/>
      <c r="O1" s="313"/>
      <c r="P1" s="313"/>
      <c r="Q1" s="313"/>
      <c r="R1" s="313"/>
      <c r="S1" s="313"/>
      <c r="T1" s="313"/>
      <c r="U1" s="312"/>
      <c r="V1" s="312"/>
      <c r="W1" s="313"/>
      <c r="X1" s="313"/>
      <c r="Y1" s="313"/>
      <c r="Z1" s="313"/>
      <c r="AA1" s="313"/>
      <c r="AB1" s="313"/>
      <c r="AC1" s="313"/>
      <c r="AD1" s="313"/>
      <c r="AE1" s="313"/>
      <c r="AF1" s="313"/>
      <c r="AG1" s="313"/>
      <c r="AH1" s="313"/>
      <c r="AI1" s="313"/>
      <c r="AJ1" s="313"/>
      <c r="AK1" s="313"/>
      <c r="AM1" s="314" t="s">
        <v>394</v>
      </c>
    </row>
    <row r="2" spans="2:40" ht="24.75" customHeight="1" x14ac:dyDescent="0.2">
      <c r="B2" s="315" t="s">
        <v>395</v>
      </c>
      <c r="C2" s="315"/>
      <c r="D2" s="315"/>
      <c r="E2" s="315"/>
      <c r="H2" s="316"/>
      <c r="I2" s="317" t="s">
        <v>396</v>
      </c>
      <c r="J2" s="317"/>
    </row>
    <row r="3" spans="2:40" ht="24.75" customHeight="1" x14ac:dyDescent="0.2">
      <c r="B3" s="322" t="s">
        <v>397</v>
      </c>
      <c r="C3" s="323"/>
      <c r="D3" s="324"/>
      <c r="E3" s="325" t="s">
        <v>398</v>
      </c>
      <c r="H3" s="326"/>
      <c r="I3" s="317" t="s">
        <v>399</v>
      </c>
      <c r="J3" s="317"/>
      <c r="M3" s="318" t="s">
        <v>400</v>
      </c>
      <c r="N3" s="318" t="s">
        <v>400</v>
      </c>
      <c r="O3" s="318" t="s">
        <v>400</v>
      </c>
      <c r="P3" s="318" t="s">
        <v>400</v>
      </c>
      <c r="Q3" s="318" t="s">
        <v>400</v>
      </c>
      <c r="R3" s="318" t="s">
        <v>400</v>
      </c>
      <c r="AJ3" s="318"/>
    </row>
    <row r="4" spans="2:40" ht="24.75" customHeight="1" x14ac:dyDescent="0.2">
      <c r="B4" s="327"/>
      <c r="C4" s="327"/>
      <c r="D4" s="327"/>
      <c r="E4" s="328"/>
      <c r="H4" s="329"/>
      <c r="I4" s="317" t="s">
        <v>401</v>
      </c>
      <c r="J4" s="317"/>
      <c r="M4" s="330" t="s">
        <v>402</v>
      </c>
      <c r="N4" s="330" t="s">
        <v>402</v>
      </c>
      <c r="O4" s="330" t="s">
        <v>402</v>
      </c>
      <c r="P4" s="330" t="s">
        <v>402</v>
      </c>
      <c r="Q4" s="330" t="s">
        <v>402</v>
      </c>
      <c r="R4" s="330" t="s">
        <v>402</v>
      </c>
      <c r="AJ4" s="318" t="s">
        <v>402</v>
      </c>
    </row>
    <row r="5" spans="2:40" s="334" customFormat="1" ht="24" customHeight="1" thickBot="1" x14ac:dyDescent="0.3">
      <c r="B5" s="331" t="s">
        <v>403</v>
      </c>
      <c r="C5" s="331"/>
      <c r="D5" s="332"/>
      <c r="E5" s="333"/>
      <c r="F5" s="333"/>
      <c r="G5" s="333"/>
      <c r="H5" s="333"/>
      <c r="I5" s="333"/>
      <c r="J5" s="333"/>
      <c r="K5" s="333"/>
      <c r="L5" s="333"/>
      <c r="M5" s="333"/>
      <c r="N5" s="333"/>
      <c r="O5" s="333"/>
      <c r="P5" s="333"/>
      <c r="Q5" s="333"/>
      <c r="R5" s="333"/>
      <c r="S5" s="333"/>
      <c r="U5" s="333"/>
      <c r="V5" s="335"/>
      <c r="AA5" s="330"/>
      <c r="AF5" s="336"/>
      <c r="AJ5" s="84"/>
      <c r="AK5" s="337">
        <v>46255</v>
      </c>
      <c r="AM5" s="64" t="s">
        <v>404</v>
      </c>
      <c r="AN5" s="338"/>
    </row>
    <row r="6" spans="2:40" s="348" customFormat="1" ht="27" customHeight="1" x14ac:dyDescent="0.25">
      <c r="B6" s="339" t="s">
        <v>405</v>
      </c>
      <c r="C6" s="340"/>
      <c r="D6" s="340"/>
      <c r="E6" s="340"/>
      <c r="F6" s="340"/>
      <c r="G6" s="340"/>
      <c r="H6" s="340"/>
      <c r="I6" s="340"/>
      <c r="J6" s="340"/>
      <c r="K6" s="340"/>
      <c r="L6" s="340"/>
      <c r="M6" s="340"/>
      <c r="N6" s="340"/>
      <c r="O6" s="340"/>
      <c r="P6" s="340"/>
      <c r="Q6" s="340"/>
      <c r="R6" s="340"/>
      <c r="S6" s="341"/>
      <c r="T6" s="342" t="s">
        <v>406</v>
      </c>
      <c r="U6" s="343"/>
      <c r="V6" s="343"/>
      <c r="W6" s="343"/>
      <c r="X6" s="343"/>
      <c r="Y6" s="343"/>
      <c r="Z6" s="343"/>
      <c r="AA6" s="343"/>
      <c r="AB6" s="343"/>
      <c r="AC6" s="344"/>
      <c r="AD6" s="345" t="s">
        <v>407</v>
      </c>
      <c r="AE6" s="346"/>
      <c r="AF6" s="346"/>
      <c r="AG6" s="346"/>
      <c r="AH6" s="346"/>
      <c r="AI6" s="346"/>
      <c r="AJ6" s="346"/>
      <c r="AK6" s="347"/>
    </row>
    <row r="7" spans="2:40" s="334" customFormat="1" ht="78.75" customHeight="1" x14ac:dyDescent="0.25">
      <c r="B7" s="349" t="s">
        <v>408</v>
      </c>
      <c r="C7" s="350" t="s">
        <v>409</v>
      </c>
      <c r="D7" s="350" t="s">
        <v>410</v>
      </c>
      <c r="E7" s="350" t="s">
        <v>411</v>
      </c>
      <c r="F7" s="351" t="s">
        <v>412</v>
      </c>
      <c r="G7" s="351" t="s">
        <v>413</v>
      </c>
      <c r="H7" s="351" t="s">
        <v>414</v>
      </c>
      <c r="I7" s="352" t="s">
        <v>415</v>
      </c>
      <c r="J7" s="352"/>
      <c r="K7" s="353" t="s">
        <v>416</v>
      </c>
      <c r="L7" s="354"/>
      <c r="M7" s="350" t="s">
        <v>417</v>
      </c>
      <c r="N7" s="350" t="s">
        <v>418</v>
      </c>
      <c r="O7" s="350" t="s">
        <v>419</v>
      </c>
      <c r="P7" s="350" t="s">
        <v>420</v>
      </c>
      <c r="Q7" s="350" t="s">
        <v>421</v>
      </c>
      <c r="R7" s="350" t="s">
        <v>422</v>
      </c>
      <c r="S7" s="355" t="s">
        <v>423</v>
      </c>
      <c r="T7" s="356" t="s">
        <v>408</v>
      </c>
      <c r="U7" s="357" t="s">
        <v>409</v>
      </c>
      <c r="V7" s="357" t="s">
        <v>410</v>
      </c>
      <c r="W7" s="357" t="s">
        <v>411</v>
      </c>
      <c r="X7" s="358" t="s">
        <v>412</v>
      </c>
      <c r="Y7" s="358" t="s">
        <v>413</v>
      </c>
      <c r="Z7" s="358" t="s">
        <v>414</v>
      </c>
      <c r="AA7" s="359" t="s">
        <v>424</v>
      </c>
      <c r="AB7" s="359"/>
      <c r="AC7" s="360" t="s">
        <v>423</v>
      </c>
      <c r="AD7" s="361" t="s">
        <v>408</v>
      </c>
      <c r="AE7" s="362" t="s">
        <v>409</v>
      </c>
      <c r="AF7" s="362" t="s">
        <v>410</v>
      </c>
      <c r="AG7" s="363" t="s">
        <v>411</v>
      </c>
      <c r="AH7" s="362" t="s">
        <v>425</v>
      </c>
      <c r="AI7" s="362" t="s">
        <v>426</v>
      </c>
      <c r="AJ7" s="362" t="s">
        <v>427</v>
      </c>
      <c r="AK7" s="364" t="s">
        <v>423</v>
      </c>
    </row>
    <row r="8" spans="2:40" s="334" customFormat="1" ht="25.5" customHeight="1" x14ac:dyDescent="0.25">
      <c r="B8" s="365" t="s">
        <v>428</v>
      </c>
      <c r="C8" s="366" t="s">
        <v>429</v>
      </c>
      <c r="D8" s="367" t="s">
        <v>429</v>
      </c>
      <c r="E8" s="368" t="s">
        <v>430</v>
      </c>
      <c r="F8" s="369"/>
      <c r="G8" s="369"/>
      <c r="H8" s="369"/>
      <c r="I8" s="370">
        <v>4300</v>
      </c>
      <c r="J8" s="371" t="s">
        <v>152</v>
      </c>
      <c r="K8" s="372">
        <v>1</v>
      </c>
      <c r="L8" s="371" t="s">
        <v>138</v>
      </c>
      <c r="M8" s="373">
        <f>IF(I8&gt;0,산출기준_CI!G112,0)</f>
        <v>120</v>
      </c>
      <c r="N8" s="373">
        <f>IF($K8&gt;0, M8*K8, 0)</f>
        <v>120</v>
      </c>
      <c r="O8" s="373">
        <f>IF(I8&gt;0,산출기준_CI!G120,0)</f>
        <v>400</v>
      </c>
      <c r="P8" s="373">
        <f>IF($K8&gt;0, O8*K8, 0)</f>
        <v>400</v>
      </c>
      <c r="Q8" s="373">
        <f>IF(I8=0,0,IF(I8&lt;=2000,150,IF(I8&gt;2000,ROUNDUP((150+(I8-2000)*0.04),0),fault)))</f>
        <v>242</v>
      </c>
      <c r="R8" s="373">
        <f>IF($K8&gt;0, Q8*K8, 0)</f>
        <v>242</v>
      </c>
      <c r="S8" s="374"/>
      <c r="T8" s="365" t="s">
        <v>431</v>
      </c>
      <c r="U8" s="366" t="s">
        <v>432</v>
      </c>
      <c r="V8" s="375" t="s">
        <v>136</v>
      </c>
      <c r="W8" s="376" t="s">
        <v>429</v>
      </c>
      <c r="X8" s="377">
        <v>0.3</v>
      </c>
      <c r="Y8" s="378">
        <v>0.1</v>
      </c>
      <c r="Z8" s="369"/>
      <c r="AA8" s="379">
        <v>4</v>
      </c>
      <c r="AB8" s="371" t="s">
        <v>138</v>
      </c>
      <c r="AC8" s="380"/>
      <c r="AD8" s="365" t="s">
        <v>433</v>
      </c>
      <c r="AE8" s="381" t="s">
        <v>434</v>
      </c>
      <c r="AF8" s="382" t="s">
        <v>435</v>
      </c>
      <c r="AG8" s="383" t="s">
        <v>436</v>
      </c>
      <c r="AH8" s="384" t="s">
        <v>223</v>
      </c>
      <c r="AI8" s="385">
        <f>IF(AH8="1)",1,IF(AH8="2)",1.05,IF(AH8="3)",1.1,IF(AH8="4)",1.15,IF(AH8="5)",1.2,IF(AH8="6)",1.25,IF(AH8="7)",1.15,IF(AH8="8)",1.2,""))))))))</f>
        <v>1.2</v>
      </c>
      <c r="AJ8" s="386" t="str">
        <f>IF(SUM(AI8:AI20)-2&gt;1.19, "상", IF(SUM(AI8:AI20)-2&gt;1.09, "중", IF(AI8&gt;0.99-2,"하","ERROR")))</f>
        <v>상</v>
      </c>
      <c r="AK8" s="387" t="s">
        <v>437</v>
      </c>
    </row>
    <row r="9" spans="2:40" s="334" customFormat="1" ht="25.5" customHeight="1" x14ac:dyDescent="0.25">
      <c r="B9" s="365" t="s">
        <v>438</v>
      </c>
      <c r="C9" s="388"/>
      <c r="D9" s="389"/>
      <c r="E9" s="368" t="s">
        <v>439</v>
      </c>
      <c r="F9" s="369"/>
      <c r="G9" s="369"/>
      <c r="H9" s="369"/>
      <c r="I9" s="372">
        <v>0</v>
      </c>
      <c r="J9" s="371" t="s">
        <v>152</v>
      </c>
      <c r="K9" s="372">
        <v>0</v>
      </c>
      <c r="L9" s="371" t="s">
        <v>138</v>
      </c>
      <c r="M9" s="373">
        <f>IF(I9&gt;0,산출기준_CI!F112,0)</f>
        <v>0</v>
      </c>
      <c r="N9" s="373">
        <f t="shared" ref="N9:N43" si="0">IF($K9&gt;0, M9*K9, 0)</f>
        <v>0</v>
      </c>
      <c r="O9" s="373">
        <f>IF(I9&gt;0,산출기준_CI!F120,0)</f>
        <v>0</v>
      </c>
      <c r="P9" s="373">
        <f t="shared" ref="P9:P43" si="1">IF($K9&gt;0, O9*K9, 0)</f>
        <v>0</v>
      </c>
      <c r="Q9" s="373">
        <f>IF(I9=0,0,IF(I9&lt;=2000,250,IF(I9&gt;2000,ROUNDUP((250+(I9-2000)*0.04),0),fault)))</f>
        <v>0</v>
      </c>
      <c r="R9" s="373">
        <f t="shared" ref="R9:R43" si="2">IF($K9&gt;0, Q9*K9, 0)</f>
        <v>0</v>
      </c>
      <c r="S9" s="374"/>
      <c r="T9" s="365" t="s">
        <v>440</v>
      </c>
      <c r="U9" s="388"/>
      <c r="V9" s="390"/>
      <c r="W9" s="376" t="s">
        <v>441</v>
      </c>
      <c r="X9" s="377">
        <v>0.3</v>
      </c>
      <c r="Y9" s="378">
        <v>0.1</v>
      </c>
      <c r="Z9" s="369"/>
      <c r="AA9" s="379">
        <v>3</v>
      </c>
      <c r="AB9" s="371" t="s">
        <v>138</v>
      </c>
      <c r="AC9" s="380"/>
      <c r="AD9" s="365" t="s">
        <v>442</v>
      </c>
      <c r="AE9" s="391"/>
      <c r="AF9" s="382"/>
      <c r="AG9" s="383" t="s">
        <v>443</v>
      </c>
      <c r="AH9" s="384"/>
      <c r="AI9" s="385"/>
      <c r="AJ9" s="392"/>
      <c r="AK9" s="387"/>
    </row>
    <row r="10" spans="2:40" s="334" customFormat="1" ht="25.5" customHeight="1" x14ac:dyDescent="0.25">
      <c r="B10" s="365" t="s">
        <v>444</v>
      </c>
      <c r="C10" s="388"/>
      <c r="D10" s="389"/>
      <c r="E10" s="368" t="s">
        <v>445</v>
      </c>
      <c r="F10" s="369"/>
      <c r="G10" s="369"/>
      <c r="H10" s="369"/>
      <c r="I10" s="372">
        <v>1000</v>
      </c>
      <c r="J10" s="371" t="s">
        <v>152</v>
      </c>
      <c r="K10" s="372">
        <v>1</v>
      </c>
      <c r="L10" s="371" t="s">
        <v>138</v>
      </c>
      <c r="M10" s="373">
        <f>IF(I10&gt;0,120,0)</f>
        <v>120</v>
      </c>
      <c r="N10" s="373">
        <f t="shared" si="0"/>
        <v>120</v>
      </c>
      <c r="O10" s="373">
        <f>IF(I10&gt;0,산출기준_CI!H120,0)</f>
        <v>200</v>
      </c>
      <c r="P10" s="373">
        <f t="shared" si="1"/>
        <v>200</v>
      </c>
      <c r="Q10" s="373">
        <f>IF(I10=0,0,IF(I10&lt;=2000,150,IF(I10&gt;2000,ROUNDUP((150+(I10-2000)*0.04),0),fault)))</f>
        <v>150</v>
      </c>
      <c r="R10" s="373">
        <f t="shared" si="2"/>
        <v>150</v>
      </c>
      <c r="S10" s="374"/>
      <c r="T10" s="365" t="s">
        <v>446</v>
      </c>
      <c r="U10" s="388"/>
      <c r="V10" s="390"/>
      <c r="W10" s="376" t="s">
        <v>447</v>
      </c>
      <c r="X10" s="377">
        <v>0.3</v>
      </c>
      <c r="Y10" s="378">
        <v>0.1</v>
      </c>
      <c r="Z10" s="369"/>
      <c r="AA10" s="379">
        <v>1</v>
      </c>
      <c r="AB10" s="371" t="s">
        <v>138</v>
      </c>
      <c r="AC10" s="380"/>
      <c r="AD10" s="365" t="s">
        <v>448</v>
      </c>
      <c r="AE10" s="391"/>
      <c r="AF10" s="382"/>
      <c r="AG10" s="383" t="s">
        <v>449</v>
      </c>
      <c r="AH10" s="384"/>
      <c r="AI10" s="385"/>
      <c r="AJ10" s="392"/>
      <c r="AK10" s="387"/>
    </row>
    <row r="11" spans="2:40" s="334" customFormat="1" ht="25.5" customHeight="1" x14ac:dyDescent="0.25">
      <c r="B11" s="365" t="s">
        <v>450</v>
      </c>
      <c r="C11" s="393"/>
      <c r="D11" s="394"/>
      <c r="E11" s="368" t="s">
        <v>451</v>
      </c>
      <c r="F11" s="369"/>
      <c r="G11" s="369"/>
      <c r="H11" s="369"/>
      <c r="I11" s="372">
        <v>1000</v>
      </c>
      <c r="J11" s="371" t="s">
        <v>152</v>
      </c>
      <c r="K11" s="372">
        <v>3</v>
      </c>
      <c r="L11" s="371" t="s">
        <v>138</v>
      </c>
      <c r="M11" s="373">
        <f>IF(I11&gt;0,산출기준_CI!G112,0)</f>
        <v>120</v>
      </c>
      <c r="N11" s="373">
        <f t="shared" si="0"/>
        <v>360</v>
      </c>
      <c r="O11" s="373">
        <f>IF(I11&gt;0,산출기준_CI!H120,0)</f>
        <v>200</v>
      </c>
      <c r="P11" s="373">
        <f t="shared" si="1"/>
        <v>600</v>
      </c>
      <c r="Q11" s="373">
        <f>IF(I11=0,0,IF(I11&lt;=2000,150,IF(I11&gt;2000,ROUNDUP((150+(I11-2000)*0.04),0),fault)))</f>
        <v>150</v>
      </c>
      <c r="R11" s="373">
        <f t="shared" si="2"/>
        <v>450</v>
      </c>
      <c r="S11" s="374" t="s">
        <v>452</v>
      </c>
      <c r="T11" s="365" t="s">
        <v>453</v>
      </c>
      <c r="U11" s="388"/>
      <c r="V11" s="395"/>
      <c r="W11" s="376" t="s">
        <v>454</v>
      </c>
      <c r="X11" s="377">
        <v>0.3</v>
      </c>
      <c r="Y11" s="378">
        <v>0.1</v>
      </c>
      <c r="Z11" s="369"/>
      <c r="AA11" s="379">
        <v>3</v>
      </c>
      <c r="AB11" s="371" t="s">
        <v>138</v>
      </c>
      <c r="AC11" s="380"/>
      <c r="AD11" s="365" t="s">
        <v>455</v>
      </c>
      <c r="AE11" s="391"/>
      <c r="AF11" s="382"/>
      <c r="AG11" s="383" t="s">
        <v>456</v>
      </c>
      <c r="AH11" s="384"/>
      <c r="AI11" s="385"/>
      <c r="AJ11" s="392"/>
      <c r="AK11" s="387"/>
    </row>
    <row r="12" spans="2:40" s="334" customFormat="1" ht="25.5" customHeight="1" x14ac:dyDescent="0.25">
      <c r="B12" s="365" t="s">
        <v>457</v>
      </c>
      <c r="C12" s="366" t="s">
        <v>458</v>
      </c>
      <c r="D12" s="367" t="s">
        <v>458</v>
      </c>
      <c r="E12" s="368" t="s">
        <v>459</v>
      </c>
      <c r="F12" s="369"/>
      <c r="G12" s="369"/>
      <c r="H12" s="369"/>
      <c r="I12" s="372">
        <v>4</v>
      </c>
      <c r="J12" s="371" t="s">
        <v>460</v>
      </c>
      <c r="K12" s="372">
        <v>1</v>
      </c>
      <c r="L12" s="371" t="s">
        <v>138</v>
      </c>
      <c r="M12" s="373">
        <f>IF(I12&gt;0,산출기준_CI!$G$113,0)</f>
        <v>85</v>
      </c>
      <c r="N12" s="373">
        <f t="shared" si="0"/>
        <v>85</v>
      </c>
      <c r="O12" s="373">
        <f>MIN(350,IF(I12=0,0,IF(I12/K12&lt;=2,200,IF(I12/K12&gt;2,(200+((I12/K12-2)*20)),fault))))</f>
        <v>240</v>
      </c>
      <c r="P12" s="373">
        <f t="shared" si="1"/>
        <v>240</v>
      </c>
      <c r="Q12" s="373" cm="1">
        <f t="array" ref="Q12">IF(I12=0,0,IF(I12/K12&lt;=2,150,IF(I12/K12&gt;2,(150+((I12/K12-2)*10)),fault)))</f>
        <v>170</v>
      </c>
      <c r="R12" s="373">
        <f t="shared" si="2"/>
        <v>170</v>
      </c>
      <c r="S12" s="374"/>
      <c r="T12" s="365" t="s">
        <v>461</v>
      </c>
      <c r="U12" s="393"/>
      <c r="V12" s="396" t="s">
        <v>462</v>
      </c>
      <c r="W12" s="396" t="s">
        <v>462</v>
      </c>
      <c r="X12" s="377">
        <v>0.3</v>
      </c>
      <c r="Y12" s="378">
        <v>0.1</v>
      </c>
      <c r="Z12" s="369"/>
      <c r="AA12" s="397">
        <v>1</v>
      </c>
      <c r="AB12" s="371" t="s">
        <v>97</v>
      </c>
      <c r="AC12" s="380"/>
      <c r="AD12" s="365" t="s">
        <v>463</v>
      </c>
      <c r="AE12" s="391"/>
      <c r="AF12" s="382"/>
      <c r="AG12" s="383" t="s">
        <v>464</v>
      </c>
      <c r="AH12" s="384"/>
      <c r="AI12" s="385"/>
      <c r="AJ12" s="392"/>
      <c r="AK12" s="387"/>
    </row>
    <row r="13" spans="2:40" s="334" customFormat="1" ht="25.5" customHeight="1" x14ac:dyDescent="0.25">
      <c r="B13" s="365" t="s">
        <v>465</v>
      </c>
      <c r="C13" s="388"/>
      <c r="D13" s="389"/>
      <c r="E13" s="368" t="s">
        <v>466</v>
      </c>
      <c r="F13" s="369"/>
      <c r="G13" s="369"/>
      <c r="H13" s="369"/>
      <c r="I13" s="398">
        <v>13</v>
      </c>
      <c r="J13" s="371" t="s">
        <v>460</v>
      </c>
      <c r="K13" s="372">
        <v>1</v>
      </c>
      <c r="L13" s="371" t="s">
        <v>138</v>
      </c>
      <c r="M13" s="373">
        <f>IF(I13&gt;0,산출기준_CI!$G$113,0)</f>
        <v>85</v>
      </c>
      <c r="N13" s="373">
        <f t="shared" si="0"/>
        <v>85</v>
      </c>
      <c r="O13" s="373">
        <f>MIN(350,IF(I13=0,0,IF(I13/K13&lt;=2,200,IF(I13/K13&gt;2,(200+((I13/K13-2)*20)),fault))))</f>
        <v>350</v>
      </c>
      <c r="P13" s="373">
        <f t="shared" si="1"/>
        <v>350</v>
      </c>
      <c r="Q13" s="373" cm="1">
        <f t="array" ref="Q13">IF(I13=0,0,IF(I13/K13&lt;=2,150,IF(I13/K13&gt;2,(150+((I13/K13-2)*10)),fault)))</f>
        <v>260</v>
      </c>
      <c r="R13" s="373">
        <f t="shared" si="2"/>
        <v>260</v>
      </c>
      <c r="S13" s="374"/>
      <c r="T13" s="365" t="s">
        <v>467</v>
      </c>
      <c r="U13" s="381" t="s">
        <v>145</v>
      </c>
      <c r="V13" s="399" t="s">
        <v>468</v>
      </c>
      <c r="W13" s="399" t="s">
        <v>468</v>
      </c>
      <c r="X13" s="377">
        <v>0.3</v>
      </c>
      <c r="Y13" s="400">
        <v>0.1</v>
      </c>
      <c r="Z13" s="377">
        <v>0.3</v>
      </c>
      <c r="AA13" s="401">
        <f>SUM(I12:I42)</f>
        <v>1539</v>
      </c>
      <c r="AB13" s="371" t="s">
        <v>469</v>
      </c>
      <c r="AC13" s="402" t="s">
        <v>470</v>
      </c>
      <c r="AD13" s="365" t="s">
        <v>471</v>
      </c>
      <c r="AE13" s="391"/>
      <c r="AF13" s="382"/>
      <c r="AG13" s="383" t="s">
        <v>472</v>
      </c>
      <c r="AH13" s="384"/>
      <c r="AI13" s="385"/>
      <c r="AJ13" s="392"/>
      <c r="AK13" s="387"/>
    </row>
    <row r="14" spans="2:40" s="334" customFormat="1" ht="25.5" customHeight="1" x14ac:dyDescent="0.25">
      <c r="B14" s="365" t="s">
        <v>473</v>
      </c>
      <c r="C14" s="388"/>
      <c r="D14" s="389"/>
      <c r="E14" s="368" t="s">
        <v>474</v>
      </c>
      <c r="F14" s="369"/>
      <c r="G14" s="369"/>
      <c r="H14" s="369"/>
      <c r="I14" s="372">
        <v>0</v>
      </c>
      <c r="J14" s="371" t="s">
        <v>460</v>
      </c>
      <c r="K14" s="372">
        <v>0</v>
      </c>
      <c r="L14" s="371" t="s">
        <v>138</v>
      </c>
      <c r="M14" s="373">
        <f>IF(I14&gt;0,산출기준_CI!$G$113,0)</f>
        <v>0</v>
      </c>
      <c r="N14" s="373">
        <f t="shared" si="0"/>
        <v>0</v>
      </c>
      <c r="O14" s="373">
        <f>MIN(350,IF(I14=0,0,IF(I14/K14&lt;=2,200,IF(I14/K14&gt;2,(200+((I14/K14-2)*20)),fault))))</f>
        <v>0</v>
      </c>
      <c r="P14" s="373">
        <f t="shared" si="1"/>
        <v>0</v>
      </c>
      <c r="Q14" s="373" cm="1">
        <f t="array" ref="Q14">IF(I14=0,0,IF(I14/K14&lt;=2,150,IF(I14/K14&gt;2,(150+((I14/K14-2)*10)),fault)))</f>
        <v>0</v>
      </c>
      <c r="R14" s="373">
        <f t="shared" si="2"/>
        <v>0</v>
      </c>
      <c r="S14" s="374"/>
      <c r="T14" s="365" t="s">
        <v>475</v>
      </c>
      <c r="U14" s="391"/>
      <c r="V14" s="399" t="s">
        <v>151</v>
      </c>
      <c r="W14" s="399" t="s">
        <v>151</v>
      </c>
      <c r="X14" s="377">
        <v>0.3</v>
      </c>
      <c r="Y14" s="400">
        <v>0.1</v>
      </c>
      <c r="Z14" s="377">
        <v>0.3</v>
      </c>
      <c r="AA14" s="401">
        <f>SUM(I8:I11)</f>
        <v>6300</v>
      </c>
      <c r="AB14" s="371" t="s">
        <v>469</v>
      </c>
      <c r="AC14" s="403"/>
      <c r="AD14" s="365" t="s">
        <v>476</v>
      </c>
      <c r="AE14" s="391"/>
      <c r="AF14" s="382"/>
      <c r="AG14" s="383" t="s">
        <v>477</v>
      </c>
      <c r="AH14" s="384"/>
      <c r="AI14" s="385"/>
      <c r="AJ14" s="392"/>
      <c r="AK14" s="387"/>
    </row>
    <row r="15" spans="2:40" s="334" customFormat="1" ht="25.5" customHeight="1" x14ac:dyDescent="0.25">
      <c r="B15" s="365" t="s">
        <v>478</v>
      </c>
      <c r="C15" s="388"/>
      <c r="D15" s="389"/>
      <c r="E15" s="368" t="s">
        <v>479</v>
      </c>
      <c r="F15" s="369"/>
      <c r="G15" s="369"/>
      <c r="H15" s="369"/>
      <c r="I15" s="372">
        <v>0</v>
      </c>
      <c r="J15" s="371" t="s">
        <v>460</v>
      </c>
      <c r="K15" s="372">
        <v>0</v>
      </c>
      <c r="L15" s="371" t="s">
        <v>138</v>
      </c>
      <c r="M15" s="373">
        <f>IF(I15&gt;0,산출기준_CI!$G$113,0)</f>
        <v>0</v>
      </c>
      <c r="N15" s="373">
        <f t="shared" si="0"/>
        <v>0</v>
      </c>
      <c r="O15" s="373">
        <f>MIN(350,IF(I15=0,0,IF(I15/K15&lt;=2,200,IF(I15/K15&gt;2,(200+((I15/K15-2)*20)),fault))))</f>
        <v>0</v>
      </c>
      <c r="P15" s="373">
        <f t="shared" si="1"/>
        <v>0</v>
      </c>
      <c r="Q15" s="373">
        <f>MIN(150,IF(I15=0,0,IF(I15/K15&lt;=2,150,IF(I15/K15&gt;2,(150+((I15/K15-2)*10)),fault))))</f>
        <v>0</v>
      </c>
      <c r="R15" s="373">
        <f t="shared" si="2"/>
        <v>0</v>
      </c>
      <c r="S15" s="374"/>
      <c r="T15" s="365" t="s">
        <v>480</v>
      </c>
      <c r="U15" s="391"/>
      <c r="V15" s="399" t="s">
        <v>155</v>
      </c>
      <c r="W15" s="399" t="s">
        <v>155</v>
      </c>
      <c r="X15" s="377">
        <v>0.3</v>
      </c>
      <c r="Y15" s="378">
        <v>0.1</v>
      </c>
      <c r="Z15" s="377">
        <v>0.3</v>
      </c>
      <c r="AA15" s="401">
        <f>ROUNDUP(I45*1.2,0)</f>
        <v>720</v>
      </c>
      <c r="AB15" s="371" t="s">
        <v>481</v>
      </c>
      <c r="AC15" s="404"/>
      <c r="AD15" s="365" t="s">
        <v>482</v>
      </c>
      <c r="AE15" s="391"/>
      <c r="AF15" s="382"/>
      <c r="AG15" s="383" t="s">
        <v>483</v>
      </c>
      <c r="AH15" s="384"/>
      <c r="AI15" s="385"/>
      <c r="AJ15" s="392"/>
      <c r="AK15" s="387"/>
    </row>
    <row r="16" spans="2:40" s="334" customFormat="1" ht="25.5" customHeight="1" x14ac:dyDescent="0.25">
      <c r="B16" s="365" t="s">
        <v>484</v>
      </c>
      <c r="C16" s="388"/>
      <c r="D16" s="389"/>
      <c r="E16" s="368" t="s">
        <v>485</v>
      </c>
      <c r="F16" s="369"/>
      <c r="G16" s="369"/>
      <c r="H16" s="369"/>
      <c r="I16" s="372">
        <v>0</v>
      </c>
      <c r="J16" s="371" t="s">
        <v>460</v>
      </c>
      <c r="K16" s="372">
        <v>0</v>
      </c>
      <c r="L16" s="371" t="s">
        <v>138</v>
      </c>
      <c r="M16" s="373">
        <f>IF(I16&gt;0,산출기준_CI!$G$113,0)</f>
        <v>0</v>
      </c>
      <c r="N16" s="373">
        <f t="shared" si="0"/>
        <v>0</v>
      </c>
      <c r="O16" s="373">
        <f>MIN(350,IF(I16=0,0,IF(I16/K16&lt;=2,200,IF(I16/K16&gt;2,(200+((I16/K16-2)*20)),fault))))</f>
        <v>0</v>
      </c>
      <c r="P16" s="373">
        <f t="shared" si="1"/>
        <v>0</v>
      </c>
      <c r="Q16" s="373">
        <f>MIN(150,IF(I16=0,0,IF(I16/K16&lt;=2,150,IF(I16/K16&gt;2,(150+((I16/K16-2)*10)),fault))))</f>
        <v>0</v>
      </c>
      <c r="R16" s="373">
        <f t="shared" si="2"/>
        <v>0</v>
      </c>
      <c r="S16" s="374"/>
      <c r="T16" s="365" t="s">
        <v>486</v>
      </c>
      <c r="U16" s="391"/>
      <c r="V16" s="405" t="s">
        <v>487</v>
      </c>
      <c r="W16" s="396" t="s">
        <v>161</v>
      </c>
      <c r="X16" s="377">
        <v>0.3</v>
      </c>
      <c r="Y16" s="378">
        <v>0.1</v>
      </c>
      <c r="Z16" s="369"/>
      <c r="AA16" s="397">
        <v>1</v>
      </c>
      <c r="AB16" s="371" t="s">
        <v>97</v>
      </c>
      <c r="AC16" s="404"/>
      <c r="AD16" s="365" t="s">
        <v>488</v>
      </c>
      <c r="AE16" s="391"/>
      <c r="AF16" s="382" t="s">
        <v>489</v>
      </c>
      <c r="AG16" s="406" t="s">
        <v>490</v>
      </c>
      <c r="AH16" s="384" t="s">
        <v>491</v>
      </c>
      <c r="AI16" s="385">
        <f>IF(AH16=0,"",IF(AH16="1)",1,IF(AH16=1,1,IF(AH16="2)",1.05,IF(AH16=2,1.05,IF(AH16="3)",1.1,IF(AH16=3,1.1,"")))))))</f>
        <v>1</v>
      </c>
      <c r="AJ16" s="392"/>
      <c r="AK16" s="387" t="s">
        <v>492</v>
      </c>
    </row>
    <row r="17" spans="2:37" s="334" customFormat="1" ht="25.5" customHeight="1" x14ac:dyDescent="0.25">
      <c r="B17" s="365" t="s">
        <v>493</v>
      </c>
      <c r="C17" s="388"/>
      <c r="D17" s="389"/>
      <c r="E17" s="368" t="s">
        <v>494</v>
      </c>
      <c r="F17" s="369"/>
      <c r="G17" s="369"/>
      <c r="H17" s="369"/>
      <c r="I17" s="372">
        <v>4</v>
      </c>
      <c r="J17" s="371" t="s">
        <v>460</v>
      </c>
      <c r="K17" s="372">
        <v>1</v>
      </c>
      <c r="L17" s="371" t="s">
        <v>138</v>
      </c>
      <c r="M17" s="373">
        <f>IF(I17&gt;0,산출기준_CI!$G$113,0)</f>
        <v>85</v>
      </c>
      <c r="N17" s="373">
        <f t="shared" si="0"/>
        <v>85</v>
      </c>
      <c r="O17" s="373">
        <f>MIN(350,IF(I17=0,0,IF(I17/K17&lt;=2,200,IF(I17/K17&gt;2,(200+((I17/K17-2)*20)),fault))))</f>
        <v>240</v>
      </c>
      <c r="P17" s="373">
        <f t="shared" si="1"/>
        <v>240</v>
      </c>
      <c r="Q17" s="373">
        <f>MIN(150,IF(I17=0,0,IF(I17/K17&lt;=2,150,IF(I17/K17&gt;2,(150+((I17/K17-2)*10)),fault))))</f>
        <v>150</v>
      </c>
      <c r="R17" s="373">
        <f t="shared" si="2"/>
        <v>150</v>
      </c>
      <c r="S17" s="374"/>
      <c r="T17" s="365" t="s">
        <v>495</v>
      </c>
      <c r="U17" s="391"/>
      <c r="V17" s="407"/>
      <c r="W17" s="396" t="s">
        <v>167</v>
      </c>
      <c r="X17" s="377">
        <v>0.3</v>
      </c>
      <c r="Y17" s="378">
        <v>0.1</v>
      </c>
      <c r="Z17" s="369"/>
      <c r="AA17" s="397">
        <v>1</v>
      </c>
      <c r="AB17" s="371" t="s">
        <v>97</v>
      </c>
      <c r="AC17" s="408"/>
      <c r="AD17" s="365" t="s">
        <v>496</v>
      </c>
      <c r="AE17" s="391"/>
      <c r="AF17" s="382"/>
      <c r="AG17" s="406" t="s">
        <v>497</v>
      </c>
      <c r="AH17" s="384"/>
      <c r="AI17" s="385"/>
      <c r="AJ17" s="392"/>
      <c r="AK17" s="387"/>
    </row>
    <row r="18" spans="2:37" s="334" customFormat="1" ht="25.5" customHeight="1" x14ac:dyDescent="0.25">
      <c r="B18" s="365" t="s">
        <v>498</v>
      </c>
      <c r="C18" s="388"/>
      <c r="D18" s="389"/>
      <c r="E18" s="368" t="s">
        <v>499</v>
      </c>
      <c r="F18" s="369"/>
      <c r="G18" s="369"/>
      <c r="H18" s="369"/>
      <c r="I18" s="372">
        <v>0</v>
      </c>
      <c r="J18" s="371" t="s">
        <v>460</v>
      </c>
      <c r="K18" s="372">
        <v>0</v>
      </c>
      <c r="L18" s="371" t="s">
        <v>138</v>
      </c>
      <c r="M18" s="373">
        <f>IF(I18&gt;0,산출기준_CI!$G$113,0)</f>
        <v>0</v>
      </c>
      <c r="N18" s="373">
        <f t="shared" si="0"/>
        <v>0</v>
      </c>
      <c r="O18" s="373">
        <f>MIN(350,IF(I18=0,0,IF(I18/K18&lt;=2,200,IF(I18/K18&gt;2,(200+((I18/K18-2)*20)),fault))))</f>
        <v>0</v>
      </c>
      <c r="P18" s="373">
        <f t="shared" si="1"/>
        <v>0</v>
      </c>
      <c r="Q18" s="373">
        <f>MIN(150,IF(I18=0,0,IF(I18/K18&lt;=2,150,IF(I18/K18&gt;2,(150+((I18/K18-2)*10)),fault))))</f>
        <v>0</v>
      </c>
      <c r="R18" s="373">
        <f t="shared" si="2"/>
        <v>0</v>
      </c>
      <c r="S18" s="374"/>
      <c r="T18" s="365" t="s">
        <v>500</v>
      </c>
      <c r="U18" s="391"/>
      <c r="V18" s="407"/>
      <c r="W18" s="396" t="s">
        <v>170</v>
      </c>
      <c r="X18" s="377">
        <v>0.3</v>
      </c>
      <c r="Y18" s="378">
        <v>0.1</v>
      </c>
      <c r="Z18" s="377">
        <v>0.3</v>
      </c>
      <c r="AA18" s="397">
        <v>1</v>
      </c>
      <c r="AB18" s="371" t="s">
        <v>97</v>
      </c>
      <c r="AC18" s="408"/>
      <c r="AD18" s="365" t="s">
        <v>501</v>
      </c>
      <c r="AE18" s="391"/>
      <c r="AF18" s="382"/>
      <c r="AG18" s="406" t="s">
        <v>502</v>
      </c>
      <c r="AH18" s="384"/>
      <c r="AI18" s="385"/>
      <c r="AJ18" s="392"/>
      <c r="AK18" s="387"/>
    </row>
    <row r="19" spans="2:37" s="334" customFormat="1" ht="25.5" customHeight="1" x14ac:dyDescent="0.25">
      <c r="B19" s="365" t="s">
        <v>503</v>
      </c>
      <c r="C19" s="388"/>
      <c r="D19" s="389"/>
      <c r="E19" s="368" t="s">
        <v>504</v>
      </c>
      <c r="F19" s="369"/>
      <c r="G19" s="369"/>
      <c r="H19" s="369"/>
      <c r="I19" s="372">
        <v>0</v>
      </c>
      <c r="J19" s="371" t="s">
        <v>460</v>
      </c>
      <c r="K19" s="372">
        <v>0</v>
      </c>
      <c r="L19" s="371" t="s">
        <v>138</v>
      </c>
      <c r="M19" s="373">
        <f>IF(I19&gt;0,산출기준_CI!$G$113,0)</f>
        <v>0</v>
      </c>
      <c r="N19" s="373">
        <f t="shared" si="0"/>
        <v>0</v>
      </c>
      <c r="O19" s="373">
        <f>MIN(350,IF(I19=0,0,IF(I19/K19&lt;=2,200,IF(I19/K19&gt;2,(200+((I19/K19-2)*20)),fault))))</f>
        <v>0</v>
      </c>
      <c r="P19" s="373">
        <f t="shared" si="1"/>
        <v>0</v>
      </c>
      <c r="Q19" s="373">
        <f>MIN(150,IF(I19=0,0,IF(I19/K19&lt;=2,150,IF(I19/K19&gt;2,(150+((I19/K19-2)*10)),fault))))</f>
        <v>0</v>
      </c>
      <c r="R19" s="373">
        <f t="shared" si="2"/>
        <v>0</v>
      </c>
      <c r="S19" s="374"/>
      <c r="T19" s="365" t="s">
        <v>505</v>
      </c>
      <c r="U19" s="391"/>
      <c r="V19" s="407"/>
      <c r="W19" s="396" t="s">
        <v>506</v>
      </c>
      <c r="X19" s="377">
        <v>0.3</v>
      </c>
      <c r="Y19" s="378">
        <v>0.1</v>
      </c>
      <c r="Z19" s="377">
        <v>0.3</v>
      </c>
      <c r="AA19" s="409">
        <f>SUM(I21:I31,I35:I37)</f>
        <v>555</v>
      </c>
      <c r="AB19" s="371" t="s">
        <v>97</v>
      </c>
      <c r="AC19" s="408"/>
      <c r="AD19" s="365" t="s">
        <v>507</v>
      </c>
      <c r="AE19" s="391"/>
      <c r="AF19" s="410" t="s">
        <v>508</v>
      </c>
      <c r="AG19" s="406" t="s">
        <v>509</v>
      </c>
      <c r="AH19" s="411" t="s">
        <v>398</v>
      </c>
      <c r="AI19" s="412">
        <f>1+IF(AH19="No",0,IF(AH19="Yes",0.1,0))+IF(AH20="No",0,IF(AH20="Yes",0.15,0))</f>
        <v>1</v>
      </c>
      <c r="AJ19" s="392"/>
      <c r="AK19" s="413" t="s">
        <v>510</v>
      </c>
    </row>
    <row r="20" spans="2:37" s="334" customFormat="1" ht="25.5" customHeight="1" x14ac:dyDescent="0.25">
      <c r="B20" s="365" t="s">
        <v>511</v>
      </c>
      <c r="C20" s="393"/>
      <c r="D20" s="394"/>
      <c r="E20" s="368" t="s">
        <v>512</v>
      </c>
      <c r="F20" s="369"/>
      <c r="G20" s="369"/>
      <c r="H20" s="369"/>
      <c r="I20" s="372">
        <v>0</v>
      </c>
      <c r="J20" s="371" t="s">
        <v>460</v>
      </c>
      <c r="K20" s="372">
        <v>0</v>
      </c>
      <c r="L20" s="371" t="s">
        <v>138</v>
      </c>
      <c r="M20" s="373">
        <f>IF(I20&gt;0,산출기준_CI!$G$113,0)</f>
        <v>0</v>
      </c>
      <c r="N20" s="373">
        <f t="shared" si="0"/>
        <v>0</v>
      </c>
      <c r="O20" s="373">
        <f>MIN(350,IF(I20=0,0,IF(I20/K20&lt;=2,200,IF(I20/K20&gt;2,(200+((I20/K20-2)*20)),fault))))</f>
        <v>0</v>
      </c>
      <c r="P20" s="373">
        <f t="shared" si="1"/>
        <v>0</v>
      </c>
      <c r="Q20" s="373">
        <f>MIN(150,IF(I20=0,0,IF(I20/K20&lt;=2,150,IF(I20/K20&gt;2,(150+((I20/K20-2)*10)),fault))))</f>
        <v>0</v>
      </c>
      <c r="R20" s="373">
        <f t="shared" si="2"/>
        <v>0</v>
      </c>
      <c r="S20" s="374"/>
      <c r="T20" s="365" t="s">
        <v>513</v>
      </c>
      <c r="U20" s="391"/>
      <c r="V20" s="407"/>
      <c r="W20" s="396" t="s">
        <v>514</v>
      </c>
      <c r="X20" s="377">
        <v>0.3</v>
      </c>
      <c r="Y20" s="378">
        <v>0.1</v>
      </c>
      <c r="Z20" s="377">
        <v>0.3</v>
      </c>
      <c r="AA20" s="397">
        <v>1</v>
      </c>
      <c r="AB20" s="371" t="s">
        <v>97</v>
      </c>
      <c r="AC20" s="408"/>
      <c r="AD20" s="365" t="s">
        <v>515</v>
      </c>
      <c r="AE20" s="414"/>
      <c r="AF20" s="415"/>
      <c r="AG20" s="406" t="s">
        <v>516</v>
      </c>
      <c r="AH20" s="411" t="s">
        <v>398</v>
      </c>
      <c r="AI20" s="416"/>
      <c r="AJ20" s="417"/>
      <c r="AK20" s="418"/>
    </row>
    <row r="21" spans="2:37" s="334" customFormat="1" ht="25.5" customHeight="1" x14ac:dyDescent="0.25">
      <c r="B21" s="365" t="s">
        <v>517</v>
      </c>
      <c r="C21" s="366" t="s">
        <v>518</v>
      </c>
      <c r="D21" s="367" t="s">
        <v>518</v>
      </c>
      <c r="E21" s="368" t="s">
        <v>519</v>
      </c>
      <c r="F21" s="369"/>
      <c r="G21" s="369"/>
      <c r="H21" s="369"/>
      <c r="I21" s="372">
        <v>92</v>
      </c>
      <c r="J21" s="371" t="s">
        <v>469</v>
      </c>
      <c r="K21" s="372">
        <v>1</v>
      </c>
      <c r="L21" s="371" t="s">
        <v>138</v>
      </c>
      <c r="M21" s="373">
        <f>IF(I21&gt;0,산출기준_CI!$G$114,0)</f>
        <v>60</v>
      </c>
      <c r="N21" s="373">
        <f t="shared" si="0"/>
        <v>60</v>
      </c>
      <c r="O21" s="373">
        <f>IF(I21=0,0,IF(I21/K21&lt;=100,180,IF(I21/K21&gt;100,ROUNDUP((180+((I21/K21-100)*0.3)),0),fault)))</f>
        <v>180</v>
      </c>
      <c r="P21" s="373">
        <f t="shared" si="1"/>
        <v>180</v>
      </c>
      <c r="Q21" s="373">
        <f>IF(I21=0,0,IF(I21/K21&lt;=100,100,IF(I21/K21&gt;100,ROUNDUP((100+((I21/K21-100)*0.3)),0),fault)))</f>
        <v>100</v>
      </c>
      <c r="R21" s="373">
        <f t="shared" si="2"/>
        <v>100</v>
      </c>
      <c r="S21" s="374"/>
      <c r="T21" s="365" t="s">
        <v>520</v>
      </c>
      <c r="U21" s="414"/>
      <c r="V21" s="419"/>
      <c r="W21" s="396" t="s">
        <v>521</v>
      </c>
      <c r="X21" s="377">
        <v>0.3</v>
      </c>
      <c r="Y21" s="378">
        <v>0.1</v>
      </c>
      <c r="Z21" s="377">
        <v>0.3</v>
      </c>
      <c r="AA21" s="397">
        <v>1</v>
      </c>
      <c r="AB21" s="371" t="s">
        <v>97</v>
      </c>
      <c r="AC21" s="408"/>
      <c r="AD21" s="365" t="s">
        <v>522</v>
      </c>
      <c r="AE21" s="381" t="s">
        <v>523</v>
      </c>
      <c r="AF21" s="382" t="s">
        <v>429</v>
      </c>
      <c r="AG21" s="420" t="s">
        <v>524</v>
      </c>
      <c r="AH21" s="384" t="s">
        <v>525</v>
      </c>
      <c r="AI21" s="421"/>
      <c r="AJ21" s="422" t="str">
        <f>IF(AH21="1)","상",IF(AH21="2)","중",IF(AH21="3)","하","ERROR")))</f>
        <v>중</v>
      </c>
      <c r="AK21" s="380"/>
    </row>
    <row r="22" spans="2:37" s="334" customFormat="1" ht="25.5" customHeight="1" x14ac:dyDescent="0.25">
      <c r="B22" s="365" t="s">
        <v>526</v>
      </c>
      <c r="C22" s="388"/>
      <c r="D22" s="389"/>
      <c r="E22" s="368" t="s">
        <v>527</v>
      </c>
      <c r="F22" s="369"/>
      <c r="G22" s="369"/>
      <c r="H22" s="369"/>
      <c r="I22" s="372">
        <v>0</v>
      </c>
      <c r="J22" s="371" t="s">
        <v>469</v>
      </c>
      <c r="K22" s="372">
        <v>0</v>
      </c>
      <c r="L22" s="371" t="s">
        <v>138</v>
      </c>
      <c r="M22" s="373">
        <f>IF(I22&gt;0,산출기준_CI!$G$114,0)</f>
        <v>0</v>
      </c>
      <c r="N22" s="373">
        <f t="shared" si="0"/>
        <v>0</v>
      </c>
      <c r="O22" s="373">
        <f>IF(I22=0,0,IF(I22/K22&lt;=100,180,IF(I22/K22&gt;100,ROUNDUP((180+((I22/K22-100)*0.3)),0),fault)))</f>
        <v>0</v>
      </c>
      <c r="P22" s="373">
        <f t="shared" si="1"/>
        <v>0</v>
      </c>
      <c r="Q22" s="373">
        <f>IF(I22=0,0,IF(I22/K22&lt;=100,100,IF(I22/K22&gt;100,ROUNDUP((100+((I22/K22-100)*0.3)),0),fault)))</f>
        <v>0</v>
      </c>
      <c r="R22" s="373">
        <f t="shared" si="2"/>
        <v>0</v>
      </c>
      <c r="S22" s="374"/>
      <c r="T22" s="365" t="s">
        <v>528</v>
      </c>
      <c r="U22" s="381" t="s">
        <v>182</v>
      </c>
      <c r="V22" s="423" t="s">
        <v>183</v>
      </c>
      <c r="W22" s="424" t="s">
        <v>529</v>
      </c>
      <c r="X22" s="377">
        <v>0.3</v>
      </c>
      <c r="Y22" s="378">
        <v>0.1</v>
      </c>
      <c r="Z22" s="369"/>
      <c r="AA22" s="379">
        <v>0</v>
      </c>
      <c r="AB22" s="371" t="s">
        <v>469</v>
      </c>
      <c r="AC22" s="380" t="s">
        <v>530</v>
      </c>
      <c r="AD22" s="365" t="s">
        <v>531</v>
      </c>
      <c r="AE22" s="391"/>
      <c r="AF22" s="382"/>
      <c r="AG22" s="420" t="s">
        <v>532</v>
      </c>
      <c r="AH22" s="384"/>
      <c r="AI22" s="421"/>
      <c r="AJ22" s="422"/>
      <c r="AK22" s="380"/>
    </row>
    <row r="23" spans="2:37" s="334" customFormat="1" ht="25.5" customHeight="1" x14ac:dyDescent="0.25">
      <c r="B23" s="365" t="s">
        <v>533</v>
      </c>
      <c r="C23" s="388"/>
      <c r="D23" s="389"/>
      <c r="E23" s="368" t="s">
        <v>534</v>
      </c>
      <c r="F23" s="369"/>
      <c r="G23" s="369"/>
      <c r="H23" s="369"/>
      <c r="I23" s="372">
        <v>131</v>
      </c>
      <c r="J23" s="371" t="s">
        <v>469</v>
      </c>
      <c r="K23" s="372">
        <v>1</v>
      </c>
      <c r="L23" s="371" t="s">
        <v>138</v>
      </c>
      <c r="M23" s="373">
        <f>IF(I23&gt;0,산출기준_CI!$G$114,0)</f>
        <v>60</v>
      </c>
      <c r="N23" s="373">
        <f t="shared" si="0"/>
        <v>60</v>
      </c>
      <c r="O23" s="373">
        <f>IF(I23=0,0,IF(I23/K23&lt;=100,180,IF(I23/K23&gt;100,ROUNDUP((180+((I23/K23-100)*0.3)),0),fault)))</f>
        <v>190</v>
      </c>
      <c r="P23" s="373">
        <f t="shared" si="1"/>
        <v>190</v>
      </c>
      <c r="Q23" s="373">
        <f>IF(I23=0,0,IF(I23/K23&lt;=100,100,IF(I23/K23&gt;100,ROUNDUP((100+((I23/K23-100)*0.3)),0),fault)))</f>
        <v>110</v>
      </c>
      <c r="R23" s="373">
        <f t="shared" si="2"/>
        <v>110</v>
      </c>
      <c r="S23" s="374"/>
      <c r="T23" s="365" t="s">
        <v>535</v>
      </c>
      <c r="U23" s="391"/>
      <c r="V23" s="423" t="s">
        <v>185</v>
      </c>
      <c r="W23" s="423" t="s">
        <v>185</v>
      </c>
      <c r="X23" s="377">
        <v>0.3</v>
      </c>
      <c r="Y23" s="378">
        <v>0.1</v>
      </c>
      <c r="Z23" s="369"/>
      <c r="AA23" s="379">
        <v>0</v>
      </c>
      <c r="AB23" s="371" t="s">
        <v>469</v>
      </c>
      <c r="AC23" s="380" t="s">
        <v>530</v>
      </c>
      <c r="AD23" s="365" t="s">
        <v>536</v>
      </c>
      <c r="AE23" s="391"/>
      <c r="AF23" s="382"/>
      <c r="AG23" s="420" t="s">
        <v>537</v>
      </c>
      <c r="AH23" s="384"/>
      <c r="AI23" s="421"/>
      <c r="AJ23" s="422"/>
      <c r="AK23" s="380"/>
    </row>
    <row r="24" spans="2:37" s="334" customFormat="1" ht="25.5" customHeight="1" x14ac:dyDescent="0.25">
      <c r="B24" s="365" t="s">
        <v>538</v>
      </c>
      <c r="C24" s="388"/>
      <c r="D24" s="389"/>
      <c r="E24" s="368" t="s">
        <v>539</v>
      </c>
      <c r="F24" s="369"/>
      <c r="G24" s="369"/>
      <c r="H24" s="369"/>
      <c r="I24" s="372">
        <v>7</v>
      </c>
      <c r="J24" s="371" t="s">
        <v>469</v>
      </c>
      <c r="K24" s="372">
        <v>1</v>
      </c>
      <c r="L24" s="371" t="s">
        <v>138</v>
      </c>
      <c r="M24" s="373">
        <f>IF(I24&gt;0,산출기준_CI!$G$114,0)</f>
        <v>60</v>
      </c>
      <c r="N24" s="373">
        <f t="shared" si="0"/>
        <v>60</v>
      </c>
      <c r="O24" s="373">
        <f>IF(I24=0,0,IF(I24/K24&lt;=100,180,IF(I24/K24&gt;100,ROUNDUP((180+((I24/K24-100)*0.3)),0),fault)))</f>
        <v>180</v>
      </c>
      <c r="P24" s="373">
        <f t="shared" si="1"/>
        <v>180</v>
      </c>
      <c r="Q24" s="373">
        <f>IF(I24=0,0,IF(I24/K24&lt;=100,100,IF(I24/K24&gt;100,ROUNDUP((100+((I24/K24-100)*0.3)),0),fault)))</f>
        <v>100</v>
      </c>
      <c r="R24" s="373">
        <f t="shared" si="2"/>
        <v>100</v>
      </c>
      <c r="S24" s="374"/>
      <c r="T24" s="365" t="s">
        <v>540</v>
      </c>
      <c r="U24" s="391"/>
      <c r="V24" s="423" t="s">
        <v>541</v>
      </c>
      <c r="W24" s="423" t="s">
        <v>541</v>
      </c>
      <c r="X24" s="377">
        <v>0.3</v>
      </c>
      <c r="Y24" s="378">
        <v>0.1</v>
      </c>
      <c r="Z24" s="369"/>
      <c r="AA24" s="379">
        <v>0</v>
      </c>
      <c r="AB24" s="371" t="s">
        <v>469</v>
      </c>
      <c r="AC24" s="380" t="s">
        <v>530</v>
      </c>
      <c r="AD24" s="365" t="s">
        <v>542</v>
      </c>
      <c r="AE24" s="391"/>
      <c r="AF24" s="382" t="s">
        <v>458</v>
      </c>
      <c r="AG24" s="420" t="s">
        <v>524</v>
      </c>
      <c r="AH24" s="384" t="s">
        <v>525</v>
      </c>
      <c r="AI24" s="421"/>
      <c r="AJ24" s="422" t="str">
        <f t="shared" ref="AJ24" si="3">IF(AH24="1)","상",IF(AH24="2)","중",IF(AH24="3)","하","ERROR")))</f>
        <v>중</v>
      </c>
      <c r="AK24" s="380"/>
    </row>
    <row r="25" spans="2:37" s="334" customFormat="1" ht="25.5" customHeight="1" x14ac:dyDescent="0.25">
      <c r="B25" s="365" t="s">
        <v>543</v>
      </c>
      <c r="C25" s="388"/>
      <c r="D25" s="389"/>
      <c r="E25" s="368" t="s">
        <v>544</v>
      </c>
      <c r="F25" s="369"/>
      <c r="G25" s="369"/>
      <c r="H25" s="369"/>
      <c r="I25" s="372">
        <v>2</v>
      </c>
      <c r="J25" s="371" t="s">
        <v>469</v>
      </c>
      <c r="K25" s="372">
        <v>0</v>
      </c>
      <c r="L25" s="371" t="s">
        <v>138</v>
      </c>
      <c r="M25" s="373">
        <f>IF(I25&gt;0,산출기준_CI!$G$114,0)</f>
        <v>60</v>
      </c>
      <c r="N25" s="373">
        <f t="shared" si="0"/>
        <v>0</v>
      </c>
      <c r="O25" s="373" t="e">
        <f>IF(I25=0,0,IF(I25/K25&lt;=100,180,IF(I25/K25&gt;100,ROUNDUP((180+((I25/K25-100)*0.3)),0),fault)))</f>
        <v>#DIV/0!</v>
      </c>
      <c r="P25" s="373">
        <f t="shared" si="1"/>
        <v>0</v>
      </c>
      <c r="Q25" s="373" t="e">
        <f>IF(I25=0,0,IF(I25/K25&lt;=100,100,IF(I25/K25&gt;100,ROUNDUP((100+((I25/K25-100)*0.3)),0),fault)))</f>
        <v>#DIV/0!</v>
      </c>
      <c r="R25" s="373">
        <f t="shared" si="2"/>
        <v>0</v>
      </c>
      <c r="S25" s="374"/>
      <c r="T25" s="365" t="s">
        <v>545</v>
      </c>
      <c r="U25" s="414"/>
      <c r="V25" s="423" t="s">
        <v>546</v>
      </c>
      <c r="W25" s="423" t="s">
        <v>546</v>
      </c>
      <c r="X25" s="377">
        <v>0.3</v>
      </c>
      <c r="Y25" s="378">
        <v>0.1</v>
      </c>
      <c r="Z25" s="369"/>
      <c r="AA25" s="379">
        <v>0</v>
      </c>
      <c r="AB25" s="371" t="s">
        <v>469</v>
      </c>
      <c r="AC25" s="380" t="s">
        <v>530</v>
      </c>
      <c r="AD25" s="365" t="s">
        <v>547</v>
      </c>
      <c r="AE25" s="391"/>
      <c r="AF25" s="382"/>
      <c r="AG25" s="420" t="s">
        <v>532</v>
      </c>
      <c r="AH25" s="384"/>
      <c r="AI25" s="421"/>
      <c r="AJ25" s="422"/>
      <c r="AK25" s="380"/>
    </row>
    <row r="26" spans="2:37" s="334" customFormat="1" ht="25.5" customHeight="1" x14ac:dyDescent="0.25">
      <c r="B26" s="365" t="s">
        <v>548</v>
      </c>
      <c r="C26" s="388"/>
      <c r="D26" s="389"/>
      <c r="E26" s="368" t="s">
        <v>549</v>
      </c>
      <c r="F26" s="369"/>
      <c r="G26" s="369"/>
      <c r="H26" s="369"/>
      <c r="I26" s="372">
        <v>99</v>
      </c>
      <c r="J26" s="371" t="s">
        <v>469</v>
      </c>
      <c r="K26" s="372">
        <v>1</v>
      </c>
      <c r="L26" s="371" t="s">
        <v>138</v>
      </c>
      <c r="M26" s="373">
        <f>IF(I26&gt;0,산출기준_CI!$G$114,0)</f>
        <v>60</v>
      </c>
      <c r="N26" s="373">
        <f t="shared" si="0"/>
        <v>60</v>
      </c>
      <c r="O26" s="373">
        <f>IF(I26=0,0,IF(I26/K26&lt;=100,180,IF(I26/K26&gt;100,ROUNDUP((180+((I26/K26-100)*0.3)),0),fault)))</f>
        <v>180</v>
      </c>
      <c r="P26" s="373">
        <f t="shared" si="1"/>
        <v>180</v>
      </c>
      <c r="Q26" s="373">
        <f>IF(I26=0,0,IF(I26/K26&lt;=100,100,IF(I26/K26&gt;100,ROUNDUP((100+((I26/K26-100)*0.3)),0),fault)))</f>
        <v>100</v>
      </c>
      <c r="R26" s="373">
        <f t="shared" si="2"/>
        <v>100</v>
      </c>
      <c r="S26" s="374"/>
      <c r="T26" s="365" t="s">
        <v>550</v>
      </c>
      <c r="U26" s="425" t="s">
        <v>188</v>
      </c>
      <c r="V26" s="423" t="s">
        <v>551</v>
      </c>
      <c r="W26" s="423" t="s">
        <v>189</v>
      </c>
      <c r="X26" s="377">
        <v>0.3</v>
      </c>
      <c r="Y26" s="378">
        <v>0.1</v>
      </c>
      <c r="Z26" s="369"/>
      <c r="AA26" s="379">
        <v>200</v>
      </c>
      <c r="AB26" s="371" t="s">
        <v>469</v>
      </c>
      <c r="AC26" s="380" t="s">
        <v>530</v>
      </c>
      <c r="AD26" s="365" t="s">
        <v>552</v>
      </c>
      <c r="AE26" s="391"/>
      <c r="AF26" s="382"/>
      <c r="AG26" s="420" t="s">
        <v>537</v>
      </c>
      <c r="AH26" s="384"/>
      <c r="AI26" s="421"/>
      <c r="AJ26" s="422"/>
      <c r="AK26" s="380"/>
    </row>
    <row r="27" spans="2:37" s="334" customFormat="1" ht="25.5" customHeight="1" x14ac:dyDescent="0.25">
      <c r="B27" s="365" t="s">
        <v>553</v>
      </c>
      <c r="C27" s="388"/>
      <c r="D27" s="389"/>
      <c r="E27" s="368" t="s">
        <v>554</v>
      </c>
      <c r="F27" s="369"/>
      <c r="G27" s="369"/>
      <c r="H27" s="369"/>
      <c r="I27" s="372">
        <v>0</v>
      </c>
      <c r="J27" s="371" t="s">
        <v>469</v>
      </c>
      <c r="K27" s="372">
        <v>0</v>
      </c>
      <c r="L27" s="371" t="s">
        <v>138</v>
      </c>
      <c r="M27" s="373">
        <f>IF(I27&gt;0,산출기준_CI!$G$114,0)</f>
        <v>0</v>
      </c>
      <c r="N27" s="373">
        <f t="shared" si="0"/>
        <v>0</v>
      </c>
      <c r="O27" s="373">
        <f>IF(I27=0,0,IF(I27/K27&lt;=100,180,IF(I27/K27&gt;100,ROUNDUP((180+((I27/K27-100)*0.3)),0),fault)))</f>
        <v>0</v>
      </c>
      <c r="P27" s="373">
        <f t="shared" si="1"/>
        <v>0</v>
      </c>
      <c r="Q27" s="373">
        <f>IF(I27=0,0,IF(I27/K27&lt;=100,100,IF(I27/K27&gt;100,ROUNDUP((100+((I27/K27-100)*0.3)),0),fault)))</f>
        <v>0</v>
      </c>
      <c r="R27" s="373">
        <f t="shared" si="2"/>
        <v>0</v>
      </c>
      <c r="S27" s="374"/>
      <c r="T27" s="365" t="s">
        <v>555</v>
      </c>
      <c r="U27" s="425"/>
      <c r="V27" s="423" t="s">
        <v>556</v>
      </c>
      <c r="W27" s="423" t="s">
        <v>192</v>
      </c>
      <c r="X27" s="377">
        <v>0.3</v>
      </c>
      <c r="Y27" s="378">
        <v>0.1</v>
      </c>
      <c r="Z27" s="369"/>
      <c r="AA27" s="379">
        <v>0</v>
      </c>
      <c r="AB27" s="371" t="s">
        <v>469</v>
      </c>
      <c r="AC27" s="380" t="s">
        <v>530</v>
      </c>
      <c r="AD27" s="365" t="s">
        <v>557</v>
      </c>
      <c r="AE27" s="391"/>
      <c r="AF27" s="382" t="s">
        <v>447</v>
      </c>
      <c r="AG27" s="420" t="s">
        <v>524</v>
      </c>
      <c r="AH27" s="384" t="s">
        <v>525</v>
      </c>
      <c r="AI27" s="421"/>
      <c r="AJ27" s="422" t="str">
        <f>IF(AH27="1)","상",IF(AH27="2)","중",IF(AH27="3)","하","ERROR")))</f>
        <v>중</v>
      </c>
      <c r="AK27" s="380"/>
    </row>
    <row r="28" spans="2:37" s="334" customFormat="1" ht="25.5" customHeight="1" x14ac:dyDescent="0.25">
      <c r="B28" s="365" t="s">
        <v>558</v>
      </c>
      <c r="C28" s="388"/>
      <c r="D28" s="389"/>
      <c r="E28" s="368" t="s">
        <v>559</v>
      </c>
      <c r="F28" s="369"/>
      <c r="G28" s="369"/>
      <c r="H28" s="369"/>
      <c r="I28" s="372">
        <v>25</v>
      </c>
      <c r="J28" s="371" t="s">
        <v>469</v>
      </c>
      <c r="K28" s="372">
        <v>1</v>
      </c>
      <c r="L28" s="371" t="s">
        <v>138</v>
      </c>
      <c r="M28" s="373">
        <f>IF(I28&gt;0,산출기준_CI!$G$114,0)</f>
        <v>60</v>
      </c>
      <c r="N28" s="373">
        <f t="shared" si="0"/>
        <v>60</v>
      </c>
      <c r="O28" s="373">
        <f>IF(I28=0,0,IF(I28/K28&lt;=100,180,IF(I28/K28&gt;100,ROUNDUP((180+((I28/K28-100)*0.3)),0),fault)))</f>
        <v>180</v>
      </c>
      <c r="P28" s="373">
        <f t="shared" si="1"/>
        <v>180</v>
      </c>
      <c r="Q28" s="373">
        <f>IF(I28=0,0,IF(I28/K28&lt;=100,100,IF(I28/K28&gt;100,ROUNDUP((100+((I28/K28-100)*0.3)),0),fault)))</f>
        <v>100</v>
      </c>
      <c r="R28" s="373">
        <f t="shared" si="2"/>
        <v>100</v>
      </c>
      <c r="S28" s="374"/>
      <c r="T28" s="365" t="s">
        <v>560</v>
      </c>
      <c r="U28" s="425"/>
      <c r="V28" s="423" t="s">
        <v>561</v>
      </c>
      <c r="W28" s="423" t="s">
        <v>561</v>
      </c>
      <c r="X28" s="377">
        <v>0.3</v>
      </c>
      <c r="Y28" s="378">
        <v>0.1</v>
      </c>
      <c r="Z28" s="369"/>
      <c r="AA28" s="379">
        <v>0</v>
      </c>
      <c r="AB28" s="371" t="s">
        <v>469</v>
      </c>
      <c r="AC28" s="380" t="s">
        <v>530</v>
      </c>
      <c r="AD28" s="365" t="s">
        <v>562</v>
      </c>
      <c r="AE28" s="391"/>
      <c r="AF28" s="382"/>
      <c r="AG28" s="420" t="s">
        <v>532</v>
      </c>
      <c r="AH28" s="384"/>
      <c r="AI28" s="421"/>
      <c r="AJ28" s="422"/>
      <c r="AK28" s="380"/>
    </row>
    <row r="29" spans="2:37" s="334" customFormat="1" ht="25.5" customHeight="1" x14ac:dyDescent="0.25">
      <c r="B29" s="365" t="s">
        <v>563</v>
      </c>
      <c r="C29" s="393"/>
      <c r="D29" s="394"/>
      <c r="E29" s="368" t="s">
        <v>564</v>
      </c>
      <c r="F29" s="369"/>
      <c r="G29" s="369"/>
      <c r="H29" s="369"/>
      <c r="I29" s="372">
        <v>0</v>
      </c>
      <c r="J29" s="371" t="s">
        <v>469</v>
      </c>
      <c r="K29" s="372">
        <v>0</v>
      </c>
      <c r="L29" s="371" t="s">
        <v>138</v>
      </c>
      <c r="M29" s="373">
        <f>IF(I29&gt;0,산출기준_CI!$G$114,0)</f>
        <v>0</v>
      </c>
      <c r="N29" s="373">
        <f t="shared" si="0"/>
        <v>0</v>
      </c>
      <c r="O29" s="373">
        <f>IF(I29=0,0,IF(I29/K29&lt;=100,180,IF(I29/K29&gt;100,ROUNDUP((180+((I29/K29-100)*0.3)),0),fault)))</f>
        <v>0</v>
      </c>
      <c r="P29" s="373">
        <f t="shared" si="1"/>
        <v>0</v>
      </c>
      <c r="Q29" s="373">
        <f>IF(I29=0,0,IF(I29/K29&lt;=100,100,IF(I29/K29&gt;100,ROUNDUP((100+((I29/K29-100)*0.3)),0),fault)))</f>
        <v>0</v>
      </c>
      <c r="R29" s="373">
        <f t="shared" si="2"/>
        <v>0</v>
      </c>
      <c r="S29" s="374"/>
      <c r="T29" s="365" t="s">
        <v>565</v>
      </c>
      <c r="U29" s="381" t="s">
        <v>194</v>
      </c>
      <c r="V29" s="426" t="s">
        <v>566</v>
      </c>
      <c r="W29" s="427" t="s">
        <v>195</v>
      </c>
      <c r="X29" s="377">
        <v>0.3</v>
      </c>
      <c r="Y29" s="378">
        <v>0.1</v>
      </c>
      <c r="Z29" s="377">
        <v>0.3</v>
      </c>
      <c r="AA29" s="428">
        <v>3</v>
      </c>
      <c r="AB29" s="429" t="s">
        <v>481</v>
      </c>
      <c r="AC29" s="430"/>
      <c r="AD29" s="365" t="s">
        <v>567</v>
      </c>
      <c r="AE29" s="391"/>
      <c r="AF29" s="382"/>
      <c r="AG29" s="420" t="s">
        <v>537</v>
      </c>
      <c r="AH29" s="384"/>
      <c r="AI29" s="421"/>
      <c r="AJ29" s="422"/>
      <c r="AK29" s="380"/>
    </row>
    <row r="30" spans="2:37" s="334" customFormat="1" ht="25.5" customHeight="1" x14ac:dyDescent="0.25">
      <c r="B30" s="365" t="s">
        <v>568</v>
      </c>
      <c r="C30" s="366" t="s">
        <v>569</v>
      </c>
      <c r="D30" s="367" t="s">
        <v>570</v>
      </c>
      <c r="E30" s="368" t="s">
        <v>571</v>
      </c>
      <c r="F30" s="369"/>
      <c r="G30" s="369"/>
      <c r="H30" s="369"/>
      <c r="I30" s="372">
        <v>10</v>
      </c>
      <c r="J30" s="371" t="s">
        <v>469</v>
      </c>
      <c r="K30" s="372">
        <v>1</v>
      </c>
      <c r="L30" s="371" t="s">
        <v>138</v>
      </c>
      <c r="M30" s="373">
        <f>IF(I30&gt;0,산출기준_CI!$G$115,0)</f>
        <v>60</v>
      </c>
      <c r="N30" s="373">
        <f t="shared" si="0"/>
        <v>60</v>
      </c>
      <c r="O30" s="373">
        <f>IF(I30=0,0,IF(I30/K30&lt;=200,120,IF(I30/K30&gt;200,ROUNDUP((120+((I30/K30-200)*0.1)),0),fault)))</f>
        <v>120</v>
      </c>
      <c r="P30" s="373">
        <f t="shared" si="1"/>
        <v>120</v>
      </c>
      <c r="Q30" s="373">
        <f>IF(I30=0,0,IF(I30/K30&lt;=200,50,IF(I30/K30&gt;200,ROUNDUP((50+((I30/K30-200)*0.1)),0),fault)))</f>
        <v>50</v>
      </c>
      <c r="R30" s="373">
        <f t="shared" si="2"/>
        <v>50</v>
      </c>
      <c r="S30" s="374"/>
      <c r="T30" s="365" t="s">
        <v>572</v>
      </c>
      <c r="U30" s="391"/>
      <c r="V30" s="431"/>
      <c r="W30" s="427" t="s">
        <v>199</v>
      </c>
      <c r="X30" s="377">
        <v>0.3</v>
      </c>
      <c r="Y30" s="378">
        <v>0.1</v>
      </c>
      <c r="Z30" s="377">
        <v>0.3</v>
      </c>
      <c r="AA30" s="432">
        <v>2</v>
      </c>
      <c r="AB30" s="371" t="s">
        <v>481</v>
      </c>
      <c r="AC30" s="380"/>
      <c r="AD30" s="365" t="s">
        <v>573</v>
      </c>
      <c r="AE30" s="391"/>
      <c r="AF30" s="382" t="s">
        <v>454</v>
      </c>
      <c r="AG30" s="420" t="s">
        <v>524</v>
      </c>
      <c r="AH30" s="384" t="s">
        <v>525</v>
      </c>
      <c r="AI30" s="421"/>
      <c r="AJ30" s="422" t="str">
        <f t="shared" ref="AJ30" si="4">IF(AH30="1)","상",IF(AH30="2)","중",IF(AH30="3)","하","ERROR")))</f>
        <v>중</v>
      </c>
      <c r="AK30" s="380"/>
    </row>
    <row r="31" spans="2:37" s="334" customFormat="1" ht="25.5" customHeight="1" x14ac:dyDescent="0.25">
      <c r="B31" s="365" t="s">
        <v>574</v>
      </c>
      <c r="C31" s="388"/>
      <c r="D31" s="389"/>
      <c r="E31" s="368" t="s">
        <v>575</v>
      </c>
      <c r="F31" s="369"/>
      <c r="G31" s="369"/>
      <c r="H31" s="369"/>
      <c r="I31" s="372">
        <v>18</v>
      </c>
      <c r="J31" s="371" t="s">
        <v>469</v>
      </c>
      <c r="K31" s="372">
        <v>2</v>
      </c>
      <c r="L31" s="371" t="s">
        <v>138</v>
      </c>
      <c r="M31" s="373">
        <f>IF(I31&gt;0,산출기준_CI!$G$115,0)</f>
        <v>60</v>
      </c>
      <c r="N31" s="373">
        <f t="shared" si="0"/>
        <v>120</v>
      </c>
      <c r="O31" s="373">
        <f>IF(I31=0,0,IF(I31/K31&lt;=200,120,IF(I31/K31&gt;200,ROUNDUP((120+((I31/K31-200)*0.1)),0),fault)))</f>
        <v>120</v>
      </c>
      <c r="P31" s="373">
        <f t="shared" si="1"/>
        <v>240</v>
      </c>
      <c r="Q31" s="373">
        <f>IF(I31=0,0,IF(I31/K31&lt;=200,50,IF(I31/K31&gt;200,ROUNDUP((50+((I31/K31-200)*0.1)),0),fault)))</f>
        <v>50</v>
      </c>
      <c r="R31" s="373">
        <f t="shared" si="2"/>
        <v>100</v>
      </c>
      <c r="S31" s="374"/>
      <c r="T31" s="365" t="s">
        <v>576</v>
      </c>
      <c r="U31" s="391"/>
      <c r="V31" s="426" t="s">
        <v>577</v>
      </c>
      <c r="W31" s="433" t="s">
        <v>578</v>
      </c>
      <c r="X31" s="377">
        <v>0.3</v>
      </c>
      <c r="Y31" s="378">
        <v>0.1</v>
      </c>
      <c r="Z31" s="377">
        <v>0.3</v>
      </c>
      <c r="AA31" s="434">
        <f>IF(AA33&gt;0,1,0)+IF(AA34&gt;0,1,0)+IF(AA35&gt;0,1,0)+IF(AA36&gt;0,1,0)+IF(AA37&gt;0,1,0)+IF(AA38&gt;0,1,0)</f>
        <v>6</v>
      </c>
      <c r="AB31" s="371" t="s">
        <v>481</v>
      </c>
      <c r="AC31" s="380"/>
      <c r="AD31" s="365" t="s">
        <v>579</v>
      </c>
      <c r="AE31" s="391"/>
      <c r="AF31" s="382"/>
      <c r="AG31" s="420" t="s">
        <v>532</v>
      </c>
      <c r="AH31" s="384"/>
      <c r="AI31" s="421"/>
      <c r="AJ31" s="422"/>
      <c r="AK31" s="380"/>
    </row>
    <row r="32" spans="2:37" s="334" customFormat="1" ht="25.5" customHeight="1" x14ac:dyDescent="0.25">
      <c r="B32" s="365" t="s">
        <v>580</v>
      </c>
      <c r="C32" s="388"/>
      <c r="D32" s="389"/>
      <c r="E32" s="368" t="s">
        <v>581</v>
      </c>
      <c r="F32" s="369"/>
      <c r="G32" s="369"/>
      <c r="H32" s="369"/>
      <c r="I32" s="372">
        <v>521</v>
      </c>
      <c r="J32" s="371" t="s">
        <v>469</v>
      </c>
      <c r="K32" s="372">
        <v>1</v>
      </c>
      <c r="L32" s="371" t="s">
        <v>138</v>
      </c>
      <c r="M32" s="373">
        <f>IF(I32&gt;0,산출기준_CI!$G$115,0)</f>
        <v>60</v>
      </c>
      <c r="N32" s="373">
        <f t="shared" si="0"/>
        <v>60</v>
      </c>
      <c r="O32" s="373">
        <f>IF(I32=0,0,IF(I32/K32&lt;=200,120,IF(I32/K32&gt;200,ROUNDUP((120+((I32/K32-200)*0.1)),0),fault)))</f>
        <v>153</v>
      </c>
      <c r="P32" s="373">
        <f t="shared" si="1"/>
        <v>153</v>
      </c>
      <c r="Q32" s="373">
        <f>IF(I32=0,0,IF(I32/K32&lt;=200,50,IF(I32/K32&gt;200,ROUNDUP((50+((I32/K32-200)*0.1)),0),fault)))</f>
        <v>83</v>
      </c>
      <c r="R32" s="373">
        <f t="shared" si="2"/>
        <v>83</v>
      </c>
      <c r="S32" s="374"/>
      <c r="T32" s="365" t="s">
        <v>582</v>
      </c>
      <c r="U32" s="391"/>
      <c r="V32" s="435"/>
      <c r="W32" s="427" t="s">
        <v>207</v>
      </c>
      <c r="X32" s="377">
        <v>0.3</v>
      </c>
      <c r="Y32" s="378">
        <v>0.1</v>
      </c>
      <c r="Z32" s="377">
        <v>0.3</v>
      </c>
      <c r="AA32" s="432">
        <v>2</v>
      </c>
      <c r="AB32" s="371" t="s">
        <v>481</v>
      </c>
      <c r="AC32" s="380" t="s">
        <v>583</v>
      </c>
      <c r="AD32" s="365" t="s">
        <v>584</v>
      </c>
      <c r="AE32" s="391"/>
      <c r="AF32" s="382"/>
      <c r="AG32" s="420" t="s">
        <v>537</v>
      </c>
      <c r="AH32" s="384"/>
      <c r="AI32" s="421"/>
      <c r="AJ32" s="422"/>
      <c r="AK32" s="380"/>
    </row>
    <row r="33" spans="2:37" s="334" customFormat="1" ht="25.5" customHeight="1" x14ac:dyDescent="0.25">
      <c r="B33" s="365" t="s">
        <v>585</v>
      </c>
      <c r="C33" s="388"/>
      <c r="D33" s="389"/>
      <c r="E33" s="368" t="s">
        <v>586</v>
      </c>
      <c r="F33" s="369"/>
      <c r="G33" s="369"/>
      <c r="H33" s="369"/>
      <c r="I33" s="372">
        <v>0</v>
      </c>
      <c r="J33" s="371" t="s">
        <v>469</v>
      </c>
      <c r="K33" s="372">
        <v>0</v>
      </c>
      <c r="L33" s="371" t="s">
        <v>138</v>
      </c>
      <c r="M33" s="373">
        <f>IF(I33&gt;0,산출기준_CI!$G$115,0)</f>
        <v>0</v>
      </c>
      <c r="N33" s="373">
        <f t="shared" si="0"/>
        <v>0</v>
      </c>
      <c r="O33" s="373">
        <f>IF(I33=0,0,IF(I33/K33&lt;=200,120,IF(I33/K33&gt;200,ROUNDUP((120+((I33/K33-200)*0.1)),0),fault)))</f>
        <v>0</v>
      </c>
      <c r="P33" s="373">
        <f t="shared" si="1"/>
        <v>0</v>
      </c>
      <c r="Q33" s="373">
        <f>IF(I33=0,0,IF(I33/K33&lt;=200,50,IF(I33/K33&gt;200,ROUNDUP((50+((I33/K33-200)*0.1)),0),fault)))</f>
        <v>0</v>
      </c>
      <c r="R33" s="373">
        <f t="shared" si="2"/>
        <v>0</v>
      </c>
      <c r="S33" s="374"/>
      <c r="T33" s="365" t="s">
        <v>587</v>
      </c>
      <c r="U33" s="391"/>
      <c r="V33" s="435"/>
      <c r="W33" s="433" t="s">
        <v>588</v>
      </c>
      <c r="X33" s="377">
        <v>0.3</v>
      </c>
      <c r="Y33" s="378">
        <v>0.1</v>
      </c>
      <c r="Z33" s="377">
        <v>0.3</v>
      </c>
      <c r="AA33" s="434">
        <f>ROUNDUP(SUM(I12:I39)/50,0)</f>
        <v>23</v>
      </c>
      <c r="AB33" s="371" t="s">
        <v>481</v>
      </c>
      <c r="AC33" s="380"/>
      <c r="AD33" s="365" t="s">
        <v>589</v>
      </c>
      <c r="AE33" s="414"/>
      <c r="AF33" s="436" t="s">
        <v>462</v>
      </c>
      <c r="AG33" s="436" t="s">
        <v>462</v>
      </c>
      <c r="AH33" s="437" t="s">
        <v>590</v>
      </c>
      <c r="AI33" s="421"/>
      <c r="AJ33" s="438" t="str">
        <f>$AJ$8</f>
        <v>상</v>
      </c>
      <c r="AK33" s="380" t="s">
        <v>591</v>
      </c>
    </row>
    <row r="34" spans="2:37" s="334" customFormat="1" ht="25.5" customHeight="1" x14ac:dyDescent="0.25">
      <c r="B34" s="365" t="s">
        <v>592</v>
      </c>
      <c r="C34" s="388"/>
      <c r="D34" s="394"/>
      <c r="E34" s="368" t="s">
        <v>593</v>
      </c>
      <c r="F34" s="369"/>
      <c r="G34" s="369"/>
      <c r="H34" s="369"/>
      <c r="I34" s="372">
        <v>0</v>
      </c>
      <c r="J34" s="371" t="s">
        <v>469</v>
      </c>
      <c r="K34" s="372">
        <v>0</v>
      </c>
      <c r="L34" s="371" t="s">
        <v>138</v>
      </c>
      <c r="M34" s="373">
        <f>IF(I34&gt;0,산출기준_CI!$G$115,0)</f>
        <v>0</v>
      </c>
      <c r="N34" s="373">
        <f t="shared" si="0"/>
        <v>0</v>
      </c>
      <c r="O34" s="373">
        <f>IF(I34=0,0,IF(I34/K34&lt;=200,120,IF(I34/K34&gt;200,ROUNDUP((120+((I34/K34-200)*0.1)),0),fault)))</f>
        <v>0</v>
      </c>
      <c r="P34" s="373">
        <f t="shared" si="1"/>
        <v>0</v>
      </c>
      <c r="Q34" s="373">
        <f>IF(I34=0,0,IF(I34/K34&lt;=200,50,IF(I34/K34&gt;200,ROUNDUP((50+((I34/K34-200)*0.1)),0),fault)))</f>
        <v>0</v>
      </c>
      <c r="R34" s="373">
        <f t="shared" si="2"/>
        <v>0</v>
      </c>
      <c r="S34" s="374"/>
      <c r="T34" s="365" t="s">
        <v>594</v>
      </c>
      <c r="U34" s="391"/>
      <c r="V34" s="435"/>
      <c r="W34" s="433" t="s">
        <v>214</v>
      </c>
      <c r="X34" s="377">
        <v>0.3</v>
      </c>
      <c r="Y34" s="378">
        <v>0.1</v>
      </c>
      <c r="Z34" s="377">
        <v>0.3</v>
      </c>
      <c r="AA34" s="434">
        <f>ROUNDUP(AA36*0.7,0)</f>
        <v>24</v>
      </c>
      <c r="AB34" s="371" t="s">
        <v>481</v>
      </c>
      <c r="AC34" s="380"/>
      <c r="AD34" s="365" t="s">
        <v>595</v>
      </c>
      <c r="AE34" s="381" t="s">
        <v>596</v>
      </c>
      <c r="AF34" s="439" t="s">
        <v>597</v>
      </c>
      <c r="AG34" s="420" t="s">
        <v>598</v>
      </c>
      <c r="AH34" s="384" t="s">
        <v>525</v>
      </c>
      <c r="AI34" s="421"/>
      <c r="AJ34" s="422" t="str">
        <f>IF(AH34="1)","SPI-내부",IF(AH34="2)","SPI-외부",IF(AH34="3)","중","ERROR")))</f>
        <v>SPI-외부</v>
      </c>
      <c r="AK34" s="380"/>
    </row>
    <row r="35" spans="2:37" s="334" customFormat="1" ht="25.5" customHeight="1" x14ac:dyDescent="0.25">
      <c r="B35" s="365" t="s">
        <v>599</v>
      </c>
      <c r="C35" s="388"/>
      <c r="D35" s="367" t="s">
        <v>600</v>
      </c>
      <c r="E35" s="368" t="s">
        <v>601</v>
      </c>
      <c r="F35" s="369"/>
      <c r="G35" s="369"/>
      <c r="H35" s="369"/>
      <c r="I35" s="372">
        <v>134</v>
      </c>
      <c r="J35" s="371" t="s">
        <v>469</v>
      </c>
      <c r="K35" s="372">
        <v>1</v>
      </c>
      <c r="L35" s="371" t="s">
        <v>138</v>
      </c>
      <c r="M35" s="373">
        <f>IF(I35&gt;0,산출기준_CI!$G$115,0)</f>
        <v>60</v>
      </c>
      <c r="N35" s="373">
        <f t="shared" si="0"/>
        <v>60</v>
      </c>
      <c r="O35" s="373">
        <f>IF(I35=0,0,IF(I35/K35&lt;=200,120,IF(I35/K35&gt;200,ROUNDUP((120+((I35/K35-200)*0.1)),0),fault)))</f>
        <v>120</v>
      </c>
      <c r="P35" s="373">
        <f t="shared" si="1"/>
        <v>120</v>
      </c>
      <c r="Q35" s="373">
        <f>IF(I35=0,0,IF(I35/K35&lt;=200,50,IF(I35/K35&gt;200,ROUNDUP((50+((I35/K35-200)*0.1)),0),fault)))</f>
        <v>50</v>
      </c>
      <c r="R35" s="373">
        <f t="shared" si="2"/>
        <v>50</v>
      </c>
      <c r="S35" s="374"/>
      <c r="T35" s="365" t="s">
        <v>602</v>
      </c>
      <c r="U35" s="391"/>
      <c r="V35" s="435"/>
      <c r="W35" s="433" t="s">
        <v>219</v>
      </c>
      <c r="X35" s="377">
        <v>0.3</v>
      </c>
      <c r="Y35" s="378">
        <v>0.1</v>
      </c>
      <c r="Z35" s="377">
        <v>0.3</v>
      </c>
      <c r="AA35" s="434">
        <f>ROUNDUP(AA36*0.6,0)</f>
        <v>21</v>
      </c>
      <c r="AB35" s="371" t="s">
        <v>481</v>
      </c>
      <c r="AC35" s="380"/>
      <c r="AD35" s="365" t="s">
        <v>603</v>
      </c>
      <c r="AE35" s="391"/>
      <c r="AF35" s="439"/>
      <c r="AG35" s="420" t="s">
        <v>604</v>
      </c>
      <c r="AH35" s="384"/>
      <c r="AI35" s="421"/>
      <c r="AJ35" s="422"/>
      <c r="AK35" s="380"/>
    </row>
    <row r="36" spans="2:37" s="334" customFormat="1" ht="25.5" customHeight="1" x14ac:dyDescent="0.25">
      <c r="B36" s="365" t="s">
        <v>605</v>
      </c>
      <c r="C36" s="388"/>
      <c r="D36" s="389"/>
      <c r="E36" s="368" t="s">
        <v>606</v>
      </c>
      <c r="F36" s="369"/>
      <c r="G36" s="369"/>
      <c r="H36" s="369"/>
      <c r="I36" s="372">
        <v>0</v>
      </c>
      <c r="J36" s="371" t="s">
        <v>469</v>
      </c>
      <c r="K36" s="372">
        <v>0</v>
      </c>
      <c r="L36" s="371" t="s">
        <v>138</v>
      </c>
      <c r="M36" s="373">
        <f>IF(I36&gt;0,산출기준_CI!$G$115,0)</f>
        <v>0</v>
      </c>
      <c r="N36" s="373">
        <f t="shared" si="0"/>
        <v>0</v>
      </c>
      <c r="O36" s="373">
        <f>IF(I36=0,0,IF(I36/K36&lt;=200,120,IF(I36/K36&gt;200,ROUNDUP((120+((I36/K36-200)*0.1)),0),fault)))</f>
        <v>0</v>
      </c>
      <c r="P36" s="373">
        <f t="shared" si="1"/>
        <v>0</v>
      </c>
      <c r="Q36" s="373">
        <f>IF(I36=0,0,IF(I36/K36&lt;=200,50,IF(I36/K36&gt;200,ROUNDUP((50+((I36/K36-200)*0.1)),0),fault)))</f>
        <v>0</v>
      </c>
      <c r="R36" s="373">
        <f t="shared" si="2"/>
        <v>0</v>
      </c>
      <c r="S36" s="374"/>
      <c r="T36" s="365" t="s">
        <v>607</v>
      </c>
      <c r="U36" s="391"/>
      <c r="V36" s="435"/>
      <c r="W36" s="433" t="s">
        <v>608</v>
      </c>
      <c r="X36" s="377">
        <v>0.3</v>
      </c>
      <c r="Y36" s="378">
        <v>0.1</v>
      </c>
      <c r="Z36" s="377">
        <v>0.3</v>
      </c>
      <c r="AA36" s="434">
        <f>ROUNDUP((SUM(I12:I20,I21,I30:I34)+SUM(I23:I25,I28:I29)*2)/30,0)</f>
        <v>34</v>
      </c>
      <c r="AB36" s="371" t="s">
        <v>481</v>
      </c>
      <c r="AC36" s="380"/>
      <c r="AD36" s="365" t="s">
        <v>609</v>
      </c>
      <c r="AE36" s="391"/>
      <c r="AF36" s="439"/>
      <c r="AG36" s="420" t="s">
        <v>610</v>
      </c>
      <c r="AH36" s="384"/>
      <c r="AI36" s="421"/>
      <c r="AJ36" s="422"/>
      <c r="AK36" s="380"/>
    </row>
    <row r="37" spans="2:37" s="334" customFormat="1" ht="25.5" customHeight="1" x14ac:dyDescent="0.25">
      <c r="B37" s="365" t="s">
        <v>611</v>
      </c>
      <c r="C37" s="388"/>
      <c r="D37" s="389"/>
      <c r="E37" s="368" t="s">
        <v>612</v>
      </c>
      <c r="F37" s="369"/>
      <c r="G37" s="369"/>
      <c r="H37" s="369"/>
      <c r="I37" s="372">
        <v>37</v>
      </c>
      <c r="J37" s="371" t="s">
        <v>469</v>
      </c>
      <c r="K37" s="372">
        <v>1</v>
      </c>
      <c r="L37" s="371" t="s">
        <v>138</v>
      </c>
      <c r="M37" s="373">
        <f>IF(I37&gt;0,산출기준_CI!$G$115,0)</f>
        <v>60</v>
      </c>
      <c r="N37" s="373">
        <f t="shared" si="0"/>
        <v>60</v>
      </c>
      <c r="O37" s="373">
        <f>IF(I37=0,0,IF(I37/K37&lt;=200,120,IF(I37/K37&gt;200,ROUNDUP((120+((I37/K37-200)*0.1)),0),fault)))</f>
        <v>120</v>
      </c>
      <c r="P37" s="373">
        <f t="shared" si="1"/>
        <v>120</v>
      </c>
      <c r="Q37" s="373">
        <f>IF(I37=0,0,IF(I37/K37&lt;=200,50,IF(I37/K37&gt;200,ROUNDUP((50+((I37/K37-200)*0.1)),0),fault)))</f>
        <v>50</v>
      </c>
      <c r="R37" s="373">
        <f t="shared" si="2"/>
        <v>50</v>
      </c>
      <c r="S37" s="374"/>
      <c r="T37" s="365" t="s">
        <v>613</v>
      </c>
      <c r="U37" s="391"/>
      <c r="V37" s="435"/>
      <c r="W37" s="433" t="s">
        <v>614</v>
      </c>
      <c r="X37" s="377">
        <v>0.3</v>
      </c>
      <c r="Y37" s="378">
        <v>0.1</v>
      </c>
      <c r="Z37" s="377">
        <v>0.3</v>
      </c>
      <c r="AA37" s="434">
        <f>ROUNDUP(SUM(I40:I42)/15,0)</f>
        <v>29</v>
      </c>
      <c r="AB37" s="371" t="s">
        <v>481</v>
      </c>
      <c r="AC37" s="380"/>
      <c r="AD37" s="365" t="s">
        <v>615</v>
      </c>
      <c r="AE37" s="391"/>
      <c r="AF37" s="439" t="s">
        <v>616</v>
      </c>
      <c r="AG37" s="420" t="s">
        <v>598</v>
      </c>
      <c r="AH37" s="384" t="s">
        <v>525</v>
      </c>
      <c r="AI37" s="421"/>
      <c r="AJ37" s="422" t="str">
        <f>IF(AH37="1)","SPI-내부",IF(AH37="2)","SPI-외부",IF(AH37="3)","중","ERROR")))</f>
        <v>SPI-외부</v>
      </c>
      <c r="AK37" s="380"/>
    </row>
    <row r="38" spans="2:37" s="334" customFormat="1" ht="25.5" customHeight="1" x14ac:dyDescent="0.25">
      <c r="B38" s="365" t="s">
        <v>617</v>
      </c>
      <c r="C38" s="388"/>
      <c r="D38" s="389"/>
      <c r="E38" s="368" t="s">
        <v>618</v>
      </c>
      <c r="F38" s="369"/>
      <c r="G38" s="369"/>
      <c r="H38" s="369"/>
      <c r="I38" s="372">
        <v>10</v>
      </c>
      <c r="J38" s="371" t="s">
        <v>469</v>
      </c>
      <c r="K38" s="372">
        <v>1</v>
      </c>
      <c r="L38" s="371" t="s">
        <v>138</v>
      </c>
      <c r="M38" s="373">
        <f>IF(I38&gt;0,산출기준_CI!$G$115,0)</f>
        <v>60</v>
      </c>
      <c r="N38" s="373">
        <f t="shared" si="0"/>
        <v>60</v>
      </c>
      <c r="O38" s="373">
        <f>IF(I38=0,0,IF(I38/K38&lt;=200,120,IF(I38/K38&gt;200,ROUNDUP((120+((I38/K38-200)*0.1)),0),fault)))</f>
        <v>120</v>
      </c>
      <c r="P38" s="373">
        <f t="shared" si="1"/>
        <v>120</v>
      </c>
      <c r="Q38" s="373">
        <f>IF(I38=0,0,IF(I38/K38&lt;=200,50,IF(I38/K38&gt;200,ROUNDUP((50+((I38/K38-200)*0.1)),0),fault)))</f>
        <v>50</v>
      </c>
      <c r="R38" s="373">
        <f t="shared" si="2"/>
        <v>50</v>
      </c>
      <c r="S38" s="374"/>
      <c r="T38" s="365" t="s">
        <v>619</v>
      </c>
      <c r="U38" s="391"/>
      <c r="V38" s="435"/>
      <c r="W38" s="433" t="s">
        <v>233</v>
      </c>
      <c r="X38" s="377">
        <v>0.3</v>
      </c>
      <c r="Y38" s="378">
        <v>0.1</v>
      </c>
      <c r="Z38" s="377">
        <v>0.3</v>
      </c>
      <c r="AA38" s="434">
        <f>ROUNDUP(SUM(I21,I23,I25,I28,I29)/15,0)</f>
        <v>17</v>
      </c>
      <c r="AB38" s="371" t="s">
        <v>481</v>
      </c>
      <c r="AC38" s="380"/>
      <c r="AD38" s="365" t="s">
        <v>620</v>
      </c>
      <c r="AE38" s="391"/>
      <c r="AF38" s="439"/>
      <c r="AG38" s="420" t="s">
        <v>604</v>
      </c>
      <c r="AH38" s="384"/>
      <c r="AI38" s="421"/>
      <c r="AJ38" s="422"/>
      <c r="AK38" s="380"/>
    </row>
    <row r="39" spans="2:37" s="334" customFormat="1" ht="25.5" customHeight="1" x14ac:dyDescent="0.25">
      <c r="B39" s="365" t="s">
        <v>621</v>
      </c>
      <c r="C39" s="388"/>
      <c r="D39" s="394"/>
      <c r="E39" s="368" t="s">
        <v>622</v>
      </c>
      <c r="F39" s="369"/>
      <c r="G39" s="369"/>
      <c r="H39" s="369"/>
      <c r="I39" s="372">
        <v>0</v>
      </c>
      <c r="J39" s="371" t="s">
        <v>469</v>
      </c>
      <c r="K39" s="372">
        <v>0</v>
      </c>
      <c r="L39" s="371" t="s">
        <v>138</v>
      </c>
      <c r="M39" s="373">
        <f>IF(I39&gt;0,산출기준_CI!$G$115,0)</f>
        <v>0</v>
      </c>
      <c r="N39" s="373">
        <f t="shared" si="0"/>
        <v>0</v>
      </c>
      <c r="O39" s="373">
        <f>IF(I39=0,0,IF(I39/K39&lt;=200,120,IF(I39/K39&gt;200,ROUNDUP((120+((I39/K39-200)*0.1)),0),fault)))</f>
        <v>0</v>
      </c>
      <c r="P39" s="373">
        <f t="shared" si="1"/>
        <v>0</v>
      </c>
      <c r="Q39" s="373">
        <f>IF(I39=0,0,IF(I39&lt;=200,50,IF(I39&gt;200,ROUNDUP((50+((I39-200)*0.1)),0),fault)))</f>
        <v>0</v>
      </c>
      <c r="R39" s="373">
        <f t="shared" si="2"/>
        <v>0</v>
      </c>
      <c r="S39" s="374"/>
      <c r="T39" s="365" t="s">
        <v>623</v>
      </c>
      <c r="U39" s="391"/>
      <c r="V39" s="435"/>
      <c r="W39" s="427" t="s">
        <v>624</v>
      </c>
      <c r="X39" s="369"/>
      <c r="Y39" s="369"/>
      <c r="Z39" s="369"/>
      <c r="AA39" s="440">
        <v>8</v>
      </c>
      <c r="AB39" s="371" t="s">
        <v>469</v>
      </c>
      <c r="AC39" s="380"/>
      <c r="AD39" s="365" t="s">
        <v>625</v>
      </c>
      <c r="AE39" s="391"/>
      <c r="AF39" s="439"/>
      <c r="AG39" s="420" t="s">
        <v>610</v>
      </c>
      <c r="AH39" s="384"/>
      <c r="AI39" s="421"/>
      <c r="AJ39" s="422"/>
      <c r="AK39" s="380"/>
    </row>
    <row r="40" spans="2:37" s="334" customFormat="1" ht="25.5" customHeight="1" x14ac:dyDescent="0.25">
      <c r="B40" s="365" t="s">
        <v>626</v>
      </c>
      <c r="C40" s="388"/>
      <c r="D40" s="367" t="s">
        <v>627</v>
      </c>
      <c r="E40" s="368" t="s">
        <v>628</v>
      </c>
      <c r="F40" s="369"/>
      <c r="G40" s="369"/>
      <c r="H40" s="369"/>
      <c r="I40" s="372">
        <v>432</v>
      </c>
      <c r="J40" s="371" t="s">
        <v>469</v>
      </c>
      <c r="K40" s="372">
        <v>1</v>
      </c>
      <c r="L40" s="371" t="s">
        <v>138</v>
      </c>
      <c r="M40" s="373">
        <f>IF(I40&gt;0,산출기준_CI!$G$115,0)</f>
        <v>60</v>
      </c>
      <c r="N40" s="373">
        <f t="shared" si="0"/>
        <v>60</v>
      </c>
      <c r="O40" s="373">
        <f>IF(I40=0,0,IF(I40/K40&lt;=400,120,IF(I40/K40&gt;400,ROUNDUP((120+((I40/K40-400)*0.02)),0),fault)))</f>
        <v>121</v>
      </c>
      <c r="P40" s="373">
        <f t="shared" si="1"/>
        <v>121</v>
      </c>
      <c r="Q40" s="373">
        <f>IF(I40=0,0,IF(I40/K40&lt;=400,50,IF(I40/K40&gt;400,ROUNDUP((50+((I40/K40-400)*0.02)),0),fault)))</f>
        <v>51</v>
      </c>
      <c r="R40" s="373">
        <f t="shared" si="2"/>
        <v>51</v>
      </c>
      <c r="S40" s="374"/>
      <c r="T40" s="365" t="s">
        <v>629</v>
      </c>
      <c r="U40" s="391"/>
      <c r="V40" s="435"/>
      <c r="W40" s="427" t="s">
        <v>630</v>
      </c>
      <c r="X40" s="377">
        <v>0.3</v>
      </c>
      <c r="Y40" s="378">
        <v>0.1</v>
      </c>
      <c r="Z40" s="377">
        <v>0.3</v>
      </c>
      <c r="AA40" s="441">
        <f>ROUNDUP(AA39*1.5,)</f>
        <v>12</v>
      </c>
      <c r="AB40" s="371" t="s">
        <v>481</v>
      </c>
      <c r="AC40" s="380"/>
      <c r="AD40" s="365" t="s">
        <v>631</v>
      </c>
      <c r="AE40" s="414"/>
      <c r="AF40" s="442" t="s">
        <v>155</v>
      </c>
      <c r="AG40" s="442" t="s">
        <v>155</v>
      </c>
      <c r="AH40" s="437" t="s">
        <v>590</v>
      </c>
      <c r="AI40" s="421"/>
      <c r="AJ40" s="438" t="str">
        <f>$AJ$8</f>
        <v>상</v>
      </c>
      <c r="AK40" s="380" t="s">
        <v>591</v>
      </c>
    </row>
    <row r="41" spans="2:37" s="334" customFormat="1" ht="25.5" customHeight="1" x14ac:dyDescent="0.25">
      <c r="B41" s="365" t="s">
        <v>632</v>
      </c>
      <c r="C41" s="388"/>
      <c r="D41" s="389"/>
      <c r="E41" s="368" t="s">
        <v>633</v>
      </c>
      <c r="F41" s="369"/>
      <c r="G41" s="369"/>
      <c r="H41" s="369"/>
      <c r="I41" s="372">
        <v>0</v>
      </c>
      <c r="J41" s="371" t="s">
        <v>469</v>
      </c>
      <c r="K41" s="372">
        <v>0</v>
      </c>
      <c r="L41" s="371" t="s">
        <v>138</v>
      </c>
      <c r="M41" s="373">
        <f>IF(I41&gt;0,산출기준_CI!$G$115,0)</f>
        <v>0</v>
      </c>
      <c r="N41" s="373">
        <f t="shared" si="0"/>
        <v>0</v>
      </c>
      <c r="O41" s="373">
        <f>IF(I41=0,0,IF(I41/K41&lt;=400,120,IF(I41/K41&gt;400,ROUNDUP((120+((I41/K41-400)*0.02)),0),fault)))</f>
        <v>0</v>
      </c>
      <c r="P41" s="373">
        <f t="shared" si="1"/>
        <v>0</v>
      </c>
      <c r="Q41" s="373">
        <f>IF(I41=0,0,IF(I41/K41&lt;=400,50,IF(I41/K41&gt;400,ROUNDUP((50+((I41/K41-400)*0.02)),0),fault)))</f>
        <v>0</v>
      </c>
      <c r="R41" s="373">
        <f t="shared" si="2"/>
        <v>0</v>
      </c>
      <c r="S41" s="374"/>
      <c r="T41" s="365" t="s">
        <v>634</v>
      </c>
      <c r="U41" s="391"/>
      <c r="V41" s="435"/>
      <c r="W41" s="427" t="s">
        <v>635</v>
      </c>
      <c r="X41" s="377">
        <v>0.3</v>
      </c>
      <c r="Y41" s="378">
        <v>0.1</v>
      </c>
      <c r="Z41" s="377">
        <v>0.3</v>
      </c>
      <c r="AA41" s="434">
        <f>AA39</f>
        <v>8</v>
      </c>
      <c r="AB41" s="371" t="s">
        <v>481</v>
      </c>
      <c r="AC41" s="380"/>
      <c r="AD41" s="365" t="s">
        <v>636</v>
      </c>
      <c r="AE41" s="425" t="s">
        <v>637</v>
      </c>
      <c r="AF41" s="436" t="s">
        <v>185</v>
      </c>
      <c r="AG41" s="436" t="s">
        <v>638</v>
      </c>
      <c r="AH41" s="411" t="s">
        <v>398</v>
      </c>
      <c r="AI41" s="421"/>
      <c r="AJ41" s="438" t="str">
        <f t="shared" ref="AJ41:AJ43" si="5">IF(AH41="Yes","SPI",IF(AH41="No","N/A","ERROR"))</f>
        <v>N/A</v>
      </c>
      <c r="AK41" s="380"/>
    </row>
    <row r="42" spans="2:37" s="334" customFormat="1" ht="25.5" customHeight="1" x14ac:dyDescent="0.25">
      <c r="B42" s="365" t="s">
        <v>639</v>
      </c>
      <c r="C42" s="393"/>
      <c r="D42" s="394"/>
      <c r="E42" s="368" t="s">
        <v>640</v>
      </c>
      <c r="F42" s="369"/>
      <c r="G42" s="369"/>
      <c r="H42" s="369"/>
      <c r="I42" s="372">
        <v>0</v>
      </c>
      <c r="J42" s="371" t="s">
        <v>469</v>
      </c>
      <c r="K42" s="372">
        <v>0</v>
      </c>
      <c r="L42" s="371" t="s">
        <v>138</v>
      </c>
      <c r="M42" s="373">
        <f>IF(I42&gt;0,산출기준_CI!$G$115,0)</f>
        <v>0</v>
      </c>
      <c r="N42" s="373">
        <f t="shared" si="0"/>
        <v>0</v>
      </c>
      <c r="O42" s="373">
        <f>IF(I42=0,0,IF(I42/K42&lt;=200,120,IF(I42/K42&gt;200,ROUNDUP((120+((I42/K42-200)*0.1)),0),fault)))</f>
        <v>0</v>
      </c>
      <c r="P42" s="373">
        <f t="shared" si="1"/>
        <v>0</v>
      </c>
      <c r="Q42" s="373">
        <f t="shared" ref="Q42" si="6">IF(I42&gt;0,50,0)</f>
        <v>0</v>
      </c>
      <c r="R42" s="373">
        <f t="shared" si="2"/>
        <v>0</v>
      </c>
      <c r="S42" s="374"/>
      <c r="T42" s="365" t="s">
        <v>641</v>
      </c>
      <c r="U42" s="391"/>
      <c r="V42" s="431"/>
      <c r="W42" s="427" t="s">
        <v>246</v>
      </c>
      <c r="X42" s="377">
        <v>0.3</v>
      </c>
      <c r="Y42" s="378">
        <v>0.1</v>
      </c>
      <c r="Z42" s="377">
        <v>0.3</v>
      </c>
      <c r="AA42" s="434">
        <f>AA39</f>
        <v>8</v>
      </c>
      <c r="AB42" s="371" t="s">
        <v>481</v>
      </c>
      <c r="AC42" s="380"/>
      <c r="AD42" s="365" t="s">
        <v>642</v>
      </c>
      <c r="AE42" s="425"/>
      <c r="AF42" s="436" t="s">
        <v>186</v>
      </c>
      <c r="AG42" s="436" t="s">
        <v>638</v>
      </c>
      <c r="AH42" s="411" t="s">
        <v>398</v>
      </c>
      <c r="AI42" s="421"/>
      <c r="AJ42" s="438" t="str">
        <f t="shared" si="5"/>
        <v>N/A</v>
      </c>
      <c r="AK42" s="380"/>
    </row>
    <row r="43" spans="2:37" s="334" customFormat="1" ht="25.5" customHeight="1" x14ac:dyDescent="0.25">
      <c r="B43" s="365" t="s">
        <v>643</v>
      </c>
      <c r="C43" s="366" t="s">
        <v>644</v>
      </c>
      <c r="D43" s="426" t="s">
        <v>644</v>
      </c>
      <c r="E43" s="424" t="s">
        <v>645</v>
      </c>
      <c r="F43" s="369"/>
      <c r="G43" s="369"/>
      <c r="H43" s="369"/>
      <c r="I43" s="443" t="s">
        <v>98</v>
      </c>
      <c r="J43" s="444" t="s">
        <v>98</v>
      </c>
      <c r="K43" s="372">
        <v>10</v>
      </c>
      <c r="L43" s="371" t="s">
        <v>138</v>
      </c>
      <c r="M43" s="445">
        <f>산출기준_CI!G116</f>
        <v>60</v>
      </c>
      <c r="N43" s="373">
        <f t="shared" si="0"/>
        <v>600</v>
      </c>
      <c r="O43" s="445">
        <f>산출기준_CI!G124</f>
        <v>90</v>
      </c>
      <c r="P43" s="373">
        <f t="shared" si="1"/>
        <v>900</v>
      </c>
      <c r="Q43" s="445">
        <f>산출기준_CI!G135</f>
        <v>50</v>
      </c>
      <c r="R43" s="373">
        <f t="shared" si="2"/>
        <v>500</v>
      </c>
      <c r="S43" s="446"/>
      <c r="T43" s="365" t="s">
        <v>646</v>
      </c>
      <c r="U43" s="391"/>
      <c r="V43" s="426" t="s">
        <v>647</v>
      </c>
      <c r="W43" s="447" t="s">
        <v>648</v>
      </c>
      <c r="X43" s="377">
        <v>0.3</v>
      </c>
      <c r="Y43" s="378">
        <v>0.1</v>
      </c>
      <c r="Z43" s="377">
        <v>0.3</v>
      </c>
      <c r="AA43" s="401">
        <f>ROUNDUP(SUM(I12:I20,I30:I39)/15,0)</f>
        <v>51</v>
      </c>
      <c r="AB43" s="371" t="s">
        <v>481</v>
      </c>
      <c r="AC43" s="380"/>
      <c r="AD43" s="365" t="s">
        <v>649</v>
      </c>
      <c r="AE43" s="425"/>
      <c r="AF43" s="436" t="s">
        <v>187</v>
      </c>
      <c r="AG43" s="436" t="s">
        <v>638</v>
      </c>
      <c r="AH43" s="411" t="s">
        <v>398</v>
      </c>
      <c r="AI43" s="421"/>
      <c r="AJ43" s="438" t="str">
        <f t="shared" si="5"/>
        <v>N/A</v>
      </c>
      <c r="AK43" s="380"/>
    </row>
    <row r="44" spans="2:37" s="334" customFormat="1" ht="25.5" customHeight="1" x14ac:dyDescent="0.25">
      <c r="B44" s="365" t="s">
        <v>650</v>
      </c>
      <c r="C44" s="388"/>
      <c r="D44" s="435"/>
      <c r="E44" s="424" t="s">
        <v>651</v>
      </c>
      <c r="F44" s="369"/>
      <c r="G44" s="369"/>
      <c r="H44" s="369"/>
      <c r="I44" s="448">
        <v>650000</v>
      </c>
      <c r="J44" s="371" t="s">
        <v>652</v>
      </c>
      <c r="K44" s="368"/>
      <c r="L44" s="371"/>
      <c r="M44" s="445"/>
      <c r="N44" s="373"/>
      <c r="O44" s="445"/>
      <c r="P44" s="373"/>
      <c r="Q44" s="445"/>
      <c r="R44" s="373"/>
      <c r="S44" s="446"/>
      <c r="T44" s="365" t="s">
        <v>653</v>
      </c>
      <c r="U44" s="391"/>
      <c r="V44" s="435"/>
      <c r="W44" s="447" t="s">
        <v>654</v>
      </c>
      <c r="X44" s="377">
        <v>0.3</v>
      </c>
      <c r="Y44" s="378">
        <v>0.1</v>
      </c>
      <c r="Z44" s="377">
        <v>0.3</v>
      </c>
      <c r="AA44" s="401">
        <f>ROUNDUP(SUM(I21:I23,I25,I28:I29)/20,0)</f>
        <v>13</v>
      </c>
      <c r="AB44" s="371" t="s">
        <v>481</v>
      </c>
      <c r="AC44" s="380"/>
      <c r="AD44" s="365" t="s">
        <v>655</v>
      </c>
      <c r="AE44" s="381" t="s">
        <v>656</v>
      </c>
      <c r="AF44" s="449" t="s">
        <v>657</v>
      </c>
      <c r="AG44" s="420" t="s">
        <v>658</v>
      </c>
      <c r="AH44" s="384" t="s">
        <v>525</v>
      </c>
      <c r="AI44" s="421"/>
      <c r="AJ44" s="422" t="str">
        <f t="shared" ref="AJ44" si="7">IF(AH44="1)","상",IF(AH44="2)","중",IF(AH44="3)","하","ERROR")))</f>
        <v>중</v>
      </c>
      <c r="AK44" s="450" t="s">
        <v>659</v>
      </c>
    </row>
    <row r="45" spans="2:37" s="334" customFormat="1" ht="25.5" customHeight="1" x14ac:dyDescent="0.25">
      <c r="B45" s="365" t="s">
        <v>660</v>
      </c>
      <c r="C45" s="388"/>
      <c r="D45" s="435"/>
      <c r="E45" s="368" t="s">
        <v>661</v>
      </c>
      <c r="F45" s="369"/>
      <c r="G45" s="369"/>
      <c r="H45" s="369"/>
      <c r="I45" s="448">
        <v>600</v>
      </c>
      <c r="J45" s="371" t="s">
        <v>469</v>
      </c>
      <c r="K45" s="368"/>
      <c r="L45" s="371"/>
      <c r="M45" s="373" t="s">
        <v>114</v>
      </c>
      <c r="N45" s="373" t="s">
        <v>114</v>
      </c>
      <c r="O45" s="373" t="s">
        <v>114</v>
      </c>
      <c r="P45" s="373" t="s">
        <v>114</v>
      </c>
      <c r="Q45" s="373" t="s">
        <v>114</v>
      </c>
      <c r="R45" s="373" t="s">
        <v>114</v>
      </c>
      <c r="S45" s="374" t="s">
        <v>662</v>
      </c>
      <c r="T45" s="365" t="s">
        <v>663</v>
      </c>
      <c r="U45" s="391"/>
      <c r="V45" s="435"/>
      <c r="W45" s="447" t="s">
        <v>256</v>
      </c>
      <c r="X45" s="377">
        <v>0.3</v>
      </c>
      <c r="Y45" s="378">
        <v>0.1</v>
      </c>
      <c r="Z45" s="377">
        <v>0.3</v>
      </c>
      <c r="AA45" s="401">
        <f>ROUNDUP(I46/20,0)</f>
        <v>13</v>
      </c>
      <c r="AB45" s="371" t="s">
        <v>481</v>
      </c>
      <c r="AC45" s="380"/>
      <c r="AD45" s="365" t="s">
        <v>664</v>
      </c>
      <c r="AE45" s="391"/>
      <c r="AF45" s="449"/>
      <c r="AG45" s="420" t="s">
        <v>665</v>
      </c>
      <c r="AH45" s="384"/>
      <c r="AI45" s="421"/>
      <c r="AJ45" s="422"/>
      <c r="AK45" s="450"/>
    </row>
    <row r="46" spans="2:37" s="334" customFormat="1" ht="25.5" customHeight="1" x14ac:dyDescent="0.25">
      <c r="B46" s="365" t="s">
        <v>666</v>
      </c>
      <c r="C46" s="388"/>
      <c r="D46" s="435"/>
      <c r="E46" s="368" t="s">
        <v>667</v>
      </c>
      <c r="F46" s="369"/>
      <c r="G46" s="369"/>
      <c r="H46" s="369"/>
      <c r="I46" s="448">
        <v>244</v>
      </c>
      <c r="J46" s="371" t="s">
        <v>469</v>
      </c>
      <c r="K46" s="368"/>
      <c r="L46" s="371"/>
      <c r="M46" s="373" t="s">
        <v>114</v>
      </c>
      <c r="N46" s="373" t="s">
        <v>114</v>
      </c>
      <c r="O46" s="373" t="s">
        <v>114</v>
      </c>
      <c r="P46" s="373" t="s">
        <v>114</v>
      </c>
      <c r="Q46" s="373" t="s">
        <v>114</v>
      </c>
      <c r="R46" s="373" t="s">
        <v>114</v>
      </c>
      <c r="S46" s="374"/>
      <c r="T46" s="365" t="s">
        <v>668</v>
      </c>
      <c r="U46" s="391"/>
      <c r="V46" s="435"/>
      <c r="W46" s="447" t="s">
        <v>260</v>
      </c>
      <c r="X46" s="377">
        <v>0.3</v>
      </c>
      <c r="Y46" s="378">
        <v>0.1</v>
      </c>
      <c r="Z46" s="377">
        <v>0.3</v>
      </c>
      <c r="AA46" s="451">
        <v>110</v>
      </c>
      <c r="AB46" s="371" t="s">
        <v>481</v>
      </c>
      <c r="AC46" s="408"/>
      <c r="AD46" s="365" t="s">
        <v>669</v>
      </c>
      <c r="AE46" s="391"/>
      <c r="AF46" s="449"/>
      <c r="AG46" s="420" t="s">
        <v>670</v>
      </c>
      <c r="AH46" s="384"/>
      <c r="AI46" s="421"/>
      <c r="AJ46" s="422"/>
      <c r="AK46" s="450"/>
    </row>
    <row r="47" spans="2:37" s="334" customFormat="1" ht="25.5" customHeight="1" x14ac:dyDescent="0.25">
      <c r="B47" s="365" t="s">
        <v>671</v>
      </c>
      <c r="C47" s="366" t="s">
        <v>111</v>
      </c>
      <c r="D47" s="405" t="s">
        <v>672</v>
      </c>
      <c r="E47" s="424" t="s">
        <v>96</v>
      </c>
      <c r="F47" s="377">
        <v>0.3</v>
      </c>
      <c r="G47" s="378">
        <v>0.1</v>
      </c>
      <c r="H47" s="369"/>
      <c r="I47" s="397">
        <v>1</v>
      </c>
      <c r="J47" s="371" t="s">
        <v>97</v>
      </c>
      <c r="K47" s="368"/>
      <c r="L47" s="371"/>
      <c r="M47" s="373"/>
      <c r="N47" s="373"/>
      <c r="O47" s="373"/>
      <c r="P47" s="373"/>
      <c r="Q47" s="373"/>
      <c r="R47" s="373"/>
      <c r="S47" s="374"/>
      <c r="T47" s="365" t="s">
        <v>673</v>
      </c>
      <c r="U47" s="391"/>
      <c r="V47" s="435"/>
      <c r="W47" s="179" t="s">
        <v>674</v>
      </c>
      <c r="X47" s="377">
        <v>0.3</v>
      </c>
      <c r="Y47" s="378">
        <v>0.1</v>
      </c>
      <c r="Z47" s="377">
        <v>0.3</v>
      </c>
      <c r="AA47" s="451">
        <v>95</v>
      </c>
      <c r="AB47" s="371" t="s">
        <v>469</v>
      </c>
      <c r="AC47" s="408"/>
      <c r="AD47" s="365" t="s">
        <v>675</v>
      </c>
      <c r="AE47" s="391"/>
      <c r="AF47" s="382" t="s">
        <v>199</v>
      </c>
      <c r="AG47" s="420" t="s">
        <v>524</v>
      </c>
      <c r="AH47" s="384" t="s">
        <v>491</v>
      </c>
      <c r="AI47" s="421"/>
      <c r="AJ47" s="422" t="str">
        <f>IF(AH47="1)","중",IF(AH47="2)","하","ERROR"))</f>
        <v>중</v>
      </c>
      <c r="AK47" s="380"/>
    </row>
    <row r="48" spans="2:37" s="334" customFormat="1" ht="25.5" customHeight="1" x14ac:dyDescent="0.25">
      <c r="B48" s="365" t="s">
        <v>676</v>
      </c>
      <c r="C48" s="388"/>
      <c r="D48" s="419"/>
      <c r="E48" s="424" t="s">
        <v>677</v>
      </c>
      <c r="F48" s="377">
        <v>0.3</v>
      </c>
      <c r="G48" s="378">
        <v>0.1</v>
      </c>
      <c r="H48" s="369"/>
      <c r="I48" s="397">
        <v>1</v>
      </c>
      <c r="J48" s="371" t="s">
        <v>97</v>
      </c>
      <c r="K48" s="368"/>
      <c r="L48" s="371"/>
      <c r="M48" s="373"/>
      <c r="N48" s="373"/>
      <c r="O48" s="373"/>
      <c r="P48" s="373"/>
      <c r="Q48" s="373"/>
      <c r="R48" s="373"/>
      <c r="S48" s="374"/>
      <c r="T48" s="365" t="s">
        <v>678</v>
      </c>
      <c r="U48" s="391"/>
      <c r="V48" s="435"/>
      <c r="W48" s="399" t="s">
        <v>269</v>
      </c>
      <c r="X48" s="377">
        <v>0.3</v>
      </c>
      <c r="Y48" s="378">
        <v>0.1</v>
      </c>
      <c r="Z48" s="377">
        <v>0.3</v>
      </c>
      <c r="AA48" s="401">
        <f>ROUNDUP(I45*2,0)</f>
        <v>1200</v>
      </c>
      <c r="AB48" s="371" t="s">
        <v>481</v>
      </c>
      <c r="AC48" s="408"/>
      <c r="AD48" s="365" t="s">
        <v>679</v>
      </c>
      <c r="AE48" s="391"/>
      <c r="AF48" s="382"/>
      <c r="AG48" s="420" t="s">
        <v>532</v>
      </c>
      <c r="AH48" s="384"/>
      <c r="AI48" s="421"/>
      <c r="AJ48" s="422"/>
      <c r="AK48" s="380"/>
    </row>
    <row r="49" spans="2:37" ht="25.5" customHeight="1" x14ac:dyDescent="0.2">
      <c r="B49" s="365" t="s">
        <v>680</v>
      </c>
      <c r="C49" s="388"/>
      <c r="D49" s="452" t="s">
        <v>681</v>
      </c>
      <c r="E49" s="424" t="s">
        <v>682</v>
      </c>
      <c r="F49" s="377">
        <v>0</v>
      </c>
      <c r="G49" s="378">
        <v>0</v>
      </c>
      <c r="H49" s="369"/>
      <c r="I49" s="397">
        <v>1</v>
      </c>
      <c r="J49" s="371" t="s">
        <v>97</v>
      </c>
      <c r="K49" s="368"/>
      <c r="L49" s="371"/>
      <c r="M49" s="373"/>
      <c r="N49" s="373"/>
      <c r="O49" s="373"/>
      <c r="P49" s="373"/>
      <c r="Q49" s="373"/>
      <c r="R49" s="373"/>
      <c r="S49" s="374"/>
      <c r="T49" s="365" t="s">
        <v>683</v>
      </c>
      <c r="U49" s="391"/>
      <c r="V49" s="435"/>
      <c r="W49" s="447" t="s">
        <v>273</v>
      </c>
      <c r="X49" s="377">
        <v>0.3</v>
      </c>
      <c r="Y49" s="378">
        <v>0.1</v>
      </c>
      <c r="Z49" s="377">
        <v>0.3</v>
      </c>
      <c r="AA49" s="401">
        <f>ROUNDUP(SUM(I8:I11),0)</f>
        <v>6300</v>
      </c>
      <c r="AB49" s="371" t="s">
        <v>481</v>
      </c>
      <c r="AC49" s="408"/>
      <c r="AD49" s="365" t="s">
        <v>684</v>
      </c>
      <c r="AE49" s="391"/>
      <c r="AF49" s="436" t="s">
        <v>685</v>
      </c>
      <c r="AG49" s="436" t="s">
        <v>686</v>
      </c>
      <c r="AH49" s="437" t="s">
        <v>590</v>
      </c>
      <c r="AI49" s="421"/>
      <c r="AJ49" s="438" t="str">
        <f>$AJ$8</f>
        <v>상</v>
      </c>
      <c r="AK49" s="380" t="s">
        <v>591</v>
      </c>
    </row>
    <row r="50" spans="2:37" ht="25.5" customHeight="1" x14ac:dyDescent="0.2">
      <c r="B50" s="365" t="s">
        <v>687</v>
      </c>
      <c r="C50" s="388"/>
      <c r="D50" s="405" t="s">
        <v>688</v>
      </c>
      <c r="E50" s="424" t="s">
        <v>112</v>
      </c>
      <c r="F50" s="377">
        <v>0.3</v>
      </c>
      <c r="G50" s="378">
        <v>0.1</v>
      </c>
      <c r="H50" s="369"/>
      <c r="I50" s="397">
        <v>1</v>
      </c>
      <c r="J50" s="371" t="s">
        <v>97</v>
      </c>
      <c r="K50" s="368"/>
      <c r="L50" s="371"/>
      <c r="M50" s="373"/>
      <c r="N50" s="373"/>
      <c r="O50" s="373"/>
      <c r="P50" s="373"/>
      <c r="Q50" s="373"/>
      <c r="R50" s="373"/>
      <c r="S50" s="453"/>
      <c r="T50" s="365" t="s">
        <v>689</v>
      </c>
      <c r="U50" s="414"/>
      <c r="V50" s="431"/>
      <c r="W50" s="447" t="s">
        <v>277</v>
      </c>
      <c r="X50" s="377">
        <v>0.3</v>
      </c>
      <c r="Y50" s="378">
        <v>0.1</v>
      </c>
      <c r="Z50" s="377">
        <v>0.3</v>
      </c>
      <c r="AA50" s="454">
        <v>200</v>
      </c>
      <c r="AB50" s="371" t="s">
        <v>481</v>
      </c>
      <c r="AC50" s="408"/>
      <c r="AD50" s="365" t="s">
        <v>690</v>
      </c>
      <c r="AE50" s="391"/>
      <c r="AF50" s="436" t="s">
        <v>691</v>
      </c>
      <c r="AG50" s="436" t="s">
        <v>638</v>
      </c>
      <c r="AH50" s="411" t="s">
        <v>692</v>
      </c>
      <c r="AI50" s="421"/>
      <c r="AJ50" s="438" t="str">
        <f>IF(AH50="Yes","SPI",IF(AH50="No",$AJ$8,"ERROR"))</f>
        <v>SPI</v>
      </c>
      <c r="AK50" s="380" t="s">
        <v>693</v>
      </c>
    </row>
    <row r="51" spans="2:37" ht="25.5" customHeight="1" x14ac:dyDescent="0.2">
      <c r="B51" s="365" t="s">
        <v>694</v>
      </c>
      <c r="C51" s="388"/>
      <c r="D51" s="407"/>
      <c r="E51" s="424" t="s">
        <v>695</v>
      </c>
      <c r="F51" s="377">
        <v>0.3</v>
      </c>
      <c r="G51" s="378">
        <v>0.1</v>
      </c>
      <c r="H51" s="369"/>
      <c r="I51" s="448">
        <v>5</v>
      </c>
      <c r="J51" s="455" t="s">
        <v>118</v>
      </c>
      <c r="K51" s="368"/>
      <c r="L51" s="371"/>
      <c r="M51" s="373"/>
      <c r="N51" s="373"/>
      <c r="O51" s="373"/>
      <c r="P51" s="373"/>
      <c r="Q51" s="373"/>
      <c r="R51" s="373"/>
      <c r="S51" s="404" t="s">
        <v>696</v>
      </c>
      <c r="T51" s="365" t="s">
        <v>697</v>
      </c>
      <c r="U51" s="456" t="s">
        <v>698</v>
      </c>
      <c r="V51" s="457" t="s">
        <v>698</v>
      </c>
      <c r="W51" s="447" t="s">
        <v>698</v>
      </c>
      <c r="X51" s="377">
        <v>0.3</v>
      </c>
      <c r="Y51" s="378">
        <v>0.1</v>
      </c>
      <c r="Z51" s="377">
        <v>0.3</v>
      </c>
      <c r="AA51" s="397">
        <v>1</v>
      </c>
      <c r="AB51" s="371" t="s">
        <v>97</v>
      </c>
      <c r="AC51" s="408"/>
      <c r="AD51" s="365" t="s">
        <v>699</v>
      </c>
      <c r="AE51" s="391"/>
      <c r="AF51" s="436" t="s">
        <v>654</v>
      </c>
      <c r="AG51" s="436" t="s">
        <v>638</v>
      </c>
      <c r="AH51" s="411" t="s">
        <v>692</v>
      </c>
      <c r="AI51" s="421"/>
      <c r="AJ51" s="438" t="str">
        <f t="shared" ref="AJ51:AJ52" si="8">IF(AH51="Yes","SPI",IF(AH51="No",$AJ$8,"ERROR"))</f>
        <v>SPI</v>
      </c>
      <c r="AK51" s="380" t="s">
        <v>693</v>
      </c>
    </row>
    <row r="52" spans="2:37" ht="25.5" customHeight="1" x14ac:dyDescent="0.2">
      <c r="B52" s="365" t="s">
        <v>700</v>
      </c>
      <c r="C52" s="388"/>
      <c r="D52" s="407"/>
      <c r="E52" s="424" t="s">
        <v>701</v>
      </c>
      <c r="F52" s="377">
        <v>0.3</v>
      </c>
      <c r="G52" s="378">
        <v>0.1</v>
      </c>
      <c r="H52" s="369"/>
      <c r="I52" s="458">
        <v>5</v>
      </c>
      <c r="J52" s="455" t="s">
        <v>118</v>
      </c>
      <c r="K52" s="368"/>
      <c r="L52" s="371"/>
      <c r="M52" s="373"/>
      <c r="N52" s="373"/>
      <c r="O52" s="373"/>
      <c r="P52" s="373"/>
      <c r="Q52" s="373"/>
      <c r="R52" s="373"/>
      <c r="S52" s="404" t="s">
        <v>696</v>
      </c>
      <c r="T52" s="365" t="s">
        <v>702</v>
      </c>
      <c r="U52" s="381" t="s">
        <v>703</v>
      </c>
      <c r="V52" s="459" t="s">
        <v>704</v>
      </c>
      <c r="W52" s="460" t="s">
        <v>441</v>
      </c>
      <c r="X52" s="377">
        <v>0.3</v>
      </c>
      <c r="Y52" s="378">
        <v>0.1</v>
      </c>
      <c r="Z52" s="377">
        <v>0.3</v>
      </c>
      <c r="AA52" s="461">
        <f>SUM(I12:I20)</f>
        <v>21</v>
      </c>
      <c r="AB52" s="371" t="s">
        <v>469</v>
      </c>
      <c r="AC52" s="380"/>
      <c r="AD52" s="365" t="s">
        <v>705</v>
      </c>
      <c r="AE52" s="391"/>
      <c r="AF52" s="436" t="s">
        <v>256</v>
      </c>
      <c r="AG52" s="436" t="s">
        <v>638</v>
      </c>
      <c r="AH52" s="411" t="s">
        <v>692</v>
      </c>
      <c r="AI52" s="421"/>
      <c r="AJ52" s="438" t="str">
        <f t="shared" si="8"/>
        <v>SPI</v>
      </c>
      <c r="AK52" s="380" t="s">
        <v>693</v>
      </c>
    </row>
    <row r="53" spans="2:37" ht="25.5" customHeight="1" x14ac:dyDescent="0.2">
      <c r="B53" s="365" t="s">
        <v>706</v>
      </c>
      <c r="C53" s="388"/>
      <c r="D53" s="419"/>
      <c r="E53" s="424" t="s">
        <v>707</v>
      </c>
      <c r="F53" s="377">
        <v>0.3</v>
      </c>
      <c r="G53" s="378">
        <v>0.1</v>
      </c>
      <c r="H53" s="369"/>
      <c r="I53" s="462">
        <v>0</v>
      </c>
      <c r="J53" s="455" t="s">
        <v>118</v>
      </c>
      <c r="K53" s="368"/>
      <c r="L53" s="371"/>
      <c r="M53" s="373"/>
      <c r="N53" s="373"/>
      <c r="O53" s="373"/>
      <c r="P53" s="373"/>
      <c r="Q53" s="373"/>
      <c r="R53" s="373"/>
      <c r="S53" s="404" t="s">
        <v>696</v>
      </c>
      <c r="T53" s="365" t="s">
        <v>708</v>
      </c>
      <c r="U53" s="391"/>
      <c r="V53" s="463"/>
      <c r="W53" s="460" t="s">
        <v>709</v>
      </c>
      <c r="X53" s="377">
        <v>0.3</v>
      </c>
      <c r="Y53" s="378">
        <v>0.1</v>
      </c>
      <c r="Z53" s="377">
        <v>0.3</v>
      </c>
      <c r="AA53" s="461">
        <f>SUM(I21:I29)</f>
        <v>356</v>
      </c>
      <c r="AB53" s="371" t="s">
        <v>469</v>
      </c>
      <c r="AC53" s="380"/>
      <c r="AD53" s="365" t="s">
        <v>710</v>
      </c>
      <c r="AE53" s="391"/>
      <c r="AF53" s="442" t="s">
        <v>269</v>
      </c>
      <c r="AG53" s="436" t="s">
        <v>638</v>
      </c>
      <c r="AH53" s="411" t="s">
        <v>692</v>
      </c>
      <c r="AI53" s="421"/>
      <c r="AJ53" s="438" t="str">
        <f t="shared" ref="AJ53:AJ54" si="9">IF(AH53="Yes","SPI",IF(AH53="No","N/A","ERROR"))</f>
        <v>SPI</v>
      </c>
      <c r="AK53" s="380"/>
    </row>
    <row r="54" spans="2:37" ht="25.5" customHeight="1" x14ac:dyDescent="0.2">
      <c r="B54" s="365" t="s">
        <v>711</v>
      </c>
      <c r="C54" s="393"/>
      <c r="D54" s="452" t="s">
        <v>712</v>
      </c>
      <c r="E54" s="424" t="s">
        <v>713</v>
      </c>
      <c r="F54" s="377">
        <v>0.3</v>
      </c>
      <c r="G54" s="378">
        <v>0.1</v>
      </c>
      <c r="H54" s="369"/>
      <c r="I54" s="448">
        <v>5</v>
      </c>
      <c r="J54" s="455" t="s">
        <v>118</v>
      </c>
      <c r="K54" s="368"/>
      <c r="L54" s="371"/>
      <c r="M54" s="373"/>
      <c r="N54" s="373"/>
      <c r="O54" s="373"/>
      <c r="P54" s="373"/>
      <c r="Q54" s="373"/>
      <c r="R54" s="373"/>
      <c r="S54" s="404" t="s">
        <v>696</v>
      </c>
      <c r="T54" s="365" t="s">
        <v>714</v>
      </c>
      <c r="U54" s="391"/>
      <c r="V54" s="464"/>
      <c r="W54" s="460" t="s">
        <v>569</v>
      </c>
      <c r="X54" s="377">
        <v>0.3</v>
      </c>
      <c r="Y54" s="378">
        <v>0.1</v>
      </c>
      <c r="Z54" s="377">
        <v>0.3</v>
      </c>
      <c r="AA54" s="461">
        <f>SUM(I30:I42)</f>
        <v>1162</v>
      </c>
      <c r="AB54" s="371" t="s">
        <v>469</v>
      </c>
      <c r="AC54" s="380"/>
      <c r="AD54" s="365" t="s">
        <v>715</v>
      </c>
      <c r="AE54" s="391"/>
      <c r="AF54" s="442" t="s">
        <v>273</v>
      </c>
      <c r="AG54" s="436" t="s">
        <v>638</v>
      </c>
      <c r="AH54" s="411" t="s">
        <v>692</v>
      </c>
      <c r="AI54" s="421"/>
      <c r="AJ54" s="438" t="str">
        <f t="shared" si="9"/>
        <v>SPI</v>
      </c>
      <c r="AK54" s="380"/>
    </row>
    <row r="55" spans="2:37" ht="25.5" customHeight="1" x14ac:dyDescent="0.2">
      <c r="B55" s="365" t="s">
        <v>716</v>
      </c>
      <c r="C55" s="366" t="s">
        <v>717</v>
      </c>
      <c r="D55" s="426" t="s">
        <v>289</v>
      </c>
      <c r="E55" s="368" t="s">
        <v>718</v>
      </c>
      <c r="F55" s="377">
        <v>0.3</v>
      </c>
      <c r="G55" s="378">
        <v>0.1</v>
      </c>
      <c r="H55" s="369"/>
      <c r="I55" s="443" t="s">
        <v>98</v>
      </c>
      <c r="J55" s="444" t="s">
        <v>98</v>
      </c>
      <c r="K55" s="368"/>
      <c r="L55" s="371"/>
      <c r="M55" s="373"/>
      <c r="N55" s="373"/>
      <c r="O55" s="373"/>
      <c r="P55" s="373"/>
      <c r="Q55" s="373"/>
      <c r="R55" s="373"/>
      <c r="S55" s="404"/>
      <c r="T55" s="365" t="s">
        <v>719</v>
      </c>
      <c r="U55" s="391"/>
      <c r="V55" s="459" t="s">
        <v>720</v>
      </c>
      <c r="W55" s="460" t="s">
        <v>429</v>
      </c>
      <c r="X55" s="377">
        <v>0.3</v>
      </c>
      <c r="Y55" s="378">
        <v>0.1</v>
      </c>
      <c r="Z55" s="369"/>
      <c r="AA55" s="465">
        <f>SUM(K8:K11)</f>
        <v>5</v>
      </c>
      <c r="AB55" s="371" t="s">
        <v>138</v>
      </c>
      <c r="AC55" s="380"/>
      <c r="AD55" s="365" t="s">
        <v>721</v>
      </c>
      <c r="AE55" s="391"/>
      <c r="AF55" s="466" t="s">
        <v>722</v>
      </c>
      <c r="AG55" s="420" t="s">
        <v>524</v>
      </c>
      <c r="AH55" s="384" t="s">
        <v>491</v>
      </c>
      <c r="AI55" s="421"/>
      <c r="AJ55" s="422" t="str">
        <f>IF(AH55="1)","중",IF(AH55="2)","하","ERROR"))</f>
        <v>중</v>
      </c>
      <c r="AK55" s="380"/>
    </row>
    <row r="56" spans="2:37" ht="25.5" customHeight="1" x14ac:dyDescent="0.2">
      <c r="B56" s="365" t="s">
        <v>723</v>
      </c>
      <c r="C56" s="388"/>
      <c r="D56" s="435"/>
      <c r="E56" s="368" t="s">
        <v>724</v>
      </c>
      <c r="F56" s="377">
        <v>0.3</v>
      </c>
      <c r="G56" s="378">
        <v>0.1</v>
      </c>
      <c r="H56" s="369"/>
      <c r="I56" s="443" t="s">
        <v>98</v>
      </c>
      <c r="J56" s="444" t="s">
        <v>98</v>
      </c>
      <c r="K56" s="368"/>
      <c r="L56" s="371"/>
      <c r="M56" s="373"/>
      <c r="N56" s="373"/>
      <c r="O56" s="373"/>
      <c r="P56" s="373"/>
      <c r="Q56" s="373"/>
      <c r="R56" s="373"/>
      <c r="S56" s="404"/>
      <c r="T56" s="365" t="s">
        <v>725</v>
      </c>
      <c r="U56" s="391"/>
      <c r="V56" s="463"/>
      <c r="W56" s="460" t="s">
        <v>458</v>
      </c>
      <c r="X56" s="377">
        <v>0.3</v>
      </c>
      <c r="Y56" s="378">
        <v>0.1</v>
      </c>
      <c r="Z56" s="369"/>
      <c r="AA56" s="465">
        <f>SUM(K12:K20)</f>
        <v>3</v>
      </c>
      <c r="AB56" s="371" t="s">
        <v>138</v>
      </c>
      <c r="AC56" s="380"/>
      <c r="AD56" s="365" t="s">
        <v>726</v>
      </c>
      <c r="AE56" s="414"/>
      <c r="AF56" s="466"/>
      <c r="AG56" s="420" t="s">
        <v>727</v>
      </c>
      <c r="AH56" s="384"/>
      <c r="AI56" s="421"/>
      <c r="AJ56" s="422"/>
      <c r="AK56" s="380"/>
    </row>
    <row r="57" spans="2:37" ht="25.5" customHeight="1" x14ac:dyDescent="0.2">
      <c r="B57" s="365" t="s">
        <v>728</v>
      </c>
      <c r="C57" s="388"/>
      <c r="D57" s="435"/>
      <c r="E57" s="368" t="s">
        <v>729</v>
      </c>
      <c r="F57" s="369"/>
      <c r="G57" s="369"/>
      <c r="H57" s="377">
        <v>0.3</v>
      </c>
      <c r="I57" s="379">
        <v>250</v>
      </c>
      <c r="J57" s="371" t="s">
        <v>469</v>
      </c>
      <c r="K57" s="368"/>
      <c r="L57" s="467"/>
      <c r="M57" s="373"/>
      <c r="N57" s="373"/>
      <c r="O57" s="373"/>
      <c r="P57" s="373"/>
      <c r="Q57" s="373"/>
      <c r="R57" s="373"/>
      <c r="S57" s="380" t="s">
        <v>530</v>
      </c>
      <c r="T57" s="365" t="s">
        <v>730</v>
      </c>
      <c r="U57" s="391"/>
      <c r="V57" s="463"/>
      <c r="W57" s="460" t="s">
        <v>709</v>
      </c>
      <c r="X57" s="377">
        <v>0.3</v>
      </c>
      <c r="Y57" s="378">
        <v>0.1</v>
      </c>
      <c r="Z57" s="369"/>
      <c r="AA57" s="465">
        <f>SUM(K21:K29)</f>
        <v>5</v>
      </c>
      <c r="AB57" s="371" t="s">
        <v>138</v>
      </c>
      <c r="AC57" s="380"/>
      <c r="AD57" s="365" t="s">
        <v>731</v>
      </c>
      <c r="AE57" s="381" t="s">
        <v>732</v>
      </c>
      <c r="AF57" s="442" t="s">
        <v>733</v>
      </c>
      <c r="AG57" s="420" t="s">
        <v>734</v>
      </c>
      <c r="AH57" s="411" t="s">
        <v>398</v>
      </c>
      <c r="AI57" s="421"/>
      <c r="AJ57" s="438" t="str">
        <f>IF(AH57="Yes","적용",IF(AH57="No","N/A","ERROR"))</f>
        <v>N/A</v>
      </c>
      <c r="AK57" s="380"/>
    </row>
    <row r="58" spans="2:37" ht="25.5" customHeight="1" x14ac:dyDescent="0.2">
      <c r="B58" s="365" t="s">
        <v>735</v>
      </c>
      <c r="C58" s="388"/>
      <c r="D58" s="431"/>
      <c r="E58" s="368" t="s">
        <v>736</v>
      </c>
      <c r="F58" s="377">
        <v>0.3</v>
      </c>
      <c r="G58" s="378">
        <v>0.1</v>
      </c>
      <c r="H58" s="369"/>
      <c r="I58" s="443" t="s">
        <v>98</v>
      </c>
      <c r="J58" s="444" t="s">
        <v>98</v>
      </c>
      <c r="K58" s="368"/>
      <c r="L58" s="467"/>
      <c r="M58" s="373"/>
      <c r="N58" s="373"/>
      <c r="O58" s="373"/>
      <c r="P58" s="373"/>
      <c r="Q58" s="373"/>
      <c r="R58" s="373"/>
      <c r="S58" s="408"/>
      <c r="T58" s="365" t="s">
        <v>737</v>
      </c>
      <c r="U58" s="391"/>
      <c r="V58" s="463"/>
      <c r="W58" s="460" t="s">
        <v>569</v>
      </c>
      <c r="X58" s="377">
        <v>0.3</v>
      </c>
      <c r="Y58" s="378">
        <v>0.1</v>
      </c>
      <c r="Z58" s="369"/>
      <c r="AA58" s="465">
        <f>SUM(K30:K42)</f>
        <v>8</v>
      </c>
      <c r="AB58" s="371" t="s">
        <v>138</v>
      </c>
      <c r="AC58" s="380"/>
      <c r="AD58" s="365" t="s">
        <v>738</v>
      </c>
      <c r="AE58" s="391"/>
      <c r="AF58" s="442" t="s">
        <v>739</v>
      </c>
      <c r="AG58" s="420" t="s">
        <v>740</v>
      </c>
      <c r="AH58" s="411" t="s">
        <v>398</v>
      </c>
      <c r="AI58" s="421"/>
      <c r="AJ58" s="438" t="str">
        <f t="shared" ref="AJ58:AJ60" si="10">IF(AH58="Yes","적용",IF(AH58="No","N/A","ERROR"))</f>
        <v>N/A</v>
      </c>
      <c r="AK58" s="380"/>
    </row>
    <row r="59" spans="2:37" ht="25.5" customHeight="1" x14ac:dyDescent="0.2">
      <c r="B59" s="365" t="s">
        <v>741</v>
      </c>
      <c r="C59" s="388"/>
      <c r="D59" s="468" t="s">
        <v>742</v>
      </c>
      <c r="E59" s="368" t="s">
        <v>743</v>
      </c>
      <c r="F59" s="377">
        <v>0.3</v>
      </c>
      <c r="G59" s="378">
        <v>0.1</v>
      </c>
      <c r="H59" s="377">
        <v>0.3</v>
      </c>
      <c r="I59" s="443" t="s">
        <v>98</v>
      </c>
      <c r="J59" s="444" t="s">
        <v>98</v>
      </c>
      <c r="K59" s="467"/>
      <c r="L59" s="467"/>
      <c r="M59" s="373"/>
      <c r="N59" s="373"/>
      <c r="O59" s="373"/>
      <c r="P59" s="373"/>
      <c r="Q59" s="373"/>
      <c r="R59" s="373"/>
      <c r="S59" s="408"/>
      <c r="T59" s="365" t="s">
        <v>744</v>
      </c>
      <c r="U59" s="391"/>
      <c r="V59" s="464"/>
      <c r="W59" s="460" t="s">
        <v>644</v>
      </c>
      <c r="X59" s="377">
        <v>0.3</v>
      </c>
      <c r="Y59" s="378">
        <v>0.1</v>
      </c>
      <c r="Z59" s="369"/>
      <c r="AA59" s="465">
        <f>K43</f>
        <v>10</v>
      </c>
      <c r="AB59" s="371" t="s">
        <v>138</v>
      </c>
      <c r="AC59" s="380"/>
      <c r="AD59" s="365" t="s">
        <v>745</v>
      </c>
      <c r="AE59" s="391"/>
      <c r="AF59" s="436" t="s">
        <v>746</v>
      </c>
      <c r="AG59" s="436" t="s">
        <v>638</v>
      </c>
      <c r="AH59" s="411" t="s">
        <v>692</v>
      </c>
      <c r="AI59" s="421"/>
      <c r="AJ59" s="438" t="str">
        <f>IF(AH59="Yes","SPI",IF(AH59="No","N/A","ERROR"))</f>
        <v>SPI</v>
      </c>
      <c r="AK59" s="380"/>
    </row>
    <row r="60" spans="2:37" ht="25.5" customHeight="1" x14ac:dyDescent="0.2">
      <c r="B60" s="365" t="s">
        <v>747</v>
      </c>
      <c r="C60" s="388"/>
      <c r="D60" s="468"/>
      <c r="E60" s="368" t="s">
        <v>748</v>
      </c>
      <c r="F60" s="369"/>
      <c r="G60" s="369"/>
      <c r="H60" s="377">
        <v>0.3</v>
      </c>
      <c r="I60" s="443" t="s">
        <v>98</v>
      </c>
      <c r="J60" s="444" t="s">
        <v>98</v>
      </c>
      <c r="K60" s="467"/>
      <c r="L60" s="467"/>
      <c r="M60" s="373"/>
      <c r="N60" s="373"/>
      <c r="O60" s="373"/>
      <c r="P60" s="373"/>
      <c r="Q60" s="373"/>
      <c r="R60" s="373"/>
      <c r="S60" s="408"/>
      <c r="T60" s="365" t="s">
        <v>749</v>
      </c>
      <c r="U60" s="391"/>
      <c r="V60" s="426" t="s">
        <v>750</v>
      </c>
      <c r="W60" s="376" t="s">
        <v>751</v>
      </c>
      <c r="X60" s="377">
        <v>0.3</v>
      </c>
      <c r="Y60" s="378">
        <v>0.1</v>
      </c>
      <c r="Z60" s="369"/>
      <c r="AA60" s="465">
        <f>SUM(AA62:AA69)</f>
        <v>35</v>
      </c>
      <c r="AB60" s="371" t="s">
        <v>138</v>
      </c>
      <c r="AC60" s="380"/>
      <c r="AD60" s="365" t="s">
        <v>752</v>
      </c>
      <c r="AE60" s="391"/>
      <c r="AF60" s="442" t="s">
        <v>753</v>
      </c>
      <c r="AG60" s="420" t="s">
        <v>754</v>
      </c>
      <c r="AH60" s="411" t="s">
        <v>398</v>
      </c>
      <c r="AI60" s="421"/>
      <c r="AJ60" s="438" t="str">
        <f t="shared" si="10"/>
        <v>N/A</v>
      </c>
      <c r="AK60" s="380"/>
    </row>
    <row r="61" spans="2:37" ht="25.5" customHeight="1" x14ac:dyDescent="0.2">
      <c r="B61" s="365" t="s">
        <v>755</v>
      </c>
      <c r="C61" s="388"/>
      <c r="D61" s="468" t="s">
        <v>314</v>
      </c>
      <c r="E61" s="368" t="s">
        <v>756</v>
      </c>
      <c r="F61" s="369"/>
      <c r="G61" s="369"/>
      <c r="H61" s="377">
        <v>0.3</v>
      </c>
      <c r="I61" s="443" t="s">
        <v>98</v>
      </c>
      <c r="J61" s="444" t="s">
        <v>98</v>
      </c>
      <c r="K61" s="467"/>
      <c r="L61" s="467"/>
      <c r="M61" s="373"/>
      <c r="N61" s="373"/>
      <c r="O61" s="373"/>
      <c r="P61" s="373"/>
      <c r="Q61" s="373"/>
      <c r="R61" s="373"/>
      <c r="S61" s="408"/>
      <c r="T61" s="365" t="s">
        <v>757</v>
      </c>
      <c r="U61" s="391"/>
      <c r="V61" s="435"/>
      <c r="W61" s="376" t="s">
        <v>758</v>
      </c>
      <c r="X61" s="377">
        <v>0.3</v>
      </c>
      <c r="Y61" s="378">
        <v>0.1</v>
      </c>
      <c r="Z61" s="377">
        <v>0.3</v>
      </c>
      <c r="AA61" s="465">
        <f>AA60</f>
        <v>35</v>
      </c>
      <c r="AB61" s="371" t="s">
        <v>138</v>
      </c>
      <c r="AC61" s="380"/>
      <c r="AD61" s="365" t="s">
        <v>759</v>
      </c>
      <c r="AE61" s="391"/>
      <c r="AF61" s="442" t="s">
        <v>760</v>
      </c>
      <c r="AG61" s="420" t="s">
        <v>761</v>
      </c>
      <c r="AH61" s="469">
        <f>SUM(I8:I10)</f>
        <v>5300</v>
      </c>
      <c r="AI61" s="470"/>
      <c r="AJ61" s="437"/>
      <c r="AK61" s="380"/>
    </row>
    <row r="62" spans="2:37" ht="25.5" customHeight="1" x14ac:dyDescent="0.2">
      <c r="B62" s="365" t="s">
        <v>762</v>
      </c>
      <c r="C62" s="388"/>
      <c r="D62" s="468"/>
      <c r="E62" s="368" t="s">
        <v>763</v>
      </c>
      <c r="F62" s="369"/>
      <c r="G62" s="369"/>
      <c r="H62" s="377">
        <v>0.3</v>
      </c>
      <c r="I62" s="443" t="s">
        <v>98</v>
      </c>
      <c r="J62" s="444" t="s">
        <v>98</v>
      </c>
      <c r="K62" s="467"/>
      <c r="L62" s="467"/>
      <c r="M62" s="373"/>
      <c r="N62" s="373"/>
      <c r="O62" s="373"/>
      <c r="P62" s="373"/>
      <c r="Q62" s="373"/>
      <c r="R62" s="373"/>
      <c r="S62" s="408"/>
      <c r="T62" s="365" t="s">
        <v>764</v>
      </c>
      <c r="U62" s="391"/>
      <c r="V62" s="435"/>
      <c r="W62" s="376" t="s">
        <v>765</v>
      </c>
      <c r="X62" s="369"/>
      <c r="Y62" s="369"/>
      <c r="Z62" s="369"/>
      <c r="AA62" s="379">
        <v>3</v>
      </c>
      <c r="AB62" s="371" t="s">
        <v>138</v>
      </c>
      <c r="AC62" s="380"/>
      <c r="AD62" s="365" t="s">
        <v>766</v>
      </c>
      <c r="AE62" s="391"/>
      <c r="AF62" s="436" t="s">
        <v>767</v>
      </c>
      <c r="AG62" s="420" t="s">
        <v>768</v>
      </c>
      <c r="AH62" s="411" t="s">
        <v>692</v>
      </c>
      <c r="AI62" s="421"/>
      <c r="AJ62" s="438" t="str">
        <f>IF(AH62="Yes","적용",IF(AH62="No","N/A","ERROR"))</f>
        <v>적용</v>
      </c>
      <c r="AK62" s="380"/>
    </row>
    <row r="63" spans="2:37" ht="25.5" customHeight="1" x14ac:dyDescent="0.2">
      <c r="B63" s="365" t="s">
        <v>769</v>
      </c>
      <c r="C63" s="388"/>
      <c r="D63" s="471" t="s">
        <v>770</v>
      </c>
      <c r="E63" s="472" t="s">
        <v>771</v>
      </c>
      <c r="F63" s="473"/>
      <c r="G63" s="473"/>
      <c r="H63" s="474">
        <v>0</v>
      </c>
      <c r="I63" s="475" t="s">
        <v>98</v>
      </c>
      <c r="J63" s="473" t="s">
        <v>98</v>
      </c>
      <c r="K63" s="476"/>
      <c r="L63" s="476"/>
      <c r="M63" s="477"/>
      <c r="N63" s="477"/>
      <c r="O63" s="477"/>
      <c r="P63" s="477"/>
      <c r="Q63" s="477"/>
      <c r="R63" s="477"/>
      <c r="S63" s="478" t="s">
        <v>772</v>
      </c>
      <c r="T63" s="365" t="s">
        <v>773</v>
      </c>
      <c r="U63" s="391"/>
      <c r="V63" s="435"/>
      <c r="W63" s="376" t="s">
        <v>774</v>
      </c>
      <c r="X63" s="369"/>
      <c r="Y63" s="369"/>
      <c r="Z63" s="369"/>
      <c r="AA63" s="379">
        <v>0</v>
      </c>
      <c r="AB63" s="371" t="s">
        <v>138</v>
      </c>
      <c r="AC63" s="380"/>
      <c r="AD63" s="365" t="s">
        <v>775</v>
      </c>
      <c r="AE63" s="391"/>
      <c r="AF63" s="442" t="s">
        <v>776</v>
      </c>
      <c r="AG63" s="420" t="s">
        <v>777</v>
      </c>
      <c r="AH63" s="411" t="s">
        <v>398</v>
      </c>
      <c r="AI63" s="421"/>
      <c r="AJ63" s="438" t="str">
        <f>IF(AH63="No","N/A",IF(SUM(I8:I11)&gt;=15000,"상",IF(SUM(I8:I11)&gt;=10000,"중","하")))</f>
        <v>N/A</v>
      </c>
      <c r="AK63" s="380" t="s">
        <v>778</v>
      </c>
    </row>
    <row r="64" spans="2:37" ht="25.5" customHeight="1" x14ac:dyDescent="0.2">
      <c r="B64" s="365" t="s">
        <v>779</v>
      </c>
      <c r="C64" s="388"/>
      <c r="D64" s="471"/>
      <c r="E64" s="472" t="s">
        <v>780</v>
      </c>
      <c r="F64" s="473"/>
      <c r="G64" s="473"/>
      <c r="H64" s="474">
        <v>0</v>
      </c>
      <c r="I64" s="475" t="s">
        <v>98</v>
      </c>
      <c r="J64" s="473" t="s">
        <v>98</v>
      </c>
      <c r="K64" s="476"/>
      <c r="L64" s="476"/>
      <c r="M64" s="477"/>
      <c r="N64" s="477"/>
      <c r="O64" s="477"/>
      <c r="P64" s="477"/>
      <c r="Q64" s="477"/>
      <c r="R64" s="477"/>
      <c r="S64" s="478" t="s">
        <v>772</v>
      </c>
      <c r="T64" s="365" t="s">
        <v>781</v>
      </c>
      <c r="U64" s="391"/>
      <c r="V64" s="435"/>
      <c r="W64" s="376" t="s">
        <v>782</v>
      </c>
      <c r="X64" s="369"/>
      <c r="Y64" s="369"/>
      <c r="Z64" s="369"/>
      <c r="AA64" s="379">
        <v>4</v>
      </c>
      <c r="AB64" s="371" t="s">
        <v>138</v>
      </c>
      <c r="AC64" s="380"/>
      <c r="AD64" s="365" t="s">
        <v>783</v>
      </c>
      <c r="AE64" s="391"/>
      <c r="AF64" s="442" t="s">
        <v>784</v>
      </c>
      <c r="AG64" s="420" t="s">
        <v>777</v>
      </c>
      <c r="AH64" s="411" t="s">
        <v>398</v>
      </c>
      <c r="AI64" s="421"/>
      <c r="AJ64" s="438" t="str">
        <f>IF(AH64="No","N/A",IF(SUM(I9:I12)&gt;=15000,"상",IF(SUM(I9:I12)&gt;=10000,"중","하")))</f>
        <v>N/A</v>
      </c>
      <c r="AK64" s="380" t="s">
        <v>778</v>
      </c>
    </row>
    <row r="65" spans="2:37" ht="25.5" customHeight="1" x14ac:dyDescent="0.2">
      <c r="B65" s="365" t="s">
        <v>785</v>
      </c>
      <c r="C65" s="388"/>
      <c r="D65" s="471"/>
      <c r="E65" s="472" t="s">
        <v>786</v>
      </c>
      <c r="F65" s="473"/>
      <c r="G65" s="473"/>
      <c r="H65" s="474">
        <v>0</v>
      </c>
      <c r="I65" s="475" t="s">
        <v>98</v>
      </c>
      <c r="J65" s="473" t="s">
        <v>98</v>
      </c>
      <c r="K65" s="476"/>
      <c r="L65" s="476"/>
      <c r="M65" s="477"/>
      <c r="N65" s="477"/>
      <c r="O65" s="477"/>
      <c r="P65" s="477"/>
      <c r="Q65" s="477"/>
      <c r="R65" s="477"/>
      <c r="S65" s="478" t="s">
        <v>772</v>
      </c>
      <c r="T65" s="365" t="s">
        <v>787</v>
      </c>
      <c r="U65" s="391"/>
      <c r="V65" s="435"/>
      <c r="W65" s="376" t="s">
        <v>788</v>
      </c>
      <c r="X65" s="369"/>
      <c r="Y65" s="369"/>
      <c r="Z65" s="369"/>
      <c r="AA65" s="379">
        <v>3</v>
      </c>
      <c r="AB65" s="371" t="s">
        <v>138</v>
      </c>
      <c r="AC65" s="380"/>
      <c r="AD65" s="365" t="s">
        <v>789</v>
      </c>
      <c r="AE65" s="391"/>
      <c r="AF65" s="479" t="s">
        <v>790</v>
      </c>
      <c r="AG65" s="479" t="s">
        <v>791</v>
      </c>
      <c r="AH65" s="480">
        <v>0</v>
      </c>
      <c r="AI65" s="481"/>
      <c r="AJ65" s="481"/>
      <c r="AK65" s="482" t="s">
        <v>772</v>
      </c>
    </row>
    <row r="66" spans="2:37" ht="25.5" customHeight="1" x14ac:dyDescent="0.2">
      <c r="B66" s="365" t="s">
        <v>792</v>
      </c>
      <c r="C66" s="393"/>
      <c r="D66" s="471"/>
      <c r="E66" s="472" t="s">
        <v>793</v>
      </c>
      <c r="F66" s="473"/>
      <c r="G66" s="473"/>
      <c r="H66" s="474">
        <v>0</v>
      </c>
      <c r="I66" s="475" t="s">
        <v>98</v>
      </c>
      <c r="J66" s="473" t="s">
        <v>98</v>
      </c>
      <c r="K66" s="476"/>
      <c r="L66" s="476"/>
      <c r="M66" s="477"/>
      <c r="N66" s="477"/>
      <c r="O66" s="477"/>
      <c r="P66" s="477"/>
      <c r="Q66" s="477"/>
      <c r="R66" s="477"/>
      <c r="S66" s="478" t="s">
        <v>772</v>
      </c>
      <c r="T66" s="365" t="s">
        <v>794</v>
      </c>
      <c r="U66" s="391"/>
      <c r="V66" s="435"/>
      <c r="W66" s="376" t="s">
        <v>795</v>
      </c>
      <c r="X66" s="369"/>
      <c r="Y66" s="369"/>
      <c r="Z66" s="369"/>
      <c r="AA66" s="379">
        <v>2</v>
      </c>
      <c r="AB66" s="371" t="s">
        <v>138</v>
      </c>
      <c r="AC66" s="380"/>
      <c r="AD66" s="365" t="s">
        <v>796</v>
      </c>
      <c r="AE66" s="391"/>
      <c r="AF66" s="479" t="s">
        <v>797</v>
      </c>
      <c r="AG66" s="479" t="s">
        <v>798</v>
      </c>
      <c r="AH66" s="480">
        <v>0</v>
      </c>
      <c r="AI66" s="481"/>
      <c r="AJ66" s="481"/>
      <c r="AK66" s="482" t="s">
        <v>772</v>
      </c>
    </row>
    <row r="67" spans="2:37" ht="25.5" customHeight="1" x14ac:dyDescent="0.2">
      <c r="B67" s="365" t="s">
        <v>799</v>
      </c>
      <c r="C67" s="467"/>
      <c r="D67" s="467"/>
      <c r="E67" s="467"/>
      <c r="F67" s="467"/>
      <c r="G67" s="467"/>
      <c r="H67" s="467"/>
      <c r="I67" s="467"/>
      <c r="J67" s="467"/>
      <c r="K67" s="467"/>
      <c r="L67" s="467"/>
      <c r="M67" s="424"/>
      <c r="N67" s="424"/>
      <c r="O67" s="424"/>
      <c r="P67" s="424"/>
      <c r="Q67" s="424"/>
      <c r="R67" s="424"/>
      <c r="S67" s="408"/>
      <c r="T67" s="365" t="s">
        <v>800</v>
      </c>
      <c r="U67" s="391"/>
      <c r="V67" s="435"/>
      <c r="W67" s="376" t="s">
        <v>801</v>
      </c>
      <c r="X67" s="369"/>
      <c r="Y67" s="369"/>
      <c r="Z67" s="369"/>
      <c r="AA67" s="379">
        <v>1</v>
      </c>
      <c r="AB67" s="371" t="s">
        <v>138</v>
      </c>
      <c r="AC67" s="380"/>
      <c r="AD67" s="365" t="s">
        <v>802</v>
      </c>
      <c r="AE67" s="391"/>
      <c r="AF67" s="479" t="s">
        <v>803</v>
      </c>
      <c r="AG67" s="479" t="s">
        <v>804</v>
      </c>
      <c r="AH67" s="480">
        <v>0</v>
      </c>
      <c r="AI67" s="481"/>
      <c r="AJ67" s="481"/>
      <c r="AK67" s="482" t="s">
        <v>772</v>
      </c>
    </row>
    <row r="68" spans="2:37" ht="24.75" customHeight="1" x14ac:dyDescent="0.2">
      <c r="B68" s="365" t="s">
        <v>805</v>
      </c>
      <c r="C68" s="467"/>
      <c r="D68" s="467"/>
      <c r="E68" s="467"/>
      <c r="F68" s="467"/>
      <c r="G68" s="467"/>
      <c r="H68" s="467"/>
      <c r="I68" s="467"/>
      <c r="J68" s="467"/>
      <c r="K68" s="467"/>
      <c r="L68" s="467"/>
      <c r="M68" s="424"/>
      <c r="N68" s="424"/>
      <c r="O68" s="424"/>
      <c r="P68" s="424"/>
      <c r="Q68" s="424"/>
      <c r="R68" s="424"/>
      <c r="S68" s="408"/>
      <c r="T68" s="365" t="s">
        <v>806</v>
      </c>
      <c r="U68" s="391"/>
      <c r="V68" s="435"/>
      <c r="W68" s="376" t="s">
        <v>807</v>
      </c>
      <c r="X68" s="369"/>
      <c r="Y68" s="369"/>
      <c r="Z68" s="369"/>
      <c r="AA68" s="379">
        <v>7</v>
      </c>
      <c r="AB68" s="371" t="s">
        <v>138</v>
      </c>
      <c r="AC68" s="380"/>
      <c r="AD68" s="365" t="s">
        <v>808</v>
      </c>
      <c r="AE68" s="414"/>
      <c r="AF68" s="479" t="s">
        <v>809</v>
      </c>
      <c r="AG68" s="479" t="s">
        <v>810</v>
      </c>
      <c r="AH68" s="480">
        <v>0</v>
      </c>
      <c r="AI68" s="481"/>
      <c r="AJ68" s="481"/>
      <c r="AK68" s="482" t="s">
        <v>772</v>
      </c>
    </row>
    <row r="69" spans="2:37" ht="28.5" customHeight="1" x14ac:dyDescent="0.2">
      <c r="B69" s="365" t="s">
        <v>811</v>
      </c>
      <c r="C69" s="467"/>
      <c r="D69" s="467"/>
      <c r="E69" s="467"/>
      <c r="F69" s="467"/>
      <c r="G69" s="467"/>
      <c r="H69" s="467"/>
      <c r="I69" s="467"/>
      <c r="J69" s="467"/>
      <c r="K69" s="467"/>
      <c r="L69" s="467"/>
      <c r="M69" s="424"/>
      <c r="N69" s="424"/>
      <c r="O69" s="424"/>
      <c r="P69" s="424"/>
      <c r="Q69" s="424"/>
      <c r="R69" s="424"/>
      <c r="S69" s="408"/>
      <c r="T69" s="365" t="s">
        <v>812</v>
      </c>
      <c r="U69" s="391"/>
      <c r="V69" s="431"/>
      <c r="W69" s="376" t="s">
        <v>813</v>
      </c>
      <c r="X69" s="369"/>
      <c r="Y69" s="369"/>
      <c r="Z69" s="369"/>
      <c r="AA69" s="379">
        <v>15</v>
      </c>
      <c r="AB69" s="371" t="s">
        <v>138</v>
      </c>
      <c r="AC69" s="380"/>
      <c r="AD69" s="365" t="s">
        <v>814</v>
      </c>
      <c r="AE69" s="425" t="s">
        <v>815</v>
      </c>
      <c r="AF69" s="382" t="s">
        <v>816</v>
      </c>
      <c r="AG69" s="420" t="s">
        <v>598</v>
      </c>
      <c r="AH69" s="384" t="s">
        <v>491</v>
      </c>
      <c r="AI69" s="421"/>
      <c r="AJ69" s="422" t="str">
        <f>IF(AH69="1)","SPI-내부",IF(AH69="2)","SPI-외부",IF(AH69="3)","중","ERROR")))</f>
        <v>SPI-내부</v>
      </c>
      <c r="AK69" s="380"/>
    </row>
    <row r="70" spans="2:37" ht="27" customHeight="1" x14ac:dyDescent="0.2">
      <c r="B70" s="365" t="s">
        <v>817</v>
      </c>
      <c r="C70" s="467"/>
      <c r="D70" s="467"/>
      <c r="E70" s="467"/>
      <c r="F70" s="467"/>
      <c r="G70" s="467"/>
      <c r="H70" s="467"/>
      <c r="I70" s="467"/>
      <c r="J70" s="467"/>
      <c r="K70" s="467"/>
      <c r="L70" s="467"/>
      <c r="M70" s="424"/>
      <c r="N70" s="424"/>
      <c r="O70" s="424"/>
      <c r="P70" s="424"/>
      <c r="Q70" s="424"/>
      <c r="R70" s="424"/>
      <c r="S70" s="408"/>
      <c r="T70" s="365" t="s">
        <v>818</v>
      </c>
      <c r="U70" s="391"/>
      <c r="V70" s="426" t="s">
        <v>819</v>
      </c>
      <c r="W70" s="376" t="s">
        <v>365</v>
      </c>
      <c r="X70" s="377">
        <v>0.3</v>
      </c>
      <c r="Y70" s="378">
        <v>0.1</v>
      </c>
      <c r="Z70" s="369"/>
      <c r="AA70" s="465">
        <f>SUM(AA72:AA79)</f>
        <v>46</v>
      </c>
      <c r="AB70" s="371" t="s">
        <v>138</v>
      </c>
      <c r="AC70" s="380"/>
      <c r="AD70" s="365" t="s">
        <v>820</v>
      </c>
      <c r="AE70" s="425"/>
      <c r="AF70" s="382"/>
      <c r="AG70" s="420" t="s">
        <v>604</v>
      </c>
      <c r="AH70" s="384"/>
      <c r="AI70" s="421"/>
      <c r="AJ70" s="422"/>
      <c r="AK70" s="380"/>
    </row>
    <row r="71" spans="2:37" ht="27" customHeight="1" x14ac:dyDescent="0.2">
      <c r="B71" s="365" t="s">
        <v>821</v>
      </c>
      <c r="C71" s="467"/>
      <c r="D71" s="467"/>
      <c r="E71" s="467"/>
      <c r="F71" s="467"/>
      <c r="G71" s="467"/>
      <c r="H71" s="467"/>
      <c r="I71" s="467"/>
      <c r="J71" s="467"/>
      <c r="K71" s="467"/>
      <c r="L71" s="467"/>
      <c r="M71" s="424"/>
      <c r="N71" s="424"/>
      <c r="O71" s="424"/>
      <c r="P71" s="424"/>
      <c r="Q71" s="424"/>
      <c r="R71" s="424"/>
      <c r="S71" s="408"/>
      <c r="T71" s="365" t="s">
        <v>822</v>
      </c>
      <c r="U71" s="391"/>
      <c r="V71" s="435"/>
      <c r="W71" s="376" t="s">
        <v>823</v>
      </c>
      <c r="X71" s="377">
        <v>0.3</v>
      </c>
      <c r="Y71" s="378">
        <v>0.1</v>
      </c>
      <c r="Z71" s="377">
        <v>0.3</v>
      </c>
      <c r="AA71" s="465">
        <f>AA70</f>
        <v>46</v>
      </c>
      <c r="AB71" s="371" t="s">
        <v>138</v>
      </c>
      <c r="AC71" s="380"/>
      <c r="AD71" s="365" t="s">
        <v>824</v>
      </c>
      <c r="AE71" s="425"/>
      <c r="AF71" s="382"/>
      <c r="AG71" s="420" t="s">
        <v>610</v>
      </c>
      <c r="AH71" s="384"/>
      <c r="AI71" s="421"/>
      <c r="AJ71" s="422"/>
      <c r="AK71" s="380"/>
    </row>
    <row r="72" spans="2:37" ht="42" customHeight="1" x14ac:dyDescent="0.2">
      <c r="B72" s="365" t="s">
        <v>825</v>
      </c>
      <c r="C72" s="467"/>
      <c r="D72" s="467"/>
      <c r="E72" s="467"/>
      <c r="F72" s="467"/>
      <c r="G72" s="467"/>
      <c r="H72" s="467"/>
      <c r="I72" s="467"/>
      <c r="J72" s="467"/>
      <c r="K72" s="467"/>
      <c r="L72" s="467"/>
      <c r="M72" s="424"/>
      <c r="N72" s="424"/>
      <c r="O72" s="424"/>
      <c r="P72" s="424"/>
      <c r="Q72" s="424"/>
      <c r="R72" s="424"/>
      <c r="S72" s="408"/>
      <c r="T72" s="365" t="s">
        <v>826</v>
      </c>
      <c r="U72" s="391"/>
      <c r="V72" s="435"/>
      <c r="W72" s="376" t="s">
        <v>827</v>
      </c>
      <c r="X72" s="369"/>
      <c r="Y72" s="369"/>
      <c r="Z72" s="369"/>
      <c r="AA72" s="379">
        <v>30</v>
      </c>
      <c r="AB72" s="371" t="s">
        <v>138</v>
      </c>
      <c r="AC72" s="380"/>
      <c r="AD72" s="365" t="s">
        <v>828</v>
      </c>
      <c r="AE72" s="425" t="s">
        <v>829</v>
      </c>
      <c r="AF72" s="483" t="s">
        <v>830</v>
      </c>
      <c r="AG72" s="420" t="s">
        <v>831</v>
      </c>
      <c r="AH72" s="437" t="s">
        <v>590</v>
      </c>
      <c r="AI72" s="484"/>
      <c r="AJ72" s="438">
        <f>IF(SUM(I8:I10)&gt;=20000,20,IF(SUM(I8:I10)&lt;10000,10,15))</f>
        <v>10</v>
      </c>
      <c r="AK72" s="380"/>
    </row>
    <row r="73" spans="2:37" ht="28.5" customHeight="1" x14ac:dyDescent="0.2">
      <c r="B73" s="365" t="s">
        <v>832</v>
      </c>
      <c r="C73" s="467"/>
      <c r="D73" s="467"/>
      <c r="E73" s="467"/>
      <c r="F73" s="467"/>
      <c r="G73" s="467"/>
      <c r="H73" s="467"/>
      <c r="I73" s="467"/>
      <c r="J73" s="467"/>
      <c r="K73" s="467"/>
      <c r="L73" s="467"/>
      <c r="M73" s="424"/>
      <c r="N73" s="424"/>
      <c r="O73" s="424"/>
      <c r="P73" s="424"/>
      <c r="Q73" s="424"/>
      <c r="R73" s="424"/>
      <c r="S73" s="408"/>
      <c r="T73" s="365" t="s">
        <v>833</v>
      </c>
      <c r="U73" s="391"/>
      <c r="V73" s="435"/>
      <c r="W73" s="376" t="s">
        <v>834</v>
      </c>
      <c r="X73" s="369"/>
      <c r="Y73" s="369"/>
      <c r="Z73" s="369"/>
      <c r="AA73" s="379">
        <v>6</v>
      </c>
      <c r="AB73" s="371" t="s">
        <v>138</v>
      </c>
      <c r="AC73" s="380"/>
      <c r="AD73" s="365" t="s">
        <v>835</v>
      </c>
      <c r="AE73" s="425"/>
      <c r="AF73" s="436" t="s">
        <v>836</v>
      </c>
      <c r="AG73" s="420" t="s">
        <v>837</v>
      </c>
      <c r="AH73" s="485">
        <v>1</v>
      </c>
      <c r="AI73" s="484"/>
      <c r="AJ73" s="486"/>
      <c r="AK73" s="380"/>
    </row>
    <row r="74" spans="2:37" ht="28.5" customHeight="1" x14ac:dyDescent="0.2">
      <c r="B74" s="365" t="s">
        <v>838</v>
      </c>
      <c r="C74" s="467"/>
      <c r="D74" s="467"/>
      <c r="E74" s="467"/>
      <c r="F74" s="467"/>
      <c r="G74" s="467"/>
      <c r="H74" s="467"/>
      <c r="I74" s="467"/>
      <c r="J74" s="467"/>
      <c r="K74" s="467"/>
      <c r="L74" s="467"/>
      <c r="M74" s="424"/>
      <c r="N74" s="424"/>
      <c r="O74" s="424"/>
      <c r="P74" s="424"/>
      <c r="Q74" s="424"/>
      <c r="R74" s="424"/>
      <c r="S74" s="408"/>
      <c r="T74" s="365" t="s">
        <v>839</v>
      </c>
      <c r="U74" s="391"/>
      <c r="V74" s="435"/>
      <c r="W74" s="376" t="s">
        <v>840</v>
      </c>
      <c r="X74" s="369"/>
      <c r="Y74" s="369"/>
      <c r="Z74" s="369"/>
      <c r="AA74" s="379">
        <v>0</v>
      </c>
      <c r="AB74" s="371" t="s">
        <v>138</v>
      </c>
      <c r="AC74" s="380"/>
      <c r="AD74" s="365" t="s">
        <v>841</v>
      </c>
      <c r="AE74" s="487" t="s">
        <v>842</v>
      </c>
      <c r="AF74" s="442" t="s">
        <v>389</v>
      </c>
      <c r="AG74" s="436" t="s">
        <v>638</v>
      </c>
      <c r="AH74" s="411" t="s">
        <v>398</v>
      </c>
      <c r="AI74" s="421"/>
      <c r="AJ74" s="438" t="str">
        <f t="shared" ref="AJ74" si="11">IF(AH74="Yes","SPI",IF(AH74="No","N/A","ERROR"))</f>
        <v>N/A</v>
      </c>
      <c r="AK74" s="380"/>
    </row>
    <row r="75" spans="2:37" ht="28.5" customHeight="1" x14ac:dyDescent="0.2">
      <c r="B75" s="365" t="s">
        <v>843</v>
      </c>
      <c r="C75" s="467"/>
      <c r="D75" s="467"/>
      <c r="E75" s="467"/>
      <c r="F75" s="467"/>
      <c r="G75" s="467"/>
      <c r="H75" s="467"/>
      <c r="I75" s="467"/>
      <c r="J75" s="467"/>
      <c r="K75" s="467"/>
      <c r="L75" s="467"/>
      <c r="M75" s="424"/>
      <c r="N75" s="424"/>
      <c r="O75" s="424"/>
      <c r="P75" s="424"/>
      <c r="Q75" s="424"/>
      <c r="R75" s="424"/>
      <c r="S75" s="408"/>
      <c r="T75" s="365" t="s">
        <v>844</v>
      </c>
      <c r="U75" s="391"/>
      <c r="V75" s="435"/>
      <c r="W75" s="376" t="s">
        <v>845</v>
      </c>
      <c r="X75" s="369"/>
      <c r="Y75" s="369"/>
      <c r="Z75" s="369"/>
      <c r="AA75" s="379">
        <v>1</v>
      </c>
      <c r="AB75" s="371" t="s">
        <v>138</v>
      </c>
      <c r="AC75" s="380"/>
      <c r="AD75" s="365" t="s">
        <v>846</v>
      </c>
      <c r="AE75" s="381" t="s">
        <v>847</v>
      </c>
      <c r="AF75" s="442" t="s">
        <v>848</v>
      </c>
      <c r="AG75" s="420" t="s">
        <v>849</v>
      </c>
      <c r="AH75" s="488">
        <v>0.7</v>
      </c>
      <c r="AI75" s="489"/>
      <c r="AJ75" s="437"/>
      <c r="AK75" s="380" t="s">
        <v>850</v>
      </c>
    </row>
    <row r="76" spans="2:37" ht="28.5" customHeight="1" x14ac:dyDescent="0.2">
      <c r="B76" s="365" t="s">
        <v>851</v>
      </c>
      <c r="C76" s="467"/>
      <c r="D76" s="467"/>
      <c r="E76" s="467"/>
      <c r="F76" s="467"/>
      <c r="G76" s="467"/>
      <c r="H76" s="467"/>
      <c r="I76" s="467"/>
      <c r="J76" s="467"/>
      <c r="K76" s="467"/>
      <c r="L76" s="467"/>
      <c r="M76" s="424"/>
      <c r="N76" s="424"/>
      <c r="O76" s="424"/>
      <c r="P76" s="424"/>
      <c r="Q76" s="424"/>
      <c r="R76" s="424"/>
      <c r="S76" s="408"/>
      <c r="T76" s="365" t="s">
        <v>852</v>
      </c>
      <c r="U76" s="391"/>
      <c r="V76" s="435"/>
      <c r="W76" s="376" t="s">
        <v>853</v>
      </c>
      <c r="X76" s="369"/>
      <c r="Y76" s="369"/>
      <c r="Z76" s="369"/>
      <c r="AA76" s="379">
        <v>1</v>
      </c>
      <c r="AB76" s="371" t="s">
        <v>138</v>
      </c>
      <c r="AC76" s="380"/>
      <c r="AD76" s="365" t="s">
        <v>854</v>
      </c>
      <c r="AE76" s="414"/>
      <c r="AF76" s="442" t="s">
        <v>855</v>
      </c>
      <c r="AG76" s="420" t="s">
        <v>856</v>
      </c>
      <c r="AH76" s="490">
        <v>0.7</v>
      </c>
      <c r="AI76" s="437"/>
      <c r="AK76" s="380" t="s">
        <v>857</v>
      </c>
    </row>
    <row r="77" spans="2:37" ht="28.5" customHeight="1" x14ac:dyDescent="0.2">
      <c r="B77" s="365" t="s">
        <v>858</v>
      </c>
      <c r="C77" s="467"/>
      <c r="D77" s="467"/>
      <c r="E77" s="467"/>
      <c r="F77" s="467"/>
      <c r="G77" s="467"/>
      <c r="H77" s="467"/>
      <c r="I77" s="467"/>
      <c r="J77" s="467"/>
      <c r="K77" s="467"/>
      <c r="L77" s="467"/>
      <c r="M77" s="424"/>
      <c r="N77" s="424"/>
      <c r="O77" s="424"/>
      <c r="P77" s="424"/>
      <c r="Q77" s="424"/>
      <c r="R77" s="424"/>
      <c r="S77" s="408"/>
      <c r="T77" s="365" t="s">
        <v>859</v>
      </c>
      <c r="U77" s="391"/>
      <c r="V77" s="435"/>
      <c r="W77" s="376" t="s">
        <v>860</v>
      </c>
      <c r="X77" s="369"/>
      <c r="Y77" s="369"/>
      <c r="Z77" s="369"/>
      <c r="AA77" s="379">
        <v>7</v>
      </c>
      <c r="AB77" s="371" t="s">
        <v>138</v>
      </c>
      <c r="AC77" s="380"/>
      <c r="AD77" s="365" t="s">
        <v>861</v>
      </c>
      <c r="AE77" s="381" t="s">
        <v>862</v>
      </c>
      <c r="AF77" s="436" t="s">
        <v>863</v>
      </c>
      <c r="AG77" s="420" t="s">
        <v>864</v>
      </c>
      <c r="AH77" s="411">
        <v>165</v>
      </c>
      <c r="AI77" s="421"/>
      <c r="AJ77" s="437"/>
      <c r="AK77" s="380" t="s">
        <v>865</v>
      </c>
    </row>
    <row r="78" spans="2:37" ht="28.5" customHeight="1" x14ac:dyDescent="0.2">
      <c r="B78" s="365" t="s">
        <v>866</v>
      </c>
      <c r="C78" s="467"/>
      <c r="D78" s="467"/>
      <c r="E78" s="467"/>
      <c r="F78" s="467"/>
      <c r="G78" s="467"/>
      <c r="H78" s="467"/>
      <c r="I78" s="467"/>
      <c r="J78" s="467"/>
      <c r="K78" s="467"/>
      <c r="L78" s="467"/>
      <c r="M78" s="424"/>
      <c r="N78" s="424"/>
      <c r="O78" s="424"/>
      <c r="P78" s="424"/>
      <c r="Q78" s="424"/>
      <c r="R78" s="424"/>
      <c r="S78" s="408"/>
      <c r="T78" s="365" t="s">
        <v>867</v>
      </c>
      <c r="U78" s="391"/>
      <c r="V78" s="435"/>
      <c r="W78" s="376" t="s">
        <v>868</v>
      </c>
      <c r="X78" s="369"/>
      <c r="Y78" s="369"/>
      <c r="Z78" s="369"/>
      <c r="AA78" s="379">
        <v>1</v>
      </c>
      <c r="AB78" s="371" t="s">
        <v>138</v>
      </c>
      <c r="AC78" s="380"/>
      <c r="AD78" s="365" t="s">
        <v>869</v>
      </c>
      <c r="AE78" s="391"/>
      <c r="AF78" s="436" t="s">
        <v>870</v>
      </c>
      <c r="AG78" s="436" t="s">
        <v>871</v>
      </c>
      <c r="AH78" s="411">
        <v>12</v>
      </c>
      <c r="AI78" s="421"/>
      <c r="AJ78" s="437"/>
      <c r="AK78" s="380" t="s">
        <v>872</v>
      </c>
    </row>
    <row r="79" spans="2:37" ht="28.5" customHeight="1" x14ac:dyDescent="0.2">
      <c r="B79" s="365" t="s">
        <v>873</v>
      </c>
      <c r="C79" s="467"/>
      <c r="D79" s="467"/>
      <c r="E79" s="467"/>
      <c r="F79" s="467"/>
      <c r="G79" s="467"/>
      <c r="H79" s="467"/>
      <c r="I79" s="467"/>
      <c r="J79" s="467"/>
      <c r="K79" s="467"/>
      <c r="L79" s="467"/>
      <c r="M79" s="424"/>
      <c r="N79" s="424"/>
      <c r="O79" s="424"/>
      <c r="P79" s="424"/>
      <c r="Q79" s="424"/>
      <c r="R79" s="424"/>
      <c r="S79" s="408"/>
      <c r="T79" s="365" t="s">
        <v>874</v>
      </c>
      <c r="U79" s="391"/>
      <c r="V79" s="431"/>
      <c r="W79" s="376" t="s">
        <v>875</v>
      </c>
      <c r="X79" s="369"/>
      <c r="Y79" s="369"/>
      <c r="Z79" s="369"/>
      <c r="AA79" s="379">
        <v>0</v>
      </c>
      <c r="AB79" s="371" t="s">
        <v>138</v>
      </c>
      <c r="AC79" s="380"/>
      <c r="AD79" s="365" t="s">
        <v>876</v>
      </c>
      <c r="AE79" s="391"/>
      <c r="AF79" s="410" t="s">
        <v>877</v>
      </c>
      <c r="AG79" s="436" t="s">
        <v>878</v>
      </c>
      <c r="AH79" s="411">
        <v>32000</v>
      </c>
      <c r="AI79" s="421"/>
      <c r="AJ79" s="437"/>
      <c r="AK79" s="380" t="s">
        <v>865</v>
      </c>
    </row>
    <row r="80" spans="2:37" ht="30" customHeight="1" x14ac:dyDescent="0.2">
      <c r="B80" s="365" t="s">
        <v>879</v>
      </c>
      <c r="C80" s="467"/>
      <c r="D80" s="467"/>
      <c r="E80" s="467"/>
      <c r="F80" s="467"/>
      <c r="G80" s="467"/>
      <c r="H80" s="467"/>
      <c r="I80" s="467"/>
      <c r="J80" s="467"/>
      <c r="K80" s="467"/>
      <c r="L80" s="467"/>
      <c r="M80" s="424"/>
      <c r="N80" s="424"/>
      <c r="O80" s="424"/>
      <c r="P80" s="424"/>
      <c r="Q80" s="424"/>
      <c r="R80" s="424"/>
      <c r="S80" s="408"/>
      <c r="T80" s="365" t="s">
        <v>880</v>
      </c>
      <c r="U80" s="391"/>
      <c r="V80" s="405" t="s">
        <v>881</v>
      </c>
      <c r="W80" s="424" t="s">
        <v>882</v>
      </c>
      <c r="X80" s="377">
        <v>0.3</v>
      </c>
      <c r="Y80" s="378">
        <v>0.1</v>
      </c>
      <c r="Z80" s="369"/>
      <c r="AA80" s="455"/>
      <c r="AB80" s="467"/>
      <c r="AC80" s="408"/>
      <c r="AD80" s="365" t="s">
        <v>883</v>
      </c>
      <c r="AE80" s="391"/>
      <c r="AF80" s="491"/>
      <c r="AG80" s="436" t="s">
        <v>884</v>
      </c>
      <c r="AH80" s="411">
        <v>39000</v>
      </c>
      <c r="AI80" s="492"/>
      <c r="AJ80" s="437"/>
      <c r="AK80" s="380" t="s">
        <v>865</v>
      </c>
    </row>
    <row r="81" spans="2:37" ht="28.5" customHeight="1" x14ac:dyDescent="0.2">
      <c r="B81" s="365" t="s">
        <v>885</v>
      </c>
      <c r="C81" s="467"/>
      <c r="D81" s="467"/>
      <c r="E81" s="467"/>
      <c r="F81" s="467"/>
      <c r="G81" s="467"/>
      <c r="H81" s="467"/>
      <c r="I81" s="467"/>
      <c r="J81" s="467"/>
      <c r="K81" s="467"/>
      <c r="L81" s="467"/>
      <c r="M81" s="424"/>
      <c r="N81" s="424"/>
      <c r="O81" s="424"/>
      <c r="P81" s="424"/>
      <c r="Q81" s="424"/>
      <c r="R81" s="424"/>
      <c r="S81" s="408"/>
      <c r="T81" s="365" t="s">
        <v>886</v>
      </c>
      <c r="U81" s="414"/>
      <c r="V81" s="419"/>
      <c r="W81" s="424" t="s">
        <v>384</v>
      </c>
      <c r="X81" s="377">
        <v>0.3</v>
      </c>
      <c r="Y81" s="378">
        <v>0.1</v>
      </c>
      <c r="Z81" s="369"/>
      <c r="AA81" s="455"/>
      <c r="AB81" s="467"/>
      <c r="AC81" s="408"/>
      <c r="AD81" s="365" t="s">
        <v>887</v>
      </c>
      <c r="AE81" s="414"/>
      <c r="AF81" s="415"/>
      <c r="AG81" s="436" t="s">
        <v>888</v>
      </c>
      <c r="AH81" s="411">
        <v>57000</v>
      </c>
      <c r="AI81" s="421"/>
      <c r="AJ81" s="437"/>
      <c r="AK81" s="380" t="s">
        <v>865</v>
      </c>
    </row>
    <row r="82" spans="2:37" ht="28.5" customHeight="1" x14ac:dyDescent="0.2">
      <c r="B82" s="365" t="s">
        <v>889</v>
      </c>
      <c r="C82" s="467"/>
      <c r="D82" s="467"/>
      <c r="E82" s="467"/>
      <c r="F82" s="467"/>
      <c r="G82" s="467"/>
      <c r="H82" s="467"/>
      <c r="I82" s="467"/>
      <c r="J82" s="467"/>
      <c r="K82" s="467"/>
      <c r="L82" s="467"/>
      <c r="M82" s="424"/>
      <c r="N82" s="424"/>
      <c r="O82" s="424"/>
      <c r="P82" s="424"/>
      <c r="Q82" s="424"/>
      <c r="R82" s="424"/>
      <c r="S82" s="408"/>
      <c r="T82" s="365" t="s">
        <v>890</v>
      </c>
      <c r="U82" s="493" t="s">
        <v>891</v>
      </c>
      <c r="V82" s="494" t="s">
        <v>892</v>
      </c>
      <c r="W82" s="494" t="s">
        <v>892</v>
      </c>
      <c r="X82" s="377">
        <v>0.3</v>
      </c>
      <c r="Y82" s="378">
        <v>0.1</v>
      </c>
      <c r="Z82" s="377">
        <v>0.3</v>
      </c>
      <c r="AA82" s="397">
        <v>1</v>
      </c>
      <c r="AB82" s="371" t="s">
        <v>97</v>
      </c>
      <c r="AC82" s="408"/>
      <c r="AD82" s="365" t="s">
        <v>893</v>
      </c>
      <c r="AE82" s="425" t="s">
        <v>894</v>
      </c>
      <c r="AF82" s="495" t="s">
        <v>551</v>
      </c>
      <c r="AG82" s="420" t="s">
        <v>895</v>
      </c>
      <c r="AH82" s="411" t="s">
        <v>896</v>
      </c>
      <c r="AI82" s="486"/>
      <c r="AJ82" s="438" t="str">
        <f>IF(AH82="직접수행","중",IF(AH82="외부수행","하","ERROR"))</f>
        <v>중</v>
      </c>
      <c r="AK82" s="496" t="s">
        <v>897</v>
      </c>
    </row>
    <row r="83" spans="2:37" ht="28.5" customHeight="1" x14ac:dyDescent="0.2">
      <c r="B83" s="365" t="s">
        <v>898</v>
      </c>
      <c r="C83" s="467"/>
      <c r="D83" s="467"/>
      <c r="E83" s="467"/>
      <c r="F83" s="467"/>
      <c r="G83" s="467"/>
      <c r="H83" s="467"/>
      <c r="I83" s="467"/>
      <c r="J83" s="467"/>
      <c r="K83" s="467"/>
      <c r="L83" s="467"/>
      <c r="M83" s="424"/>
      <c r="N83" s="424"/>
      <c r="O83" s="424"/>
      <c r="P83" s="424"/>
      <c r="Q83" s="424"/>
      <c r="R83" s="424"/>
      <c r="S83" s="408"/>
      <c r="T83" s="365" t="s">
        <v>899</v>
      </c>
      <c r="U83" s="497" t="s">
        <v>900</v>
      </c>
      <c r="V83" s="447" t="s">
        <v>901</v>
      </c>
      <c r="W83" s="424" t="s">
        <v>902</v>
      </c>
      <c r="X83" s="369"/>
      <c r="Y83" s="369"/>
      <c r="Z83" s="369"/>
      <c r="AA83" s="454">
        <v>0</v>
      </c>
      <c r="AB83" s="371" t="s">
        <v>903</v>
      </c>
      <c r="AC83" s="404" t="s">
        <v>904</v>
      </c>
      <c r="AD83" s="365" t="s">
        <v>905</v>
      </c>
      <c r="AE83" s="425"/>
      <c r="AF83" s="495" t="s">
        <v>192</v>
      </c>
      <c r="AG83" s="420" t="s">
        <v>895</v>
      </c>
      <c r="AH83" s="411" t="s">
        <v>896</v>
      </c>
      <c r="AI83" s="484"/>
      <c r="AJ83" s="438" t="str">
        <f t="shared" ref="AJ83:AJ84" si="12">IF(AH83="직접수행","중",IF(AH83="외부수행","하","ERROR"))</f>
        <v>중</v>
      </c>
      <c r="AK83" s="496" t="s">
        <v>897</v>
      </c>
    </row>
    <row r="84" spans="2:37" ht="28.5" customHeight="1" x14ac:dyDescent="0.2">
      <c r="B84" s="365" t="s">
        <v>906</v>
      </c>
      <c r="C84" s="467"/>
      <c r="D84" s="467"/>
      <c r="E84" s="467"/>
      <c r="F84" s="467"/>
      <c r="G84" s="467"/>
      <c r="H84" s="467"/>
      <c r="I84" s="467"/>
      <c r="J84" s="467"/>
      <c r="K84" s="467"/>
      <c r="L84" s="467"/>
      <c r="M84" s="424"/>
      <c r="N84" s="424"/>
      <c r="O84" s="424"/>
      <c r="P84" s="424"/>
      <c r="Q84" s="424"/>
      <c r="R84" s="424"/>
      <c r="S84" s="408"/>
      <c r="T84" s="365" t="s">
        <v>907</v>
      </c>
      <c r="U84" s="497"/>
      <c r="V84" s="447"/>
      <c r="W84" s="424"/>
      <c r="X84" s="424"/>
      <c r="Y84" s="424"/>
      <c r="Z84" s="424"/>
      <c r="AA84" s="455"/>
      <c r="AB84" s="371"/>
      <c r="AC84" s="404"/>
      <c r="AD84" s="365" t="s">
        <v>908</v>
      </c>
      <c r="AE84" s="425"/>
      <c r="AF84" s="495" t="s">
        <v>193</v>
      </c>
      <c r="AG84" s="420" t="s">
        <v>895</v>
      </c>
      <c r="AH84" s="411" t="s">
        <v>909</v>
      </c>
      <c r="AI84" s="484"/>
      <c r="AJ84" s="438" t="str">
        <f t="shared" si="12"/>
        <v>하</v>
      </c>
      <c r="AK84" s="496" t="s">
        <v>897</v>
      </c>
    </row>
    <row r="85" spans="2:37" ht="28.5" customHeight="1" x14ac:dyDescent="0.2">
      <c r="B85" s="365" t="s">
        <v>910</v>
      </c>
      <c r="C85" s="467"/>
      <c r="D85" s="467"/>
      <c r="E85" s="467"/>
      <c r="F85" s="467"/>
      <c r="G85" s="467"/>
      <c r="H85" s="467"/>
      <c r="I85" s="467"/>
      <c r="J85" s="467"/>
      <c r="K85" s="467"/>
      <c r="L85" s="498"/>
      <c r="M85" s="499"/>
      <c r="N85" s="499"/>
      <c r="O85" s="499"/>
      <c r="P85" s="499"/>
      <c r="Q85" s="499"/>
      <c r="R85" s="499"/>
      <c r="S85" s="500"/>
      <c r="T85" s="365" t="s">
        <v>911</v>
      </c>
      <c r="U85" s="501"/>
      <c r="V85" s="447"/>
      <c r="W85" s="424"/>
      <c r="X85" s="424"/>
      <c r="Y85" s="424"/>
      <c r="Z85" s="424"/>
      <c r="AA85" s="455"/>
      <c r="AB85" s="371"/>
      <c r="AC85" s="404"/>
      <c r="AD85" s="365" t="s">
        <v>912</v>
      </c>
      <c r="AE85" s="502"/>
      <c r="AF85" s="495"/>
      <c r="AG85" s="503"/>
      <c r="AH85" s="486"/>
      <c r="AI85" s="484"/>
      <c r="AJ85" s="486"/>
      <c r="AK85" s="496"/>
    </row>
    <row r="86" spans="2:37" ht="28.5" customHeight="1" x14ac:dyDescent="0.2">
      <c r="B86" s="365" t="s">
        <v>913</v>
      </c>
      <c r="C86" s="498"/>
      <c r="D86" s="498"/>
      <c r="E86" s="498"/>
      <c r="F86" s="498"/>
      <c r="G86" s="498"/>
      <c r="H86" s="498"/>
      <c r="I86" s="498"/>
      <c r="J86" s="498"/>
      <c r="K86" s="498"/>
      <c r="L86" s="498"/>
      <c r="M86" s="499"/>
      <c r="N86" s="499"/>
      <c r="O86" s="499"/>
      <c r="P86" s="499"/>
      <c r="Q86" s="499"/>
      <c r="R86" s="499"/>
      <c r="S86" s="500"/>
      <c r="T86" s="365" t="s">
        <v>914</v>
      </c>
      <c r="U86" s="424"/>
      <c r="V86" s="504"/>
      <c r="W86" s="499"/>
      <c r="X86" s="499"/>
      <c r="Y86" s="499"/>
      <c r="Z86" s="499"/>
      <c r="AA86" s="505"/>
      <c r="AB86" s="498"/>
      <c r="AC86" s="500"/>
      <c r="AD86" s="365" t="s">
        <v>915</v>
      </c>
      <c r="AE86" s="502"/>
      <c r="AF86" s="495"/>
      <c r="AG86" s="503"/>
      <c r="AH86" s="486"/>
      <c r="AI86" s="484"/>
      <c r="AJ86" s="486"/>
      <c r="AK86" s="496"/>
    </row>
    <row r="87" spans="2:37" ht="28.5" customHeight="1" thickBot="1" x14ac:dyDescent="0.25">
      <c r="B87" s="506" t="s">
        <v>916</v>
      </c>
      <c r="C87" s="507"/>
      <c r="D87" s="507"/>
      <c r="E87" s="507"/>
      <c r="F87" s="507"/>
      <c r="G87" s="507"/>
      <c r="H87" s="507"/>
      <c r="I87" s="507"/>
      <c r="J87" s="507"/>
      <c r="K87" s="507"/>
      <c r="L87" s="507"/>
      <c r="M87" s="508"/>
      <c r="N87" s="508"/>
      <c r="O87" s="508"/>
      <c r="P87" s="508"/>
      <c r="Q87" s="508"/>
      <c r="R87" s="508"/>
      <c r="S87" s="509"/>
      <c r="T87" s="506" t="s">
        <v>917</v>
      </c>
      <c r="U87" s="507"/>
      <c r="V87" s="510"/>
      <c r="W87" s="507"/>
      <c r="X87" s="507"/>
      <c r="Y87" s="507"/>
      <c r="Z87" s="507"/>
      <c r="AA87" s="511"/>
      <c r="AB87" s="507"/>
      <c r="AC87" s="509"/>
      <c r="AD87" s="506" t="s">
        <v>918</v>
      </c>
      <c r="AE87" s="512"/>
      <c r="AF87" s="513"/>
      <c r="AG87" s="514"/>
      <c r="AH87" s="515"/>
      <c r="AI87" s="516"/>
      <c r="AJ87" s="515"/>
      <c r="AK87" s="517"/>
    </row>
    <row r="88" spans="2:37" x14ac:dyDescent="0.2">
      <c r="T88" s="318"/>
      <c r="U88" s="2"/>
      <c r="V88" s="318"/>
      <c r="AC88" s="318"/>
    </row>
    <row r="89" spans="2:37" x14ac:dyDescent="0.2">
      <c r="T89" s="318"/>
      <c r="U89" s="2"/>
      <c r="V89" s="318"/>
      <c r="AC89" s="318"/>
    </row>
    <row r="90" spans="2:37" x14ac:dyDescent="0.2">
      <c r="T90" s="318"/>
      <c r="U90" s="2"/>
      <c r="V90" s="318"/>
      <c r="AC90" s="318"/>
    </row>
    <row r="91" spans="2:37" x14ac:dyDescent="0.2">
      <c r="T91" s="318"/>
      <c r="U91" s="2"/>
      <c r="V91" s="318"/>
      <c r="AC91" s="318"/>
    </row>
    <row r="92" spans="2:37" x14ac:dyDescent="0.2">
      <c r="T92" s="318"/>
      <c r="U92" s="2"/>
      <c r="V92" s="318"/>
      <c r="AC92" s="318"/>
    </row>
    <row r="93" spans="2:37" x14ac:dyDescent="0.2">
      <c r="T93" s="318"/>
      <c r="U93" s="2"/>
      <c r="V93" s="318"/>
      <c r="AC93" s="318"/>
    </row>
    <row r="94" spans="2:37" x14ac:dyDescent="0.2">
      <c r="T94" s="318"/>
      <c r="U94" s="2"/>
      <c r="V94" s="318"/>
      <c r="AC94" s="318"/>
    </row>
    <row r="95" spans="2:37" x14ac:dyDescent="0.2">
      <c r="T95" s="318"/>
      <c r="U95" s="2"/>
      <c r="V95" s="318"/>
      <c r="AC95" s="318"/>
    </row>
    <row r="96" spans="2:37" ht="13.8" thickBot="1" x14ac:dyDescent="0.25">
      <c r="T96" s="318"/>
      <c r="U96" s="2"/>
      <c r="V96" s="318"/>
      <c r="AC96" s="318"/>
    </row>
    <row r="97" spans="3:34" ht="14.4" x14ac:dyDescent="0.2">
      <c r="C97" s="518" t="s">
        <v>919</v>
      </c>
      <c r="D97" s="519" t="s">
        <v>920</v>
      </c>
      <c r="E97" s="520"/>
      <c r="F97" s="521"/>
      <c r="G97" s="521"/>
      <c r="H97" s="521"/>
      <c r="I97" s="522">
        <v>13360</v>
      </c>
      <c r="J97" s="523" t="s">
        <v>921</v>
      </c>
      <c r="K97" s="524"/>
      <c r="L97" s="525"/>
      <c r="T97" s="318"/>
      <c r="U97" s="2"/>
      <c r="V97" s="318"/>
      <c r="AC97" s="318"/>
    </row>
    <row r="98" spans="3:34" x14ac:dyDescent="0.2">
      <c r="C98" s="518" t="s">
        <v>922</v>
      </c>
      <c r="D98" s="526" t="s">
        <v>923</v>
      </c>
      <c r="E98" s="527"/>
      <c r="F98" s="528"/>
      <c r="G98" s="528"/>
      <c r="H98" s="528"/>
      <c r="I98" s="529">
        <v>1308</v>
      </c>
      <c r="J98" s="115" t="s">
        <v>924</v>
      </c>
      <c r="K98" s="530"/>
      <c r="L98" s="531"/>
      <c r="T98" s="318"/>
      <c r="U98" s="2"/>
      <c r="V98" s="318"/>
      <c r="AC98" s="318"/>
    </row>
    <row r="99" spans="3:34" x14ac:dyDescent="0.2">
      <c r="C99" s="518" t="s">
        <v>925</v>
      </c>
      <c r="D99" s="526" t="s">
        <v>926</v>
      </c>
      <c r="E99" s="527"/>
      <c r="F99" s="532"/>
      <c r="G99" s="532"/>
      <c r="H99" s="532"/>
      <c r="I99" s="533">
        <v>2108</v>
      </c>
      <c r="J99" s="115" t="s">
        <v>927</v>
      </c>
      <c r="K99" s="530"/>
      <c r="L99" s="531"/>
      <c r="T99" s="318"/>
      <c r="U99" s="2"/>
      <c r="V99" s="318"/>
      <c r="AC99" s="318"/>
    </row>
    <row r="100" spans="3:34" x14ac:dyDescent="0.2">
      <c r="C100" s="518" t="s">
        <v>928</v>
      </c>
      <c r="D100" s="526" t="s">
        <v>929</v>
      </c>
      <c r="E100" s="527"/>
      <c r="F100" s="532"/>
      <c r="G100" s="532"/>
      <c r="H100" s="532"/>
      <c r="I100" s="533">
        <v>2323</v>
      </c>
      <c r="J100" s="115" t="s">
        <v>930</v>
      </c>
      <c r="K100" s="530"/>
      <c r="L100" s="531"/>
      <c r="T100" s="318"/>
      <c r="U100" s="2"/>
      <c r="V100" s="318"/>
      <c r="AC100" s="318"/>
    </row>
    <row r="101" spans="3:34" x14ac:dyDescent="0.2">
      <c r="C101" s="518" t="s">
        <v>931</v>
      </c>
      <c r="D101" s="526" t="s">
        <v>932</v>
      </c>
      <c r="E101" s="527"/>
      <c r="F101" s="532"/>
      <c r="G101" s="532"/>
      <c r="H101" s="532"/>
      <c r="I101" s="533">
        <v>112</v>
      </c>
      <c r="J101" s="115"/>
      <c r="K101" s="530"/>
      <c r="L101" s="531"/>
      <c r="T101" s="318"/>
      <c r="U101" s="2"/>
      <c r="V101" s="318"/>
      <c r="AC101" s="318"/>
    </row>
    <row r="102" spans="3:34" x14ac:dyDescent="0.2">
      <c r="C102" s="518" t="s">
        <v>933</v>
      </c>
      <c r="D102" s="526" t="s">
        <v>934</v>
      </c>
      <c r="E102" s="527"/>
      <c r="F102" s="532"/>
      <c r="G102" s="532"/>
      <c r="H102" s="532"/>
      <c r="I102" s="533">
        <v>408</v>
      </c>
      <c r="J102" s="115" t="s">
        <v>935</v>
      </c>
      <c r="K102" s="530"/>
      <c r="L102" s="531"/>
      <c r="T102" s="318"/>
      <c r="U102" s="2"/>
      <c r="V102" s="318"/>
      <c r="AC102" s="318"/>
      <c r="AH102" s="318" t="s">
        <v>95</v>
      </c>
    </row>
    <row r="103" spans="3:34" x14ac:dyDescent="0.2">
      <c r="C103" s="518" t="s">
        <v>936</v>
      </c>
      <c r="D103" s="526" t="s">
        <v>937</v>
      </c>
      <c r="E103" s="527"/>
      <c r="F103" s="534"/>
      <c r="G103" s="534"/>
      <c r="H103" s="534"/>
      <c r="I103" s="535">
        <v>130</v>
      </c>
      <c r="J103" s="115"/>
      <c r="K103" s="530"/>
      <c r="L103" s="531"/>
      <c r="T103" s="318"/>
      <c r="U103" s="2"/>
      <c r="V103" s="318"/>
      <c r="AC103" s="318"/>
      <c r="AH103" s="318" t="s">
        <v>102</v>
      </c>
    </row>
    <row r="104" spans="3:34" x14ac:dyDescent="0.2">
      <c r="C104" s="518" t="s">
        <v>938</v>
      </c>
      <c r="D104" s="536" t="s">
        <v>939</v>
      </c>
      <c r="E104" s="537"/>
      <c r="F104" s="534"/>
      <c r="G104" s="534"/>
      <c r="H104" s="534"/>
      <c r="I104" s="535">
        <v>317</v>
      </c>
      <c r="J104" s="115" t="s">
        <v>940</v>
      </c>
      <c r="K104" s="530"/>
      <c r="L104" s="531"/>
      <c r="T104" s="318"/>
      <c r="U104" s="2"/>
      <c r="V104" s="318"/>
      <c r="AC104" s="318"/>
      <c r="AH104" s="318" t="s">
        <v>941</v>
      </c>
    </row>
    <row r="105" spans="3:34" x14ac:dyDescent="0.2">
      <c r="C105" s="518" t="s">
        <v>942</v>
      </c>
      <c r="D105" s="536" t="s">
        <v>943</v>
      </c>
      <c r="E105" s="537"/>
      <c r="F105" s="534"/>
      <c r="G105" s="534"/>
      <c r="H105" s="534"/>
      <c r="I105" s="535">
        <v>1773</v>
      </c>
      <c r="J105" s="115" t="s">
        <v>940</v>
      </c>
      <c r="K105" s="530"/>
      <c r="L105" s="531"/>
      <c r="T105" s="318"/>
      <c r="U105" s="2"/>
      <c r="V105" s="318"/>
      <c r="AC105" s="318"/>
      <c r="AH105" s="318" t="s">
        <v>160</v>
      </c>
    </row>
    <row r="106" spans="3:34" ht="13.8" thickBot="1" x14ac:dyDescent="0.25">
      <c r="C106" s="518" t="s">
        <v>944</v>
      </c>
      <c r="D106" s="538" t="s">
        <v>945</v>
      </c>
      <c r="E106" s="539"/>
      <c r="F106" s="540"/>
      <c r="G106" s="540"/>
      <c r="H106" s="540"/>
      <c r="I106" s="541">
        <v>0</v>
      </c>
      <c r="J106" s="542"/>
      <c r="K106" s="543"/>
      <c r="L106" s="544"/>
      <c r="AH106" s="318" t="s">
        <v>166</v>
      </c>
    </row>
    <row r="107" spans="3:34" x14ac:dyDescent="0.2">
      <c r="AH107" s="318" t="s">
        <v>169</v>
      </c>
    </row>
    <row r="108" spans="3:34" x14ac:dyDescent="0.2">
      <c r="AH108" s="318" t="s">
        <v>218</v>
      </c>
    </row>
    <row r="109" spans="3:34" x14ac:dyDescent="0.2">
      <c r="AH109" s="318" t="s">
        <v>223</v>
      </c>
    </row>
    <row r="110" spans="3:34" x14ac:dyDescent="0.2">
      <c r="AH110" s="318" t="s">
        <v>228</v>
      </c>
    </row>
    <row r="111" spans="3:34" x14ac:dyDescent="0.2">
      <c r="AH111" s="318" t="s">
        <v>232</v>
      </c>
    </row>
    <row r="112" spans="3:34" x14ac:dyDescent="0.2">
      <c r="AH112" s="318"/>
    </row>
    <row r="113" spans="34:34" x14ac:dyDescent="0.2">
      <c r="AH113" s="318" t="s">
        <v>946</v>
      </c>
    </row>
    <row r="114" spans="34:34" x14ac:dyDescent="0.2">
      <c r="AH114" s="318" t="s">
        <v>947</v>
      </c>
    </row>
    <row r="115" spans="34:34" x14ac:dyDescent="0.2">
      <c r="AH115" s="318"/>
    </row>
    <row r="116" spans="34:34" x14ac:dyDescent="0.2">
      <c r="AH116" s="318" t="s">
        <v>48</v>
      </c>
    </row>
    <row r="117" spans="34:34" x14ac:dyDescent="0.2">
      <c r="AH117" s="318" t="s">
        <v>51</v>
      </c>
    </row>
    <row r="118" spans="34:34" x14ac:dyDescent="0.2">
      <c r="AH118" s="318" t="s">
        <v>57</v>
      </c>
    </row>
    <row r="119" spans="34:34" x14ac:dyDescent="0.2">
      <c r="AH119" s="318"/>
    </row>
    <row r="120" spans="34:34" x14ac:dyDescent="0.2">
      <c r="AH120" s="318" t="s">
        <v>948</v>
      </c>
    </row>
    <row r="121" spans="34:34" x14ac:dyDescent="0.2">
      <c r="AH121" s="318" t="s">
        <v>949</v>
      </c>
    </row>
    <row r="122" spans="34:34" x14ac:dyDescent="0.2">
      <c r="AH122" s="318"/>
    </row>
    <row r="123" spans="34:34" x14ac:dyDescent="0.2">
      <c r="AH123" s="318"/>
    </row>
    <row r="124" spans="34:34" x14ac:dyDescent="0.2">
      <c r="AH124" s="318"/>
    </row>
    <row r="125" spans="34:34" x14ac:dyDescent="0.2">
      <c r="AH125" s="318"/>
    </row>
    <row r="126" spans="34:34" x14ac:dyDescent="0.2">
      <c r="AH126" s="318"/>
    </row>
    <row r="127" spans="34:34" x14ac:dyDescent="0.2">
      <c r="AH127" s="318"/>
    </row>
    <row r="128" spans="34:34" x14ac:dyDescent="0.2">
      <c r="AH128" s="318"/>
    </row>
    <row r="129" spans="34:34" x14ac:dyDescent="0.2">
      <c r="AH129" s="318"/>
    </row>
    <row r="130" spans="34:34" x14ac:dyDescent="0.2">
      <c r="AH130" s="318"/>
    </row>
    <row r="131" spans="34:34" x14ac:dyDescent="0.2">
      <c r="AH131" s="318"/>
    </row>
    <row r="132" spans="34:34" x14ac:dyDescent="0.2">
      <c r="AH132" s="318"/>
    </row>
    <row r="133" spans="34:34" x14ac:dyDescent="0.2">
      <c r="AH133" s="318"/>
    </row>
    <row r="134" spans="34:34" x14ac:dyDescent="0.2">
      <c r="AH134" s="318"/>
    </row>
    <row r="135" spans="34:34" x14ac:dyDescent="0.2">
      <c r="AH135" s="318"/>
    </row>
    <row r="136" spans="34:34" x14ac:dyDescent="0.2">
      <c r="AH136" s="318"/>
    </row>
    <row r="137" spans="34:34" x14ac:dyDescent="0.2">
      <c r="AH137" s="318"/>
    </row>
    <row r="138" spans="34:34" x14ac:dyDescent="0.2">
      <c r="AH138" s="318"/>
    </row>
    <row r="139" spans="34:34" x14ac:dyDescent="0.2">
      <c r="AH139" s="318"/>
    </row>
  </sheetData>
  <mergeCells count="111">
    <mergeCell ref="D102:E102"/>
    <mergeCell ref="D103:E103"/>
    <mergeCell ref="D104:E104"/>
    <mergeCell ref="D105:E105"/>
    <mergeCell ref="D106:E106"/>
    <mergeCell ref="AE82:AE84"/>
    <mergeCell ref="D97:E97"/>
    <mergeCell ref="D98:E98"/>
    <mergeCell ref="D99:E99"/>
    <mergeCell ref="D100:E100"/>
    <mergeCell ref="D101:E101"/>
    <mergeCell ref="V70:V79"/>
    <mergeCell ref="AE72:AE73"/>
    <mergeCell ref="AE75:AE76"/>
    <mergeCell ref="AE77:AE81"/>
    <mergeCell ref="AF79:AF81"/>
    <mergeCell ref="V80:V81"/>
    <mergeCell ref="AJ55:AJ56"/>
    <mergeCell ref="AE57:AE68"/>
    <mergeCell ref="D59:D60"/>
    <mergeCell ref="V60:V69"/>
    <mergeCell ref="D61:D62"/>
    <mergeCell ref="D63:D66"/>
    <mergeCell ref="AE69:AE71"/>
    <mergeCell ref="AF69:AF71"/>
    <mergeCell ref="AH69:AH71"/>
    <mergeCell ref="AJ69:AJ71"/>
    <mergeCell ref="AK44:AK46"/>
    <mergeCell ref="C47:C54"/>
    <mergeCell ref="D47:D48"/>
    <mergeCell ref="AF47:AF48"/>
    <mergeCell ref="AH47:AH48"/>
    <mergeCell ref="AJ47:AJ48"/>
    <mergeCell ref="D50:D53"/>
    <mergeCell ref="U52:U81"/>
    <mergeCell ref="V52:V54"/>
    <mergeCell ref="C55:C66"/>
    <mergeCell ref="C43:C46"/>
    <mergeCell ref="D43:D46"/>
    <mergeCell ref="V43:V50"/>
    <mergeCell ref="AE44:AE56"/>
    <mergeCell ref="AF44:AF46"/>
    <mergeCell ref="AH44:AH46"/>
    <mergeCell ref="D55:D58"/>
    <mergeCell ref="V55:V59"/>
    <mergeCell ref="AF55:AF56"/>
    <mergeCell ref="AH55:AH56"/>
    <mergeCell ref="D35:D39"/>
    <mergeCell ref="AF37:AF39"/>
    <mergeCell ref="AH37:AH39"/>
    <mergeCell ref="AJ37:AJ39"/>
    <mergeCell ref="D40:D42"/>
    <mergeCell ref="AE41:AE43"/>
    <mergeCell ref="C30:C42"/>
    <mergeCell ref="D30:D34"/>
    <mergeCell ref="AF30:AF32"/>
    <mergeCell ref="AH30:AH32"/>
    <mergeCell ref="AJ30:AJ32"/>
    <mergeCell ref="V31:V42"/>
    <mergeCell ref="AE34:AE40"/>
    <mergeCell ref="AF34:AF36"/>
    <mergeCell ref="AH34:AH36"/>
    <mergeCell ref="AJ34:AJ36"/>
    <mergeCell ref="U26:U28"/>
    <mergeCell ref="AF27:AF29"/>
    <mergeCell ref="AH27:AH29"/>
    <mergeCell ref="AJ27:AJ29"/>
    <mergeCell ref="U29:U50"/>
    <mergeCell ref="V29:V30"/>
    <mergeCell ref="AJ44:AJ46"/>
    <mergeCell ref="C21:C29"/>
    <mergeCell ref="D21:D29"/>
    <mergeCell ref="AE21:AE33"/>
    <mergeCell ref="AF21:AF23"/>
    <mergeCell ref="AH21:AH23"/>
    <mergeCell ref="AJ21:AJ23"/>
    <mergeCell ref="U22:U25"/>
    <mergeCell ref="AF24:AF26"/>
    <mergeCell ref="AH24:AH26"/>
    <mergeCell ref="AJ24:AJ26"/>
    <mergeCell ref="AC13:AC14"/>
    <mergeCell ref="V16:V21"/>
    <mergeCell ref="AF16:AF18"/>
    <mergeCell ref="AH16:AH18"/>
    <mergeCell ref="AI16:AI18"/>
    <mergeCell ref="AK16:AK18"/>
    <mergeCell ref="AF19:AF20"/>
    <mergeCell ref="AI19:AI20"/>
    <mergeCell ref="AK19:AK20"/>
    <mergeCell ref="AE8:AE20"/>
    <mergeCell ref="AF8:AF15"/>
    <mergeCell ref="AH8:AH15"/>
    <mergeCell ref="AI8:AI15"/>
    <mergeCell ref="AJ8:AJ20"/>
    <mergeCell ref="AK8:AK15"/>
    <mergeCell ref="I7:J7"/>
    <mergeCell ref="K7:L7"/>
    <mergeCell ref="AA7:AB7"/>
    <mergeCell ref="C8:C11"/>
    <mergeCell ref="D8:D11"/>
    <mergeCell ref="U8:U12"/>
    <mergeCell ref="V8:V11"/>
    <mergeCell ref="C12:C20"/>
    <mergeCell ref="D12:D20"/>
    <mergeCell ref="U13:U21"/>
    <mergeCell ref="B2:E2"/>
    <mergeCell ref="B3:D3"/>
    <mergeCell ref="B5:C5"/>
    <mergeCell ref="B6:S6"/>
    <mergeCell ref="T6:AC6"/>
    <mergeCell ref="AD6:AK6"/>
  </mergeCells>
  <dataValidations count="5">
    <dataValidation type="list" allowBlank="1" showInputMessage="1" showErrorMessage="1" sqref="AH16:AH18 AH69:AH71 AH44:AH46 AH34:AH39 AH21:AH32" xr:uid="{DE9DF941-152C-4C77-8D2E-E0C616D0D138}">
      <formula1>$AH$102:$AH$104</formula1>
    </dataValidation>
    <dataValidation type="list" allowBlank="1" showInputMessage="1" showErrorMessage="1" sqref="AH8:AH15" xr:uid="{1E8B2F20-F0F3-44F0-BD77-15167DC5BA06}">
      <formula1>$AH$102:$AH$109</formula1>
    </dataValidation>
    <dataValidation type="list" allowBlank="1" showInputMessage="1" showErrorMessage="1" sqref="AH19:AH20 AH57:AH60 AH62:AH64 E3:E4 AH74 AH41:AH46 AH50:AH54" xr:uid="{7DC98023-B9C3-4F74-ADFA-32FCB2B16B51}">
      <formula1>$AH$113:$AH$114</formula1>
    </dataValidation>
    <dataValidation type="list" allowBlank="1" showInputMessage="1" showErrorMessage="1" sqref="AH47:AH48 AH55:AH56" xr:uid="{C7DC2ACA-7F38-486B-B8F7-CDDB69DA7993}">
      <formula1>$AH$102:$AH$103</formula1>
    </dataValidation>
    <dataValidation type="list" allowBlank="1" showInputMessage="1" showErrorMessage="1" sqref="AH82:AH84" xr:uid="{E88904C6-18EE-40F3-A21E-1FF2165E599D}">
      <formula1>$AH$120:$AH$121</formula1>
    </dataValidation>
  </dataValidations>
  <pageMargins left="0.23622047244094491" right="0.23622047244094491" top="0.35433070866141736" bottom="0.35433070866141736" header="0.31496062992125984" footer="0.31496062992125984"/>
  <pageSetup paperSize="8" scale="25"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DE01D-B629-486C-BD0F-B9DCD1A246C9}">
  <sheetPr>
    <tabColor rgb="FFFFCCFF"/>
    <pageSetUpPr fitToPage="1"/>
  </sheetPr>
  <dimension ref="A1:AI134"/>
  <sheetViews>
    <sheetView showGridLines="0" view="pageBreakPreview" zoomScale="55" zoomScaleNormal="100" zoomScaleSheetLayoutView="55" workbookViewId="0">
      <pane xSplit="8" ySplit="20" topLeftCell="I25" activePane="bottomRight" state="frozen"/>
      <selection activeCell="J114" sqref="J114"/>
      <selection pane="topRight" activeCell="J114" sqref="J114"/>
      <selection pane="bottomLeft" activeCell="J114" sqref="J114"/>
      <selection pane="bottomRight" activeCell="J114" sqref="J114"/>
    </sheetView>
  </sheetViews>
  <sheetFormatPr defaultColWidth="7.09765625" defaultRowHeight="12" x14ac:dyDescent="0.15"/>
  <cols>
    <col min="1" max="1" width="13.19921875" style="303" customWidth="1"/>
    <col min="2" max="2" width="24.3984375" style="303" bestFit="1" customWidth="1"/>
    <col min="3" max="3" width="11.3984375" style="303" customWidth="1"/>
    <col min="4" max="4" width="3.69921875" style="303" customWidth="1"/>
    <col min="5" max="5" width="35.796875" style="304" customWidth="1"/>
    <col min="6" max="6" width="8.19921875" style="63" customWidth="1"/>
    <col min="7" max="7" width="10.19921875" style="63" customWidth="1"/>
    <col min="8" max="8" width="11" style="63" customWidth="1"/>
    <col min="9" max="26" width="11.59765625" style="63" customWidth="1"/>
    <col min="27" max="29" width="12.59765625" style="63" customWidth="1"/>
    <col min="30" max="30" width="13" style="63" customWidth="1"/>
    <col min="31" max="31" width="1.796875" style="63" customWidth="1"/>
    <col min="32" max="213" width="7.09765625" style="63"/>
    <col min="214" max="214" width="4.796875" style="63" customWidth="1"/>
    <col min="215" max="215" width="3" style="63" customWidth="1"/>
    <col min="216" max="216" width="37.19921875" style="63" customWidth="1"/>
    <col min="217" max="219" width="5.796875" style="63" customWidth="1"/>
    <col min="220" max="221" width="7.3984375" style="63" customWidth="1"/>
    <col min="222" max="222" width="14.3984375" style="63" bestFit="1" customWidth="1"/>
    <col min="223" max="223" width="15.796875" style="63" bestFit="1" customWidth="1"/>
    <col min="224" max="224" width="10.296875" style="63" customWidth="1"/>
    <col min="225" max="225" width="7.09765625" style="63"/>
    <col min="226" max="226" width="12.3984375" style="63" bestFit="1" customWidth="1"/>
    <col min="227" max="227" width="12.69921875" style="63" bestFit="1" customWidth="1"/>
    <col min="228" max="228" width="7.796875" style="63" bestFit="1" customWidth="1"/>
    <col min="229" max="229" width="7.09765625" style="63"/>
    <col min="230" max="230" width="8.59765625" style="63" bestFit="1" customWidth="1"/>
    <col min="231" max="469" width="7.09765625" style="63"/>
    <col min="470" max="470" width="4.796875" style="63" customWidth="1"/>
    <col min="471" max="471" width="3" style="63" customWidth="1"/>
    <col min="472" max="472" width="37.19921875" style="63" customWidth="1"/>
    <col min="473" max="475" width="5.796875" style="63" customWidth="1"/>
    <col min="476" max="477" width="7.3984375" style="63" customWidth="1"/>
    <col min="478" max="478" width="14.3984375" style="63" bestFit="1" customWidth="1"/>
    <col min="479" max="479" width="15.796875" style="63" bestFit="1" customWidth="1"/>
    <col min="480" max="480" width="10.296875" style="63" customWidth="1"/>
    <col min="481" max="481" width="7.09765625" style="63"/>
    <col min="482" max="482" width="12.3984375" style="63" bestFit="1" customWidth="1"/>
    <col min="483" max="483" width="12.69921875" style="63" bestFit="1" customWidth="1"/>
    <col min="484" max="484" width="7.796875" style="63" bestFit="1" customWidth="1"/>
    <col min="485" max="485" width="7.09765625" style="63"/>
    <col min="486" max="486" width="8.59765625" style="63" bestFit="1" customWidth="1"/>
    <col min="487" max="725" width="7.09765625" style="63"/>
    <col min="726" max="726" width="4.796875" style="63" customWidth="1"/>
    <col min="727" max="727" width="3" style="63" customWidth="1"/>
    <col min="728" max="728" width="37.19921875" style="63" customWidth="1"/>
    <col min="729" max="731" width="5.796875" style="63" customWidth="1"/>
    <col min="732" max="733" width="7.3984375" style="63" customWidth="1"/>
    <col min="734" max="734" width="14.3984375" style="63" bestFit="1" customWidth="1"/>
    <col min="735" max="735" width="15.796875" style="63" bestFit="1" customWidth="1"/>
    <col min="736" max="736" width="10.296875" style="63" customWidth="1"/>
    <col min="737" max="737" width="7.09765625" style="63"/>
    <col min="738" max="738" width="12.3984375" style="63" bestFit="1" customWidth="1"/>
    <col min="739" max="739" width="12.69921875" style="63" bestFit="1" customWidth="1"/>
    <col min="740" max="740" width="7.796875" style="63" bestFit="1" customWidth="1"/>
    <col min="741" max="741" width="7.09765625" style="63"/>
    <col min="742" max="742" width="8.59765625" style="63" bestFit="1" customWidth="1"/>
    <col min="743" max="981" width="7.09765625" style="63"/>
    <col min="982" max="982" width="4.796875" style="63" customWidth="1"/>
    <col min="983" max="983" width="3" style="63" customWidth="1"/>
    <col min="984" max="984" width="37.19921875" style="63" customWidth="1"/>
    <col min="985" max="987" width="5.796875" style="63" customWidth="1"/>
    <col min="988" max="989" width="7.3984375" style="63" customWidth="1"/>
    <col min="990" max="990" width="14.3984375" style="63" bestFit="1" customWidth="1"/>
    <col min="991" max="991" width="15.796875" style="63" bestFit="1" customWidth="1"/>
    <col min="992" max="992" width="10.296875" style="63" customWidth="1"/>
    <col min="993" max="993" width="7.09765625" style="63"/>
    <col min="994" max="994" width="12.3984375" style="63" bestFit="1" customWidth="1"/>
    <col min="995" max="995" width="12.69921875" style="63" bestFit="1" customWidth="1"/>
    <col min="996" max="996" width="7.796875" style="63" bestFit="1" customWidth="1"/>
    <col min="997" max="997" width="7.09765625" style="63"/>
    <col min="998" max="998" width="8.59765625" style="63" bestFit="1" customWidth="1"/>
    <col min="999" max="1237" width="7.09765625" style="63"/>
    <col min="1238" max="1238" width="4.796875" style="63" customWidth="1"/>
    <col min="1239" max="1239" width="3" style="63" customWidth="1"/>
    <col min="1240" max="1240" width="37.19921875" style="63" customWidth="1"/>
    <col min="1241" max="1243" width="5.796875" style="63" customWidth="1"/>
    <col min="1244" max="1245" width="7.3984375" style="63" customWidth="1"/>
    <col min="1246" max="1246" width="14.3984375" style="63" bestFit="1" customWidth="1"/>
    <col min="1247" max="1247" width="15.796875" style="63" bestFit="1" customWidth="1"/>
    <col min="1248" max="1248" width="10.296875" style="63" customWidth="1"/>
    <col min="1249" max="1249" width="7.09765625" style="63"/>
    <col min="1250" max="1250" width="12.3984375" style="63" bestFit="1" customWidth="1"/>
    <col min="1251" max="1251" width="12.69921875" style="63" bestFit="1" customWidth="1"/>
    <col min="1252" max="1252" width="7.796875" style="63" bestFit="1" customWidth="1"/>
    <col min="1253" max="1253" width="7.09765625" style="63"/>
    <col min="1254" max="1254" width="8.59765625" style="63" bestFit="1" customWidth="1"/>
    <col min="1255" max="1493" width="7.09765625" style="63"/>
    <col min="1494" max="1494" width="4.796875" style="63" customWidth="1"/>
    <col min="1495" max="1495" width="3" style="63" customWidth="1"/>
    <col min="1496" max="1496" width="37.19921875" style="63" customWidth="1"/>
    <col min="1497" max="1499" width="5.796875" style="63" customWidth="1"/>
    <col min="1500" max="1501" width="7.3984375" style="63" customWidth="1"/>
    <col min="1502" max="1502" width="14.3984375" style="63" bestFit="1" customWidth="1"/>
    <col min="1503" max="1503" width="15.796875" style="63" bestFit="1" customWidth="1"/>
    <col min="1504" max="1504" width="10.296875" style="63" customWidth="1"/>
    <col min="1505" max="1505" width="7.09765625" style="63"/>
    <col min="1506" max="1506" width="12.3984375" style="63" bestFit="1" customWidth="1"/>
    <col min="1507" max="1507" width="12.69921875" style="63" bestFit="1" customWidth="1"/>
    <col min="1508" max="1508" width="7.796875" style="63" bestFit="1" customWidth="1"/>
    <col min="1509" max="1509" width="7.09765625" style="63"/>
    <col min="1510" max="1510" width="8.59765625" style="63" bestFit="1" customWidth="1"/>
    <col min="1511" max="1749" width="7.09765625" style="63"/>
    <col min="1750" max="1750" width="4.796875" style="63" customWidth="1"/>
    <col min="1751" max="1751" width="3" style="63" customWidth="1"/>
    <col min="1752" max="1752" width="37.19921875" style="63" customWidth="1"/>
    <col min="1753" max="1755" width="5.796875" style="63" customWidth="1"/>
    <col min="1756" max="1757" width="7.3984375" style="63" customWidth="1"/>
    <col min="1758" max="1758" width="14.3984375" style="63" bestFit="1" customWidth="1"/>
    <col min="1759" max="1759" width="15.796875" style="63" bestFit="1" customWidth="1"/>
    <col min="1760" max="1760" width="10.296875" style="63" customWidth="1"/>
    <col min="1761" max="1761" width="7.09765625" style="63"/>
    <col min="1762" max="1762" width="12.3984375" style="63" bestFit="1" customWidth="1"/>
    <col min="1763" max="1763" width="12.69921875" style="63" bestFit="1" customWidth="1"/>
    <col min="1764" max="1764" width="7.796875" style="63" bestFit="1" customWidth="1"/>
    <col min="1765" max="1765" width="7.09765625" style="63"/>
    <col min="1766" max="1766" width="8.59765625" style="63" bestFit="1" customWidth="1"/>
    <col min="1767" max="2005" width="7.09765625" style="63"/>
    <col min="2006" max="2006" width="4.796875" style="63" customWidth="1"/>
    <col min="2007" max="2007" width="3" style="63" customWidth="1"/>
    <col min="2008" max="2008" width="37.19921875" style="63" customWidth="1"/>
    <col min="2009" max="2011" width="5.796875" style="63" customWidth="1"/>
    <col min="2012" max="2013" width="7.3984375" style="63" customWidth="1"/>
    <col min="2014" max="2014" width="14.3984375" style="63" bestFit="1" customWidth="1"/>
    <col min="2015" max="2015" width="15.796875" style="63" bestFit="1" customWidth="1"/>
    <col min="2016" max="2016" width="10.296875" style="63" customWidth="1"/>
    <col min="2017" max="2017" width="7.09765625" style="63"/>
    <col min="2018" max="2018" width="12.3984375" style="63" bestFit="1" customWidth="1"/>
    <col min="2019" max="2019" width="12.69921875" style="63" bestFit="1" customWidth="1"/>
    <col min="2020" max="2020" width="7.796875" style="63" bestFit="1" customWidth="1"/>
    <col min="2021" max="2021" width="7.09765625" style="63"/>
    <col min="2022" max="2022" width="8.59765625" style="63" bestFit="1" customWidth="1"/>
    <col min="2023" max="2261" width="7.09765625" style="63"/>
    <col min="2262" max="2262" width="4.796875" style="63" customWidth="1"/>
    <col min="2263" max="2263" width="3" style="63" customWidth="1"/>
    <col min="2264" max="2264" width="37.19921875" style="63" customWidth="1"/>
    <col min="2265" max="2267" width="5.796875" style="63" customWidth="1"/>
    <col min="2268" max="2269" width="7.3984375" style="63" customWidth="1"/>
    <col min="2270" max="2270" width="14.3984375" style="63" bestFit="1" customWidth="1"/>
    <col min="2271" max="2271" width="15.796875" style="63" bestFit="1" customWidth="1"/>
    <col min="2272" max="2272" width="10.296875" style="63" customWidth="1"/>
    <col min="2273" max="2273" width="7.09765625" style="63"/>
    <col min="2274" max="2274" width="12.3984375" style="63" bestFit="1" customWidth="1"/>
    <col min="2275" max="2275" width="12.69921875" style="63" bestFit="1" customWidth="1"/>
    <col min="2276" max="2276" width="7.796875" style="63" bestFit="1" customWidth="1"/>
    <col min="2277" max="2277" width="7.09765625" style="63"/>
    <col min="2278" max="2278" width="8.59765625" style="63" bestFit="1" customWidth="1"/>
    <col min="2279" max="2517" width="7.09765625" style="63"/>
    <col min="2518" max="2518" width="4.796875" style="63" customWidth="1"/>
    <col min="2519" max="2519" width="3" style="63" customWidth="1"/>
    <col min="2520" max="2520" width="37.19921875" style="63" customWidth="1"/>
    <col min="2521" max="2523" width="5.796875" style="63" customWidth="1"/>
    <col min="2524" max="2525" width="7.3984375" style="63" customWidth="1"/>
    <col min="2526" max="2526" width="14.3984375" style="63" bestFit="1" customWidth="1"/>
    <col min="2527" max="2527" width="15.796875" style="63" bestFit="1" customWidth="1"/>
    <col min="2528" max="2528" width="10.296875" style="63" customWidth="1"/>
    <col min="2529" max="2529" width="7.09765625" style="63"/>
    <col min="2530" max="2530" width="12.3984375" style="63" bestFit="1" customWidth="1"/>
    <col min="2531" max="2531" width="12.69921875" style="63" bestFit="1" customWidth="1"/>
    <col min="2532" max="2532" width="7.796875" style="63" bestFit="1" customWidth="1"/>
    <col min="2533" max="2533" width="7.09765625" style="63"/>
    <col min="2534" max="2534" width="8.59765625" style="63" bestFit="1" customWidth="1"/>
    <col min="2535" max="2773" width="7.09765625" style="63"/>
    <col min="2774" max="2774" width="4.796875" style="63" customWidth="1"/>
    <col min="2775" max="2775" width="3" style="63" customWidth="1"/>
    <col min="2776" max="2776" width="37.19921875" style="63" customWidth="1"/>
    <col min="2777" max="2779" width="5.796875" style="63" customWidth="1"/>
    <col min="2780" max="2781" width="7.3984375" style="63" customWidth="1"/>
    <col min="2782" max="2782" width="14.3984375" style="63" bestFit="1" customWidth="1"/>
    <col min="2783" max="2783" width="15.796875" style="63" bestFit="1" customWidth="1"/>
    <col min="2784" max="2784" width="10.296875" style="63" customWidth="1"/>
    <col min="2785" max="2785" width="7.09765625" style="63"/>
    <col min="2786" max="2786" width="12.3984375" style="63" bestFit="1" customWidth="1"/>
    <col min="2787" max="2787" width="12.69921875" style="63" bestFit="1" customWidth="1"/>
    <col min="2788" max="2788" width="7.796875" style="63" bestFit="1" customWidth="1"/>
    <col min="2789" max="2789" width="7.09765625" style="63"/>
    <col min="2790" max="2790" width="8.59765625" style="63" bestFit="1" customWidth="1"/>
    <col min="2791" max="3029" width="7.09765625" style="63"/>
    <col min="3030" max="3030" width="4.796875" style="63" customWidth="1"/>
    <col min="3031" max="3031" width="3" style="63" customWidth="1"/>
    <col min="3032" max="3032" width="37.19921875" style="63" customWidth="1"/>
    <col min="3033" max="3035" width="5.796875" style="63" customWidth="1"/>
    <col min="3036" max="3037" width="7.3984375" style="63" customWidth="1"/>
    <col min="3038" max="3038" width="14.3984375" style="63" bestFit="1" customWidth="1"/>
    <col min="3039" max="3039" width="15.796875" style="63" bestFit="1" customWidth="1"/>
    <col min="3040" max="3040" width="10.296875" style="63" customWidth="1"/>
    <col min="3041" max="3041" width="7.09765625" style="63"/>
    <col min="3042" max="3042" width="12.3984375" style="63" bestFit="1" customWidth="1"/>
    <col min="3043" max="3043" width="12.69921875" style="63" bestFit="1" customWidth="1"/>
    <col min="3044" max="3044" width="7.796875" style="63" bestFit="1" customWidth="1"/>
    <col min="3045" max="3045" width="7.09765625" style="63"/>
    <col min="3046" max="3046" width="8.59765625" style="63" bestFit="1" customWidth="1"/>
    <col min="3047" max="3285" width="7.09765625" style="63"/>
    <col min="3286" max="3286" width="4.796875" style="63" customWidth="1"/>
    <col min="3287" max="3287" width="3" style="63" customWidth="1"/>
    <col min="3288" max="3288" width="37.19921875" style="63" customWidth="1"/>
    <col min="3289" max="3291" width="5.796875" style="63" customWidth="1"/>
    <col min="3292" max="3293" width="7.3984375" style="63" customWidth="1"/>
    <col min="3294" max="3294" width="14.3984375" style="63" bestFit="1" customWidth="1"/>
    <col min="3295" max="3295" width="15.796875" style="63" bestFit="1" customWidth="1"/>
    <col min="3296" max="3296" width="10.296875" style="63" customWidth="1"/>
    <col min="3297" max="3297" width="7.09765625" style="63"/>
    <col min="3298" max="3298" width="12.3984375" style="63" bestFit="1" customWidth="1"/>
    <col min="3299" max="3299" width="12.69921875" style="63" bestFit="1" customWidth="1"/>
    <col min="3300" max="3300" width="7.796875" style="63" bestFit="1" customWidth="1"/>
    <col min="3301" max="3301" width="7.09765625" style="63"/>
    <col min="3302" max="3302" width="8.59765625" style="63" bestFit="1" customWidth="1"/>
    <col min="3303" max="3541" width="7.09765625" style="63"/>
    <col min="3542" max="3542" width="4.796875" style="63" customWidth="1"/>
    <col min="3543" max="3543" width="3" style="63" customWidth="1"/>
    <col min="3544" max="3544" width="37.19921875" style="63" customWidth="1"/>
    <col min="3545" max="3547" width="5.796875" style="63" customWidth="1"/>
    <col min="3548" max="3549" width="7.3984375" style="63" customWidth="1"/>
    <col min="3550" max="3550" width="14.3984375" style="63" bestFit="1" customWidth="1"/>
    <col min="3551" max="3551" width="15.796875" style="63" bestFit="1" customWidth="1"/>
    <col min="3552" max="3552" width="10.296875" style="63" customWidth="1"/>
    <col min="3553" max="3553" width="7.09765625" style="63"/>
    <col min="3554" max="3554" width="12.3984375" style="63" bestFit="1" customWidth="1"/>
    <col min="3555" max="3555" width="12.69921875" style="63" bestFit="1" customWidth="1"/>
    <col min="3556" max="3556" width="7.796875" style="63" bestFit="1" customWidth="1"/>
    <col min="3557" max="3557" width="7.09765625" style="63"/>
    <col min="3558" max="3558" width="8.59765625" style="63" bestFit="1" customWidth="1"/>
    <col min="3559" max="3797" width="7.09765625" style="63"/>
    <col min="3798" max="3798" width="4.796875" style="63" customWidth="1"/>
    <col min="3799" max="3799" width="3" style="63" customWidth="1"/>
    <col min="3800" max="3800" width="37.19921875" style="63" customWidth="1"/>
    <col min="3801" max="3803" width="5.796875" style="63" customWidth="1"/>
    <col min="3804" max="3805" width="7.3984375" style="63" customWidth="1"/>
    <col min="3806" max="3806" width="14.3984375" style="63" bestFit="1" customWidth="1"/>
    <col min="3807" max="3807" width="15.796875" style="63" bestFit="1" customWidth="1"/>
    <col min="3808" max="3808" width="10.296875" style="63" customWidth="1"/>
    <col min="3809" max="3809" width="7.09765625" style="63"/>
    <col min="3810" max="3810" width="12.3984375" style="63" bestFit="1" customWidth="1"/>
    <col min="3811" max="3811" width="12.69921875" style="63" bestFit="1" customWidth="1"/>
    <col min="3812" max="3812" width="7.796875" style="63" bestFit="1" customWidth="1"/>
    <col min="3813" max="3813" width="7.09765625" style="63"/>
    <col min="3814" max="3814" width="8.59765625" style="63" bestFit="1" customWidth="1"/>
    <col min="3815" max="4053" width="7.09765625" style="63"/>
    <col min="4054" max="4054" width="4.796875" style="63" customWidth="1"/>
    <col min="4055" max="4055" width="3" style="63" customWidth="1"/>
    <col min="4056" max="4056" width="37.19921875" style="63" customWidth="1"/>
    <col min="4057" max="4059" width="5.796875" style="63" customWidth="1"/>
    <col min="4060" max="4061" width="7.3984375" style="63" customWidth="1"/>
    <col min="4062" max="4062" width="14.3984375" style="63" bestFit="1" customWidth="1"/>
    <col min="4063" max="4063" width="15.796875" style="63" bestFit="1" customWidth="1"/>
    <col min="4064" max="4064" width="10.296875" style="63" customWidth="1"/>
    <col min="4065" max="4065" width="7.09765625" style="63"/>
    <col min="4066" max="4066" width="12.3984375" style="63" bestFit="1" customWidth="1"/>
    <col min="4067" max="4067" width="12.69921875" style="63" bestFit="1" customWidth="1"/>
    <col min="4068" max="4068" width="7.796875" style="63" bestFit="1" customWidth="1"/>
    <col min="4069" max="4069" width="7.09765625" style="63"/>
    <col min="4070" max="4070" width="8.59765625" style="63" bestFit="1" customWidth="1"/>
    <col min="4071" max="4309" width="7.09765625" style="63"/>
    <col min="4310" max="4310" width="4.796875" style="63" customWidth="1"/>
    <col min="4311" max="4311" width="3" style="63" customWidth="1"/>
    <col min="4312" max="4312" width="37.19921875" style="63" customWidth="1"/>
    <col min="4313" max="4315" width="5.796875" style="63" customWidth="1"/>
    <col min="4316" max="4317" width="7.3984375" style="63" customWidth="1"/>
    <col min="4318" max="4318" width="14.3984375" style="63" bestFit="1" customWidth="1"/>
    <col min="4319" max="4319" width="15.796875" style="63" bestFit="1" customWidth="1"/>
    <col min="4320" max="4320" width="10.296875" style="63" customWidth="1"/>
    <col min="4321" max="4321" width="7.09765625" style="63"/>
    <col min="4322" max="4322" width="12.3984375" style="63" bestFit="1" customWidth="1"/>
    <col min="4323" max="4323" width="12.69921875" style="63" bestFit="1" customWidth="1"/>
    <col min="4324" max="4324" width="7.796875" style="63" bestFit="1" customWidth="1"/>
    <col min="4325" max="4325" width="7.09765625" style="63"/>
    <col min="4326" max="4326" width="8.59765625" style="63" bestFit="1" customWidth="1"/>
    <col min="4327" max="4565" width="7.09765625" style="63"/>
    <col min="4566" max="4566" width="4.796875" style="63" customWidth="1"/>
    <col min="4567" max="4567" width="3" style="63" customWidth="1"/>
    <col min="4568" max="4568" width="37.19921875" style="63" customWidth="1"/>
    <col min="4569" max="4571" width="5.796875" style="63" customWidth="1"/>
    <col min="4572" max="4573" width="7.3984375" style="63" customWidth="1"/>
    <col min="4574" max="4574" width="14.3984375" style="63" bestFit="1" customWidth="1"/>
    <col min="4575" max="4575" width="15.796875" style="63" bestFit="1" customWidth="1"/>
    <col min="4576" max="4576" width="10.296875" style="63" customWidth="1"/>
    <col min="4577" max="4577" width="7.09765625" style="63"/>
    <col min="4578" max="4578" width="12.3984375" style="63" bestFit="1" customWidth="1"/>
    <col min="4579" max="4579" width="12.69921875" style="63" bestFit="1" customWidth="1"/>
    <col min="4580" max="4580" width="7.796875" style="63" bestFit="1" customWidth="1"/>
    <col min="4581" max="4581" width="7.09765625" style="63"/>
    <col min="4582" max="4582" width="8.59765625" style="63" bestFit="1" customWidth="1"/>
    <col min="4583" max="4821" width="7.09765625" style="63"/>
    <col min="4822" max="4822" width="4.796875" style="63" customWidth="1"/>
    <col min="4823" max="4823" width="3" style="63" customWidth="1"/>
    <col min="4824" max="4824" width="37.19921875" style="63" customWidth="1"/>
    <col min="4825" max="4827" width="5.796875" style="63" customWidth="1"/>
    <col min="4828" max="4829" width="7.3984375" style="63" customWidth="1"/>
    <col min="4830" max="4830" width="14.3984375" style="63" bestFit="1" customWidth="1"/>
    <col min="4831" max="4831" width="15.796875" style="63" bestFit="1" customWidth="1"/>
    <col min="4832" max="4832" width="10.296875" style="63" customWidth="1"/>
    <col min="4833" max="4833" width="7.09765625" style="63"/>
    <col min="4834" max="4834" width="12.3984375" style="63" bestFit="1" customWidth="1"/>
    <col min="4835" max="4835" width="12.69921875" style="63" bestFit="1" customWidth="1"/>
    <col min="4836" max="4836" width="7.796875" style="63" bestFit="1" customWidth="1"/>
    <col min="4837" max="4837" width="7.09765625" style="63"/>
    <col min="4838" max="4838" width="8.59765625" style="63" bestFit="1" customWidth="1"/>
    <col min="4839" max="5077" width="7.09765625" style="63"/>
    <col min="5078" max="5078" width="4.796875" style="63" customWidth="1"/>
    <col min="5079" max="5079" width="3" style="63" customWidth="1"/>
    <col min="5080" max="5080" width="37.19921875" style="63" customWidth="1"/>
    <col min="5081" max="5083" width="5.796875" style="63" customWidth="1"/>
    <col min="5084" max="5085" width="7.3984375" style="63" customWidth="1"/>
    <col min="5086" max="5086" width="14.3984375" style="63" bestFit="1" customWidth="1"/>
    <col min="5087" max="5087" width="15.796875" style="63" bestFit="1" customWidth="1"/>
    <col min="5088" max="5088" width="10.296875" style="63" customWidth="1"/>
    <col min="5089" max="5089" width="7.09765625" style="63"/>
    <col min="5090" max="5090" width="12.3984375" style="63" bestFit="1" customWidth="1"/>
    <col min="5091" max="5091" width="12.69921875" style="63" bestFit="1" customWidth="1"/>
    <col min="5092" max="5092" width="7.796875" style="63" bestFit="1" customWidth="1"/>
    <col min="5093" max="5093" width="7.09765625" style="63"/>
    <col min="5094" max="5094" width="8.59765625" style="63" bestFit="1" customWidth="1"/>
    <col min="5095" max="5333" width="7.09765625" style="63"/>
    <col min="5334" max="5334" width="4.796875" style="63" customWidth="1"/>
    <col min="5335" max="5335" width="3" style="63" customWidth="1"/>
    <col min="5336" max="5336" width="37.19921875" style="63" customWidth="1"/>
    <col min="5337" max="5339" width="5.796875" style="63" customWidth="1"/>
    <col min="5340" max="5341" width="7.3984375" style="63" customWidth="1"/>
    <col min="5342" max="5342" width="14.3984375" style="63" bestFit="1" customWidth="1"/>
    <col min="5343" max="5343" width="15.796875" style="63" bestFit="1" customWidth="1"/>
    <col min="5344" max="5344" width="10.296875" style="63" customWidth="1"/>
    <col min="5345" max="5345" width="7.09765625" style="63"/>
    <col min="5346" max="5346" width="12.3984375" style="63" bestFit="1" customWidth="1"/>
    <col min="5347" max="5347" width="12.69921875" style="63" bestFit="1" customWidth="1"/>
    <col min="5348" max="5348" width="7.796875" style="63" bestFit="1" customWidth="1"/>
    <col min="5349" max="5349" width="7.09765625" style="63"/>
    <col min="5350" max="5350" width="8.59765625" style="63" bestFit="1" customWidth="1"/>
    <col min="5351" max="5589" width="7.09765625" style="63"/>
    <col min="5590" max="5590" width="4.796875" style="63" customWidth="1"/>
    <col min="5591" max="5591" width="3" style="63" customWidth="1"/>
    <col min="5592" max="5592" width="37.19921875" style="63" customWidth="1"/>
    <col min="5593" max="5595" width="5.796875" style="63" customWidth="1"/>
    <col min="5596" max="5597" width="7.3984375" style="63" customWidth="1"/>
    <col min="5598" max="5598" width="14.3984375" style="63" bestFit="1" customWidth="1"/>
    <col min="5599" max="5599" width="15.796875" style="63" bestFit="1" customWidth="1"/>
    <col min="5600" max="5600" width="10.296875" style="63" customWidth="1"/>
    <col min="5601" max="5601" width="7.09765625" style="63"/>
    <col min="5602" max="5602" width="12.3984375" style="63" bestFit="1" customWidth="1"/>
    <col min="5603" max="5603" width="12.69921875" style="63" bestFit="1" customWidth="1"/>
    <col min="5604" max="5604" width="7.796875" style="63" bestFit="1" customWidth="1"/>
    <col min="5605" max="5605" width="7.09765625" style="63"/>
    <col min="5606" max="5606" width="8.59765625" style="63" bestFit="1" customWidth="1"/>
    <col min="5607" max="5845" width="7.09765625" style="63"/>
    <col min="5846" max="5846" width="4.796875" style="63" customWidth="1"/>
    <col min="5847" max="5847" width="3" style="63" customWidth="1"/>
    <col min="5848" max="5848" width="37.19921875" style="63" customWidth="1"/>
    <col min="5849" max="5851" width="5.796875" style="63" customWidth="1"/>
    <col min="5852" max="5853" width="7.3984375" style="63" customWidth="1"/>
    <col min="5854" max="5854" width="14.3984375" style="63" bestFit="1" customWidth="1"/>
    <col min="5855" max="5855" width="15.796875" style="63" bestFit="1" customWidth="1"/>
    <col min="5856" max="5856" width="10.296875" style="63" customWidth="1"/>
    <col min="5857" max="5857" width="7.09765625" style="63"/>
    <col min="5858" max="5858" width="12.3984375" style="63" bestFit="1" customWidth="1"/>
    <col min="5859" max="5859" width="12.69921875" style="63" bestFit="1" customWidth="1"/>
    <col min="5860" max="5860" width="7.796875" style="63" bestFit="1" customWidth="1"/>
    <col min="5861" max="5861" width="7.09765625" style="63"/>
    <col min="5862" max="5862" width="8.59765625" style="63" bestFit="1" customWidth="1"/>
    <col min="5863" max="6101" width="7.09765625" style="63"/>
    <col min="6102" max="6102" width="4.796875" style="63" customWidth="1"/>
    <col min="6103" max="6103" width="3" style="63" customWidth="1"/>
    <col min="6104" max="6104" width="37.19921875" style="63" customWidth="1"/>
    <col min="6105" max="6107" width="5.796875" style="63" customWidth="1"/>
    <col min="6108" max="6109" width="7.3984375" style="63" customWidth="1"/>
    <col min="6110" max="6110" width="14.3984375" style="63" bestFit="1" customWidth="1"/>
    <col min="6111" max="6111" width="15.796875" style="63" bestFit="1" customWidth="1"/>
    <col min="6112" max="6112" width="10.296875" style="63" customWidth="1"/>
    <col min="6113" max="6113" width="7.09765625" style="63"/>
    <col min="6114" max="6114" width="12.3984375" style="63" bestFit="1" customWidth="1"/>
    <col min="6115" max="6115" width="12.69921875" style="63" bestFit="1" customWidth="1"/>
    <col min="6116" max="6116" width="7.796875" style="63" bestFit="1" customWidth="1"/>
    <col min="6117" max="6117" width="7.09765625" style="63"/>
    <col min="6118" max="6118" width="8.59765625" style="63" bestFit="1" customWidth="1"/>
    <col min="6119" max="6357" width="7.09765625" style="63"/>
    <col min="6358" max="6358" width="4.796875" style="63" customWidth="1"/>
    <col min="6359" max="6359" width="3" style="63" customWidth="1"/>
    <col min="6360" max="6360" width="37.19921875" style="63" customWidth="1"/>
    <col min="6361" max="6363" width="5.796875" style="63" customWidth="1"/>
    <col min="6364" max="6365" width="7.3984375" style="63" customWidth="1"/>
    <col min="6366" max="6366" width="14.3984375" style="63" bestFit="1" customWidth="1"/>
    <col min="6367" max="6367" width="15.796875" style="63" bestFit="1" customWidth="1"/>
    <col min="6368" max="6368" width="10.296875" style="63" customWidth="1"/>
    <col min="6369" max="6369" width="7.09765625" style="63"/>
    <col min="6370" max="6370" width="12.3984375" style="63" bestFit="1" customWidth="1"/>
    <col min="6371" max="6371" width="12.69921875" style="63" bestFit="1" customWidth="1"/>
    <col min="6372" max="6372" width="7.796875" style="63" bestFit="1" customWidth="1"/>
    <col min="6373" max="6373" width="7.09765625" style="63"/>
    <col min="6374" max="6374" width="8.59765625" style="63" bestFit="1" customWidth="1"/>
    <col min="6375" max="6613" width="7.09765625" style="63"/>
    <col min="6614" max="6614" width="4.796875" style="63" customWidth="1"/>
    <col min="6615" max="6615" width="3" style="63" customWidth="1"/>
    <col min="6616" max="6616" width="37.19921875" style="63" customWidth="1"/>
    <col min="6617" max="6619" width="5.796875" style="63" customWidth="1"/>
    <col min="6620" max="6621" width="7.3984375" style="63" customWidth="1"/>
    <col min="6622" max="6622" width="14.3984375" style="63" bestFit="1" customWidth="1"/>
    <col min="6623" max="6623" width="15.796875" style="63" bestFit="1" customWidth="1"/>
    <col min="6624" max="6624" width="10.296875" style="63" customWidth="1"/>
    <col min="6625" max="6625" width="7.09765625" style="63"/>
    <col min="6626" max="6626" width="12.3984375" style="63" bestFit="1" customWidth="1"/>
    <col min="6627" max="6627" width="12.69921875" style="63" bestFit="1" customWidth="1"/>
    <col min="6628" max="6628" width="7.796875" style="63" bestFit="1" customWidth="1"/>
    <col min="6629" max="6629" width="7.09765625" style="63"/>
    <col min="6630" max="6630" width="8.59765625" style="63" bestFit="1" customWidth="1"/>
    <col min="6631" max="6869" width="7.09765625" style="63"/>
    <col min="6870" max="6870" width="4.796875" style="63" customWidth="1"/>
    <col min="6871" max="6871" width="3" style="63" customWidth="1"/>
    <col min="6872" max="6872" width="37.19921875" style="63" customWidth="1"/>
    <col min="6873" max="6875" width="5.796875" style="63" customWidth="1"/>
    <col min="6876" max="6877" width="7.3984375" style="63" customWidth="1"/>
    <col min="6878" max="6878" width="14.3984375" style="63" bestFit="1" customWidth="1"/>
    <col min="6879" max="6879" width="15.796875" style="63" bestFit="1" customWidth="1"/>
    <col min="6880" max="6880" width="10.296875" style="63" customWidth="1"/>
    <col min="6881" max="6881" width="7.09765625" style="63"/>
    <col min="6882" max="6882" width="12.3984375" style="63" bestFit="1" customWidth="1"/>
    <col min="6883" max="6883" width="12.69921875" style="63" bestFit="1" customWidth="1"/>
    <col min="6884" max="6884" width="7.796875" style="63" bestFit="1" customWidth="1"/>
    <col min="6885" max="6885" width="7.09765625" style="63"/>
    <col min="6886" max="6886" width="8.59765625" style="63" bestFit="1" customWidth="1"/>
    <col min="6887" max="7125" width="7.09765625" style="63"/>
    <col min="7126" max="7126" width="4.796875" style="63" customWidth="1"/>
    <col min="7127" max="7127" width="3" style="63" customWidth="1"/>
    <col min="7128" max="7128" width="37.19921875" style="63" customWidth="1"/>
    <col min="7129" max="7131" width="5.796875" style="63" customWidth="1"/>
    <col min="7132" max="7133" width="7.3984375" style="63" customWidth="1"/>
    <col min="7134" max="7134" width="14.3984375" style="63" bestFit="1" customWidth="1"/>
    <col min="7135" max="7135" width="15.796875" style="63" bestFit="1" customWidth="1"/>
    <col min="7136" max="7136" width="10.296875" style="63" customWidth="1"/>
    <col min="7137" max="7137" width="7.09765625" style="63"/>
    <col min="7138" max="7138" width="12.3984375" style="63" bestFit="1" customWidth="1"/>
    <col min="7139" max="7139" width="12.69921875" style="63" bestFit="1" customWidth="1"/>
    <col min="7140" max="7140" width="7.796875" style="63" bestFit="1" customWidth="1"/>
    <col min="7141" max="7141" width="7.09765625" style="63"/>
    <col min="7142" max="7142" width="8.59765625" style="63" bestFit="1" customWidth="1"/>
    <col min="7143" max="7381" width="7.09765625" style="63"/>
    <col min="7382" max="7382" width="4.796875" style="63" customWidth="1"/>
    <col min="7383" max="7383" width="3" style="63" customWidth="1"/>
    <col min="7384" max="7384" width="37.19921875" style="63" customWidth="1"/>
    <col min="7385" max="7387" width="5.796875" style="63" customWidth="1"/>
    <col min="7388" max="7389" width="7.3984375" style="63" customWidth="1"/>
    <col min="7390" max="7390" width="14.3984375" style="63" bestFit="1" customWidth="1"/>
    <col min="7391" max="7391" width="15.796875" style="63" bestFit="1" customWidth="1"/>
    <col min="7392" max="7392" width="10.296875" style="63" customWidth="1"/>
    <col min="7393" max="7393" width="7.09765625" style="63"/>
    <col min="7394" max="7394" width="12.3984375" style="63" bestFit="1" customWidth="1"/>
    <col min="7395" max="7395" width="12.69921875" style="63" bestFit="1" customWidth="1"/>
    <col min="7396" max="7396" width="7.796875" style="63" bestFit="1" customWidth="1"/>
    <col min="7397" max="7397" width="7.09765625" style="63"/>
    <col min="7398" max="7398" width="8.59765625" style="63" bestFit="1" customWidth="1"/>
    <col min="7399" max="7637" width="7.09765625" style="63"/>
    <col min="7638" max="7638" width="4.796875" style="63" customWidth="1"/>
    <col min="7639" max="7639" width="3" style="63" customWidth="1"/>
    <col min="7640" max="7640" width="37.19921875" style="63" customWidth="1"/>
    <col min="7641" max="7643" width="5.796875" style="63" customWidth="1"/>
    <col min="7644" max="7645" width="7.3984375" style="63" customWidth="1"/>
    <col min="7646" max="7646" width="14.3984375" style="63" bestFit="1" customWidth="1"/>
    <col min="7647" max="7647" width="15.796875" style="63" bestFit="1" customWidth="1"/>
    <col min="7648" max="7648" width="10.296875" style="63" customWidth="1"/>
    <col min="7649" max="7649" width="7.09765625" style="63"/>
    <col min="7650" max="7650" width="12.3984375" style="63" bestFit="1" customWidth="1"/>
    <col min="7651" max="7651" width="12.69921875" style="63" bestFit="1" customWidth="1"/>
    <col min="7652" max="7652" width="7.796875" style="63" bestFit="1" customWidth="1"/>
    <col min="7653" max="7653" width="7.09765625" style="63"/>
    <col min="7654" max="7654" width="8.59765625" style="63" bestFit="1" customWidth="1"/>
    <col min="7655" max="7893" width="7.09765625" style="63"/>
    <col min="7894" max="7894" width="4.796875" style="63" customWidth="1"/>
    <col min="7895" max="7895" width="3" style="63" customWidth="1"/>
    <col min="7896" max="7896" width="37.19921875" style="63" customWidth="1"/>
    <col min="7897" max="7899" width="5.796875" style="63" customWidth="1"/>
    <col min="7900" max="7901" width="7.3984375" style="63" customWidth="1"/>
    <col min="7902" max="7902" width="14.3984375" style="63" bestFit="1" customWidth="1"/>
    <col min="7903" max="7903" width="15.796875" style="63" bestFit="1" customWidth="1"/>
    <col min="7904" max="7904" width="10.296875" style="63" customWidth="1"/>
    <col min="7905" max="7905" width="7.09765625" style="63"/>
    <col min="7906" max="7906" width="12.3984375" style="63" bestFit="1" customWidth="1"/>
    <col min="7907" max="7907" width="12.69921875" style="63" bestFit="1" customWidth="1"/>
    <col min="7908" max="7908" width="7.796875" style="63" bestFit="1" customWidth="1"/>
    <col min="7909" max="7909" width="7.09765625" style="63"/>
    <col min="7910" max="7910" width="8.59765625" style="63" bestFit="1" customWidth="1"/>
    <col min="7911" max="8149" width="7.09765625" style="63"/>
    <col min="8150" max="8150" width="4.796875" style="63" customWidth="1"/>
    <col min="8151" max="8151" width="3" style="63" customWidth="1"/>
    <col min="8152" max="8152" width="37.19921875" style="63" customWidth="1"/>
    <col min="8153" max="8155" width="5.796875" style="63" customWidth="1"/>
    <col min="8156" max="8157" width="7.3984375" style="63" customWidth="1"/>
    <col min="8158" max="8158" width="14.3984375" style="63" bestFit="1" customWidth="1"/>
    <col min="8159" max="8159" width="15.796875" style="63" bestFit="1" customWidth="1"/>
    <col min="8160" max="8160" width="10.296875" style="63" customWidth="1"/>
    <col min="8161" max="8161" width="7.09765625" style="63"/>
    <col min="8162" max="8162" width="12.3984375" style="63" bestFit="1" customWidth="1"/>
    <col min="8163" max="8163" width="12.69921875" style="63" bestFit="1" customWidth="1"/>
    <col min="8164" max="8164" width="7.796875" style="63" bestFit="1" customWidth="1"/>
    <col min="8165" max="8165" width="7.09765625" style="63"/>
    <col min="8166" max="8166" width="8.59765625" style="63" bestFit="1" customWidth="1"/>
    <col min="8167" max="8405" width="7.09765625" style="63"/>
    <col min="8406" max="8406" width="4.796875" style="63" customWidth="1"/>
    <col min="8407" max="8407" width="3" style="63" customWidth="1"/>
    <col min="8408" max="8408" width="37.19921875" style="63" customWidth="1"/>
    <col min="8409" max="8411" width="5.796875" style="63" customWidth="1"/>
    <col min="8412" max="8413" width="7.3984375" style="63" customWidth="1"/>
    <col min="8414" max="8414" width="14.3984375" style="63" bestFit="1" customWidth="1"/>
    <col min="8415" max="8415" width="15.796875" style="63" bestFit="1" customWidth="1"/>
    <col min="8416" max="8416" width="10.296875" style="63" customWidth="1"/>
    <col min="8417" max="8417" width="7.09765625" style="63"/>
    <col min="8418" max="8418" width="12.3984375" style="63" bestFit="1" customWidth="1"/>
    <col min="8419" max="8419" width="12.69921875" style="63" bestFit="1" customWidth="1"/>
    <col min="8420" max="8420" width="7.796875" style="63" bestFit="1" customWidth="1"/>
    <col min="8421" max="8421" width="7.09765625" style="63"/>
    <col min="8422" max="8422" width="8.59765625" style="63" bestFit="1" customWidth="1"/>
    <col min="8423" max="8661" width="7.09765625" style="63"/>
    <col min="8662" max="8662" width="4.796875" style="63" customWidth="1"/>
    <col min="8663" max="8663" width="3" style="63" customWidth="1"/>
    <col min="8664" max="8664" width="37.19921875" style="63" customWidth="1"/>
    <col min="8665" max="8667" width="5.796875" style="63" customWidth="1"/>
    <col min="8668" max="8669" width="7.3984375" style="63" customWidth="1"/>
    <col min="8670" max="8670" width="14.3984375" style="63" bestFit="1" customWidth="1"/>
    <col min="8671" max="8671" width="15.796875" style="63" bestFit="1" customWidth="1"/>
    <col min="8672" max="8672" width="10.296875" style="63" customWidth="1"/>
    <col min="8673" max="8673" width="7.09765625" style="63"/>
    <col min="8674" max="8674" width="12.3984375" style="63" bestFit="1" customWidth="1"/>
    <col min="8675" max="8675" width="12.69921875" style="63" bestFit="1" customWidth="1"/>
    <col min="8676" max="8676" width="7.796875" style="63" bestFit="1" customWidth="1"/>
    <col min="8677" max="8677" width="7.09765625" style="63"/>
    <col min="8678" max="8678" width="8.59765625" style="63" bestFit="1" customWidth="1"/>
    <col min="8679" max="8917" width="7.09765625" style="63"/>
    <col min="8918" max="8918" width="4.796875" style="63" customWidth="1"/>
    <col min="8919" max="8919" width="3" style="63" customWidth="1"/>
    <col min="8920" max="8920" width="37.19921875" style="63" customWidth="1"/>
    <col min="8921" max="8923" width="5.796875" style="63" customWidth="1"/>
    <col min="8924" max="8925" width="7.3984375" style="63" customWidth="1"/>
    <col min="8926" max="8926" width="14.3984375" style="63" bestFit="1" customWidth="1"/>
    <col min="8927" max="8927" width="15.796875" style="63" bestFit="1" customWidth="1"/>
    <col min="8928" max="8928" width="10.296875" style="63" customWidth="1"/>
    <col min="8929" max="8929" width="7.09765625" style="63"/>
    <col min="8930" max="8930" width="12.3984375" style="63" bestFit="1" customWidth="1"/>
    <col min="8931" max="8931" width="12.69921875" style="63" bestFit="1" customWidth="1"/>
    <col min="8932" max="8932" width="7.796875" style="63" bestFit="1" customWidth="1"/>
    <col min="8933" max="8933" width="7.09765625" style="63"/>
    <col min="8934" max="8934" width="8.59765625" style="63" bestFit="1" customWidth="1"/>
    <col min="8935" max="9173" width="7.09765625" style="63"/>
    <col min="9174" max="9174" width="4.796875" style="63" customWidth="1"/>
    <col min="9175" max="9175" width="3" style="63" customWidth="1"/>
    <col min="9176" max="9176" width="37.19921875" style="63" customWidth="1"/>
    <col min="9177" max="9179" width="5.796875" style="63" customWidth="1"/>
    <col min="9180" max="9181" width="7.3984375" style="63" customWidth="1"/>
    <col min="9182" max="9182" width="14.3984375" style="63" bestFit="1" customWidth="1"/>
    <col min="9183" max="9183" width="15.796875" style="63" bestFit="1" customWidth="1"/>
    <col min="9184" max="9184" width="10.296875" style="63" customWidth="1"/>
    <col min="9185" max="9185" width="7.09765625" style="63"/>
    <col min="9186" max="9186" width="12.3984375" style="63" bestFit="1" customWidth="1"/>
    <col min="9187" max="9187" width="12.69921875" style="63" bestFit="1" customWidth="1"/>
    <col min="9188" max="9188" width="7.796875" style="63" bestFit="1" customWidth="1"/>
    <col min="9189" max="9189" width="7.09765625" style="63"/>
    <col min="9190" max="9190" width="8.59765625" style="63" bestFit="1" customWidth="1"/>
    <col min="9191" max="9429" width="7.09765625" style="63"/>
    <col min="9430" max="9430" width="4.796875" style="63" customWidth="1"/>
    <col min="9431" max="9431" width="3" style="63" customWidth="1"/>
    <col min="9432" max="9432" width="37.19921875" style="63" customWidth="1"/>
    <col min="9433" max="9435" width="5.796875" style="63" customWidth="1"/>
    <col min="9436" max="9437" width="7.3984375" style="63" customWidth="1"/>
    <col min="9438" max="9438" width="14.3984375" style="63" bestFit="1" customWidth="1"/>
    <col min="9439" max="9439" width="15.796875" style="63" bestFit="1" customWidth="1"/>
    <col min="9440" max="9440" width="10.296875" style="63" customWidth="1"/>
    <col min="9441" max="9441" width="7.09765625" style="63"/>
    <col min="9442" max="9442" width="12.3984375" style="63" bestFit="1" customWidth="1"/>
    <col min="9443" max="9443" width="12.69921875" style="63" bestFit="1" customWidth="1"/>
    <col min="9444" max="9444" width="7.796875" style="63" bestFit="1" customWidth="1"/>
    <col min="9445" max="9445" width="7.09765625" style="63"/>
    <col min="9446" max="9446" width="8.59765625" style="63" bestFit="1" customWidth="1"/>
    <col min="9447" max="9685" width="7.09765625" style="63"/>
    <col min="9686" max="9686" width="4.796875" style="63" customWidth="1"/>
    <col min="9687" max="9687" width="3" style="63" customWidth="1"/>
    <col min="9688" max="9688" width="37.19921875" style="63" customWidth="1"/>
    <col min="9689" max="9691" width="5.796875" style="63" customWidth="1"/>
    <col min="9692" max="9693" width="7.3984375" style="63" customWidth="1"/>
    <col min="9694" max="9694" width="14.3984375" style="63" bestFit="1" customWidth="1"/>
    <col min="9695" max="9695" width="15.796875" style="63" bestFit="1" customWidth="1"/>
    <col min="9696" max="9696" width="10.296875" style="63" customWidth="1"/>
    <col min="9697" max="9697" width="7.09765625" style="63"/>
    <col min="9698" max="9698" width="12.3984375" style="63" bestFit="1" customWidth="1"/>
    <col min="9699" max="9699" width="12.69921875" style="63" bestFit="1" customWidth="1"/>
    <col min="9700" max="9700" width="7.796875" style="63" bestFit="1" customWidth="1"/>
    <col min="9701" max="9701" width="7.09765625" style="63"/>
    <col min="9702" max="9702" width="8.59765625" style="63" bestFit="1" customWidth="1"/>
    <col min="9703" max="9941" width="7.09765625" style="63"/>
    <col min="9942" max="9942" width="4.796875" style="63" customWidth="1"/>
    <col min="9943" max="9943" width="3" style="63" customWidth="1"/>
    <col min="9944" max="9944" width="37.19921875" style="63" customWidth="1"/>
    <col min="9945" max="9947" width="5.796875" style="63" customWidth="1"/>
    <col min="9948" max="9949" width="7.3984375" style="63" customWidth="1"/>
    <col min="9950" max="9950" width="14.3984375" style="63" bestFit="1" customWidth="1"/>
    <col min="9951" max="9951" width="15.796875" style="63" bestFit="1" customWidth="1"/>
    <col min="9952" max="9952" width="10.296875" style="63" customWidth="1"/>
    <col min="9953" max="9953" width="7.09765625" style="63"/>
    <col min="9954" max="9954" width="12.3984375" style="63" bestFit="1" customWidth="1"/>
    <col min="9955" max="9955" width="12.69921875" style="63" bestFit="1" customWidth="1"/>
    <col min="9956" max="9956" width="7.796875" style="63" bestFit="1" customWidth="1"/>
    <col min="9957" max="9957" width="7.09765625" style="63"/>
    <col min="9958" max="9958" width="8.59765625" style="63" bestFit="1" customWidth="1"/>
    <col min="9959" max="10197" width="7.09765625" style="63"/>
    <col min="10198" max="10198" width="4.796875" style="63" customWidth="1"/>
    <col min="10199" max="10199" width="3" style="63" customWidth="1"/>
    <col min="10200" max="10200" width="37.19921875" style="63" customWidth="1"/>
    <col min="10201" max="10203" width="5.796875" style="63" customWidth="1"/>
    <col min="10204" max="10205" width="7.3984375" style="63" customWidth="1"/>
    <col min="10206" max="10206" width="14.3984375" style="63" bestFit="1" customWidth="1"/>
    <col min="10207" max="10207" width="15.796875" style="63" bestFit="1" customWidth="1"/>
    <col min="10208" max="10208" width="10.296875" style="63" customWidth="1"/>
    <col min="10209" max="10209" width="7.09765625" style="63"/>
    <col min="10210" max="10210" width="12.3984375" style="63" bestFit="1" customWidth="1"/>
    <col min="10211" max="10211" width="12.69921875" style="63" bestFit="1" customWidth="1"/>
    <col min="10212" max="10212" width="7.796875" style="63" bestFit="1" customWidth="1"/>
    <col min="10213" max="10213" width="7.09765625" style="63"/>
    <col min="10214" max="10214" width="8.59765625" style="63" bestFit="1" customWidth="1"/>
    <col min="10215" max="10453" width="7.09765625" style="63"/>
    <col min="10454" max="10454" width="4.796875" style="63" customWidth="1"/>
    <col min="10455" max="10455" width="3" style="63" customWidth="1"/>
    <col min="10456" max="10456" width="37.19921875" style="63" customWidth="1"/>
    <col min="10457" max="10459" width="5.796875" style="63" customWidth="1"/>
    <col min="10460" max="10461" width="7.3984375" style="63" customWidth="1"/>
    <col min="10462" max="10462" width="14.3984375" style="63" bestFit="1" customWidth="1"/>
    <col min="10463" max="10463" width="15.796875" style="63" bestFit="1" customWidth="1"/>
    <col min="10464" max="10464" width="10.296875" style="63" customWidth="1"/>
    <col min="10465" max="10465" width="7.09765625" style="63"/>
    <col min="10466" max="10466" width="12.3984375" style="63" bestFit="1" customWidth="1"/>
    <col min="10467" max="10467" width="12.69921875" style="63" bestFit="1" customWidth="1"/>
    <col min="10468" max="10468" width="7.796875" style="63" bestFit="1" customWidth="1"/>
    <col min="10469" max="10469" width="7.09765625" style="63"/>
    <col min="10470" max="10470" width="8.59765625" style="63" bestFit="1" customWidth="1"/>
    <col min="10471" max="10709" width="7.09765625" style="63"/>
    <col min="10710" max="10710" width="4.796875" style="63" customWidth="1"/>
    <col min="10711" max="10711" width="3" style="63" customWidth="1"/>
    <col min="10712" max="10712" width="37.19921875" style="63" customWidth="1"/>
    <col min="10713" max="10715" width="5.796875" style="63" customWidth="1"/>
    <col min="10716" max="10717" width="7.3984375" style="63" customWidth="1"/>
    <col min="10718" max="10718" width="14.3984375" style="63" bestFit="1" customWidth="1"/>
    <col min="10719" max="10719" width="15.796875" style="63" bestFit="1" customWidth="1"/>
    <col min="10720" max="10720" width="10.296875" style="63" customWidth="1"/>
    <col min="10721" max="10721" width="7.09765625" style="63"/>
    <col min="10722" max="10722" width="12.3984375" style="63" bestFit="1" customWidth="1"/>
    <col min="10723" max="10723" width="12.69921875" style="63" bestFit="1" customWidth="1"/>
    <col min="10724" max="10724" width="7.796875" style="63" bestFit="1" customWidth="1"/>
    <col min="10725" max="10725" width="7.09765625" style="63"/>
    <col min="10726" max="10726" width="8.59765625" style="63" bestFit="1" customWidth="1"/>
    <col min="10727" max="10965" width="7.09765625" style="63"/>
    <col min="10966" max="10966" width="4.796875" style="63" customWidth="1"/>
    <col min="10967" max="10967" width="3" style="63" customWidth="1"/>
    <col min="10968" max="10968" width="37.19921875" style="63" customWidth="1"/>
    <col min="10969" max="10971" width="5.796875" style="63" customWidth="1"/>
    <col min="10972" max="10973" width="7.3984375" style="63" customWidth="1"/>
    <col min="10974" max="10974" width="14.3984375" style="63" bestFit="1" customWidth="1"/>
    <col min="10975" max="10975" width="15.796875" style="63" bestFit="1" customWidth="1"/>
    <col min="10976" max="10976" width="10.296875" style="63" customWidth="1"/>
    <col min="10977" max="10977" width="7.09765625" style="63"/>
    <col min="10978" max="10978" width="12.3984375" style="63" bestFit="1" customWidth="1"/>
    <col min="10979" max="10979" width="12.69921875" style="63" bestFit="1" customWidth="1"/>
    <col min="10980" max="10980" width="7.796875" style="63" bestFit="1" customWidth="1"/>
    <col min="10981" max="10981" width="7.09765625" style="63"/>
    <col min="10982" max="10982" width="8.59765625" style="63" bestFit="1" customWidth="1"/>
    <col min="10983" max="11221" width="7.09765625" style="63"/>
    <col min="11222" max="11222" width="4.796875" style="63" customWidth="1"/>
    <col min="11223" max="11223" width="3" style="63" customWidth="1"/>
    <col min="11224" max="11224" width="37.19921875" style="63" customWidth="1"/>
    <col min="11225" max="11227" width="5.796875" style="63" customWidth="1"/>
    <col min="11228" max="11229" width="7.3984375" style="63" customWidth="1"/>
    <col min="11230" max="11230" width="14.3984375" style="63" bestFit="1" customWidth="1"/>
    <col min="11231" max="11231" width="15.796875" style="63" bestFit="1" customWidth="1"/>
    <col min="11232" max="11232" width="10.296875" style="63" customWidth="1"/>
    <col min="11233" max="11233" width="7.09765625" style="63"/>
    <col min="11234" max="11234" width="12.3984375" style="63" bestFit="1" customWidth="1"/>
    <col min="11235" max="11235" width="12.69921875" style="63" bestFit="1" customWidth="1"/>
    <col min="11236" max="11236" width="7.796875" style="63" bestFit="1" customWidth="1"/>
    <col min="11237" max="11237" width="7.09765625" style="63"/>
    <col min="11238" max="11238" width="8.59765625" style="63" bestFit="1" customWidth="1"/>
    <col min="11239" max="11477" width="7.09765625" style="63"/>
    <col min="11478" max="11478" width="4.796875" style="63" customWidth="1"/>
    <col min="11479" max="11479" width="3" style="63" customWidth="1"/>
    <col min="11480" max="11480" width="37.19921875" style="63" customWidth="1"/>
    <col min="11481" max="11483" width="5.796875" style="63" customWidth="1"/>
    <col min="11484" max="11485" width="7.3984375" style="63" customWidth="1"/>
    <col min="11486" max="11486" width="14.3984375" style="63" bestFit="1" customWidth="1"/>
    <col min="11487" max="11487" width="15.796875" style="63" bestFit="1" customWidth="1"/>
    <col min="11488" max="11488" width="10.296875" style="63" customWidth="1"/>
    <col min="11489" max="11489" width="7.09765625" style="63"/>
    <col min="11490" max="11490" width="12.3984375" style="63" bestFit="1" customWidth="1"/>
    <col min="11491" max="11491" width="12.69921875" style="63" bestFit="1" customWidth="1"/>
    <col min="11492" max="11492" width="7.796875" style="63" bestFit="1" customWidth="1"/>
    <col min="11493" max="11493" width="7.09765625" style="63"/>
    <col min="11494" max="11494" width="8.59765625" style="63" bestFit="1" customWidth="1"/>
    <col min="11495" max="11733" width="7.09765625" style="63"/>
    <col min="11734" max="11734" width="4.796875" style="63" customWidth="1"/>
    <col min="11735" max="11735" width="3" style="63" customWidth="1"/>
    <col min="11736" max="11736" width="37.19921875" style="63" customWidth="1"/>
    <col min="11737" max="11739" width="5.796875" style="63" customWidth="1"/>
    <col min="11740" max="11741" width="7.3984375" style="63" customWidth="1"/>
    <col min="11742" max="11742" width="14.3984375" style="63" bestFit="1" customWidth="1"/>
    <col min="11743" max="11743" width="15.796875" style="63" bestFit="1" customWidth="1"/>
    <col min="11744" max="11744" width="10.296875" style="63" customWidth="1"/>
    <col min="11745" max="11745" width="7.09765625" style="63"/>
    <col min="11746" max="11746" width="12.3984375" style="63" bestFit="1" customWidth="1"/>
    <col min="11747" max="11747" width="12.69921875" style="63" bestFit="1" customWidth="1"/>
    <col min="11748" max="11748" width="7.796875" style="63" bestFit="1" customWidth="1"/>
    <col min="11749" max="11749" width="7.09765625" style="63"/>
    <col min="11750" max="11750" width="8.59765625" style="63" bestFit="1" customWidth="1"/>
    <col min="11751" max="11989" width="7.09765625" style="63"/>
    <col min="11990" max="11990" width="4.796875" style="63" customWidth="1"/>
    <col min="11991" max="11991" width="3" style="63" customWidth="1"/>
    <col min="11992" max="11992" width="37.19921875" style="63" customWidth="1"/>
    <col min="11993" max="11995" width="5.796875" style="63" customWidth="1"/>
    <col min="11996" max="11997" width="7.3984375" style="63" customWidth="1"/>
    <col min="11998" max="11998" width="14.3984375" style="63" bestFit="1" customWidth="1"/>
    <col min="11999" max="11999" width="15.796875" style="63" bestFit="1" customWidth="1"/>
    <col min="12000" max="12000" width="10.296875" style="63" customWidth="1"/>
    <col min="12001" max="12001" width="7.09765625" style="63"/>
    <col min="12002" max="12002" width="12.3984375" style="63" bestFit="1" customWidth="1"/>
    <col min="12003" max="12003" width="12.69921875" style="63" bestFit="1" customWidth="1"/>
    <col min="12004" max="12004" width="7.796875" style="63" bestFit="1" customWidth="1"/>
    <col min="12005" max="12005" width="7.09765625" style="63"/>
    <col min="12006" max="12006" width="8.59765625" style="63" bestFit="1" customWidth="1"/>
    <col min="12007" max="12245" width="7.09765625" style="63"/>
    <col min="12246" max="12246" width="4.796875" style="63" customWidth="1"/>
    <col min="12247" max="12247" width="3" style="63" customWidth="1"/>
    <col min="12248" max="12248" width="37.19921875" style="63" customWidth="1"/>
    <col min="12249" max="12251" width="5.796875" style="63" customWidth="1"/>
    <col min="12252" max="12253" width="7.3984375" style="63" customWidth="1"/>
    <col min="12254" max="12254" width="14.3984375" style="63" bestFit="1" customWidth="1"/>
    <col min="12255" max="12255" width="15.796875" style="63" bestFit="1" customWidth="1"/>
    <col min="12256" max="12256" width="10.296875" style="63" customWidth="1"/>
    <col min="12257" max="12257" width="7.09765625" style="63"/>
    <col min="12258" max="12258" width="12.3984375" style="63" bestFit="1" customWidth="1"/>
    <col min="12259" max="12259" width="12.69921875" style="63" bestFit="1" customWidth="1"/>
    <col min="12260" max="12260" width="7.796875" style="63" bestFit="1" customWidth="1"/>
    <col min="12261" max="12261" width="7.09765625" style="63"/>
    <col min="12262" max="12262" width="8.59765625" style="63" bestFit="1" customWidth="1"/>
    <col min="12263" max="12501" width="7.09765625" style="63"/>
    <col min="12502" max="12502" width="4.796875" style="63" customWidth="1"/>
    <col min="12503" max="12503" width="3" style="63" customWidth="1"/>
    <col min="12504" max="12504" width="37.19921875" style="63" customWidth="1"/>
    <col min="12505" max="12507" width="5.796875" style="63" customWidth="1"/>
    <col min="12508" max="12509" width="7.3984375" style="63" customWidth="1"/>
    <col min="12510" max="12510" width="14.3984375" style="63" bestFit="1" customWidth="1"/>
    <col min="12511" max="12511" width="15.796875" style="63" bestFit="1" customWidth="1"/>
    <col min="12512" max="12512" width="10.296875" style="63" customWidth="1"/>
    <col min="12513" max="12513" width="7.09765625" style="63"/>
    <col min="12514" max="12514" width="12.3984375" style="63" bestFit="1" customWidth="1"/>
    <col min="12515" max="12515" width="12.69921875" style="63" bestFit="1" customWidth="1"/>
    <col min="12516" max="12516" width="7.796875" style="63" bestFit="1" customWidth="1"/>
    <col min="12517" max="12517" width="7.09765625" style="63"/>
    <col min="12518" max="12518" width="8.59765625" style="63" bestFit="1" customWidth="1"/>
    <col min="12519" max="12757" width="7.09765625" style="63"/>
    <col min="12758" max="12758" width="4.796875" style="63" customWidth="1"/>
    <col min="12759" max="12759" width="3" style="63" customWidth="1"/>
    <col min="12760" max="12760" width="37.19921875" style="63" customWidth="1"/>
    <col min="12761" max="12763" width="5.796875" style="63" customWidth="1"/>
    <col min="12764" max="12765" width="7.3984375" style="63" customWidth="1"/>
    <col min="12766" max="12766" width="14.3984375" style="63" bestFit="1" customWidth="1"/>
    <col min="12767" max="12767" width="15.796875" style="63" bestFit="1" customWidth="1"/>
    <col min="12768" max="12768" width="10.296875" style="63" customWidth="1"/>
    <col min="12769" max="12769" width="7.09765625" style="63"/>
    <col min="12770" max="12770" width="12.3984375" style="63" bestFit="1" customWidth="1"/>
    <col min="12771" max="12771" width="12.69921875" style="63" bestFit="1" customWidth="1"/>
    <col min="12772" max="12772" width="7.796875" style="63" bestFit="1" customWidth="1"/>
    <col min="12773" max="12773" width="7.09765625" style="63"/>
    <col min="12774" max="12774" width="8.59765625" style="63" bestFit="1" customWidth="1"/>
    <col min="12775" max="13013" width="7.09765625" style="63"/>
    <col min="13014" max="13014" width="4.796875" style="63" customWidth="1"/>
    <col min="13015" max="13015" width="3" style="63" customWidth="1"/>
    <col min="13016" max="13016" width="37.19921875" style="63" customWidth="1"/>
    <col min="13017" max="13019" width="5.796875" style="63" customWidth="1"/>
    <col min="13020" max="13021" width="7.3984375" style="63" customWidth="1"/>
    <col min="13022" max="13022" width="14.3984375" style="63" bestFit="1" customWidth="1"/>
    <col min="13023" max="13023" width="15.796875" style="63" bestFit="1" customWidth="1"/>
    <col min="13024" max="13024" width="10.296875" style="63" customWidth="1"/>
    <col min="13025" max="13025" width="7.09765625" style="63"/>
    <col min="13026" max="13026" width="12.3984375" style="63" bestFit="1" customWidth="1"/>
    <col min="13027" max="13027" width="12.69921875" style="63" bestFit="1" customWidth="1"/>
    <col min="13028" max="13028" width="7.796875" style="63" bestFit="1" customWidth="1"/>
    <col min="13029" max="13029" width="7.09765625" style="63"/>
    <col min="13030" max="13030" width="8.59765625" style="63" bestFit="1" customWidth="1"/>
    <col min="13031" max="13269" width="7.09765625" style="63"/>
    <col min="13270" max="13270" width="4.796875" style="63" customWidth="1"/>
    <col min="13271" max="13271" width="3" style="63" customWidth="1"/>
    <col min="13272" max="13272" width="37.19921875" style="63" customWidth="1"/>
    <col min="13273" max="13275" width="5.796875" style="63" customWidth="1"/>
    <col min="13276" max="13277" width="7.3984375" style="63" customWidth="1"/>
    <col min="13278" max="13278" width="14.3984375" style="63" bestFit="1" customWidth="1"/>
    <col min="13279" max="13279" width="15.796875" style="63" bestFit="1" customWidth="1"/>
    <col min="13280" max="13280" width="10.296875" style="63" customWidth="1"/>
    <col min="13281" max="13281" width="7.09765625" style="63"/>
    <col min="13282" max="13282" width="12.3984375" style="63" bestFit="1" customWidth="1"/>
    <col min="13283" max="13283" width="12.69921875" style="63" bestFit="1" customWidth="1"/>
    <col min="13284" max="13284" width="7.796875" style="63" bestFit="1" customWidth="1"/>
    <col min="13285" max="13285" width="7.09765625" style="63"/>
    <col min="13286" max="13286" width="8.59765625" style="63" bestFit="1" customWidth="1"/>
    <col min="13287" max="13525" width="7.09765625" style="63"/>
    <col min="13526" max="13526" width="4.796875" style="63" customWidth="1"/>
    <col min="13527" max="13527" width="3" style="63" customWidth="1"/>
    <col min="13528" max="13528" width="37.19921875" style="63" customWidth="1"/>
    <col min="13529" max="13531" width="5.796875" style="63" customWidth="1"/>
    <col min="13532" max="13533" width="7.3984375" style="63" customWidth="1"/>
    <col min="13534" max="13534" width="14.3984375" style="63" bestFit="1" customWidth="1"/>
    <col min="13535" max="13535" width="15.796875" style="63" bestFit="1" customWidth="1"/>
    <col min="13536" max="13536" width="10.296875" style="63" customWidth="1"/>
    <col min="13537" max="13537" width="7.09765625" style="63"/>
    <col min="13538" max="13538" width="12.3984375" style="63" bestFit="1" customWidth="1"/>
    <col min="13539" max="13539" width="12.69921875" style="63" bestFit="1" customWidth="1"/>
    <col min="13540" max="13540" width="7.796875" style="63" bestFit="1" customWidth="1"/>
    <col min="13541" max="13541" width="7.09765625" style="63"/>
    <col min="13542" max="13542" width="8.59765625" style="63" bestFit="1" customWidth="1"/>
    <col min="13543" max="13781" width="7.09765625" style="63"/>
    <col min="13782" max="13782" width="4.796875" style="63" customWidth="1"/>
    <col min="13783" max="13783" width="3" style="63" customWidth="1"/>
    <col min="13784" max="13784" width="37.19921875" style="63" customWidth="1"/>
    <col min="13785" max="13787" width="5.796875" style="63" customWidth="1"/>
    <col min="13788" max="13789" width="7.3984375" style="63" customWidth="1"/>
    <col min="13790" max="13790" width="14.3984375" style="63" bestFit="1" customWidth="1"/>
    <col min="13791" max="13791" width="15.796875" style="63" bestFit="1" customWidth="1"/>
    <col min="13792" max="13792" width="10.296875" style="63" customWidth="1"/>
    <col min="13793" max="13793" width="7.09765625" style="63"/>
    <col min="13794" max="13794" width="12.3984375" style="63" bestFit="1" customWidth="1"/>
    <col min="13795" max="13795" width="12.69921875" style="63" bestFit="1" customWidth="1"/>
    <col min="13796" max="13796" width="7.796875" style="63" bestFit="1" customWidth="1"/>
    <col min="13797" max="13797" width="7.09765625" style="63"/>
    <col min="13798" max="13798" width="8.59765625" style="63" bestFit="1" customWidth="1"/>
    <col min="13799" max="14037" width="7.09765625" style="63"/>
    <col min="14038" max="14038" width="4.796875" style="63" customWidth="1"/>
    <col min="14039" max="14039" width="3" style="63" customWidth="1"/>
    <col min="14040" max="14040" width="37.19921875" style="63" customWidth="1"/>
    <col min="14041" max="14043" width="5.796875" style="63" customWidth="1"/>
    <col min="14044" max="14045" width="7.3984375" style="63" customWidth="1"/>
    <col min="14046" max="14046" width="14.3984375" style="63" bestFit="1" customWidth="1"/>
    <col min="14047" max="14047" width="15.796875" style="63" bestFit="1" customWidth="1"/>
    <col min="14048" max="14048" width="10.296875" style="63" customWidth="1"/>
    <col min="14049" max="14049" width="7.09765625" style="63"/>
    <col min="14050" max="14050" width="12.3984375" style="63" bestFit="1" customWidth="1"/>
    <col min="14051" max="14051" width="12.69921875" style="63" bestFit="1" customWidth="1"/>
    <col min="14052" max="14052" width="7.796875" style="63" bestFit="1" customWidth="1"/>
    <col min="14053" max="14053" width="7.09765625" style="63"/>
    <col min="14054" max="14054" width="8.59765625" style="63" bestFit="1" customWidth="1"/>
    <col min="14055" max="14293" width="7.09765625" style="63"/>
    <col min="14294" max="14294" width="4.796875" style="63" customWidth="1"/>
    <col min="14295" max="14295" width="3" style="63" customWidth="1"/>
    <col min="14296" max="14296" width="37.19921875" style="63" customWidth="1"/>
    <col min="14297" max="14299" width="5.796875" style="63" customWidth="1"/>
    <col min="14300" max="14301" width="7.3984375" style="63" customWidth="1"/>
    <col min="14302" max="14302" width="14.3984375" style="63" bestFit="1" customWidth="1"/>
    <col min="14303" max="14303" width="15.796875" style="63" bestFit="1" customWidth="1"/>
    <col min="14304" max="14304" width="10.296875" style="63" customWidth="1"/>
    <col min="14305" max="14305" width="7.09765625" style="63"/>
    <col min="14306" max="14306" width="12.3984375" style="63" bestFit="1" customWidth="1"/>
    <col min="14307" max="14307" width="12.69921875" style="63" bestFit="1" customWidth="1"/>
    <col min="14308" max="14308" width="7.796875" style="63" bestFit="1" customWidth="1"/>
    <col min="14309" max="14309" width="7.09765625" style="63"/>
    <col min="14310" max="14310" width="8.59765625" style="63" bestFit="1" customWidth="1"/>
    <col min="14311" max="14549" width="7.09765625" style="63"/>
    <col min="14550" max="14550" width="4.796875" style="63" customWidth="1"/>
    <col min="14551" max="14551" width="3" style="63" customWidth="1"/>
    <col min="14552" max="14552" width="37.19921875" style="63" customWidth="1"/>
    <col min="14553" max="14555" width="5.796875" style="63" customWidth="1"/>
    <col min="14556" max="14557" width="7.3984375" style="63" customWidth="1"/>
    <col min="14558" max="14558" width="14.3984375" style="63" bestFit="1" customWidth="1"/>
    <col min="14559" max="14559" width="15.796875" style="63" bestFit="1" customWidth="1"/>
    <col min="14560" max="14560" width="10.296875" style="63" customWidth="1"/>
    <col min="14561" max="14561" width="7.09765625" style="63"/>
    <col min="14562" max="14562" width="12.3984375" style="63" bestFit="1" customWidth="1"/>
    <col min="14563" max="14563" width="12.69921875" style="63" bestFit="1" customWidth="1"/>
    <col min="14564" max="14564" width="7.796875" style="63" bestFit="1" customWidth="1"/>
    <col min="14565" max="14565" width="7.09765625" style="63"/>
    <col min="14566" max="14566" width="8.59765625" style="63" bestFit="1" customWidth="1"/>
    <col min="14567" max="14805" width="7.09765625" style="63"/>
    <col min="14806" max="14806" width="4.796875" style="63" customWidth="1"/>
    <col min="14807" max="14807" width="3" style="63" customWidth="1"/>
    <col min="14808" max="14808" width="37.19921875" style="63" customWidth="1"/>
    <col min="14809" max="14811" width="5.796875" style="63" customWidth="1"/>
    <col min="14812" max="14813" width="7.3984375" style="63" customWidth="1"/>
    <col min="14814" max="14814" width="14.3984375" style="63" bestFit="1" customWidth="1"/>
    <col min="14815" max="14815" width="15.796875" style="63" bestFit="1" customWidth="1"/>
    <col min="14816" max="14816" width="10.296875" style="63" customWidth="1"/>
    <col min="14817" max="14817" width="7.09765625" style="63"/>
    <col min="14818" max="14818" width="12.3984375" style="63" bestFit="1" customWidth="1"/>
    <col min="14819" max="14819" width="12.69921875" style="63" bestFit="1" customWidth="1"/>
    <col min="14820" max="14820" width="7.796875" style="63" bestFit="1" customWidth="1"/>
    <col min="14821" max="14821" width="7.09765625" style="63"/>
    <col min="14822" max="14822" width="8.59765625" style="63" bestFit="1" customWidth="1"/>
    <col min="14823" max="15061" width="7.09765625" style="63"/>
    <col min="15062" max="15062" width="4.796875" style="63" customWidth="1"/>
    <col min="15063" max="15063" width="3" style="63" customWidth="1"/>
    <col min="15064" max="15064" width="37.19921875" style="63" customWidth="1"/>
    <col min="15065" max="15067" width="5.796875" style="63" customWidth="1"/>
    <col min="15068" max="15069" width="7.3984375" style="63" customWidth="1"/>
    <col min="15070" max="15070" width="14.3984375" style="63" bestFit="1" customWidth="1"/>
    <col min="15071" max="15071" width="15.796875" style="63" bestFit="1" customWidth="1"/>
    <col min="15072" max="15072" width="10.296875" style="63" customWidth="1"/>
    <col min="15073" max="15073" width="7.09765625" style="63"/>
    <col min="15074" max="15074" width="12.3984375" style="63" bestFit="1" customWidth="1"/>
    <col min="15075" max="15075" width="12.69921875" style="63" bestFit="1" customWidth="1"/>
    <col min="15076" max="15076" width="7.796875" style="63" bestFit="1" customWidth="1"/>
    <col min="15077" max="15077" width="7.09765625" style="63"/>
    <col min="15078" max="15078" width="8.59765625" style="63" bestFit="1" customWidth="1"/>
    <col min="15079" max="15317" width="7.09765625" style="63"/>
    <col min="15318" max="15318" width="4.796875" style="63" customWidth="1"/>
    <col min="15319" max="15319" width="3" style="63" customWidth="1"/>
    <col min="15320" max="15320" width="37.19921875" style="63" customWidth="1"/>
    <col min="15321" max="15323" width="5.796875" style="63" customWidth="1"/>
    <col min="15324" max="15325" width="7.3984375" style="63" customWidth="1"/>
    <col min="15326" max="15326" width="14.3984375" style="63" bestFit="1" customWidth="1"/>
    <col min="15327" max="15327" width="15.796875" style="63" bestFit="1" customWidth="1"/>
    <col min="15328" max="15328" width="10.296875" style="63" customWidth="1"/>
    <col min="15329" max="15329" width="7.09765625" style="63"/>
    <col min="15330" max="15330" width="12.3984375" style="63" bestFit="1" customWidth="1"/>
    <col min="15331" max="15331" width="12.69921875" style="63" bestFit="1" customWidth="1"/>
    <col min="15332" max="15332" width="7.796875" style="63" bestFit="1" customWidth="1"/>
    <col min="15333" max="15333" width="7.09765625" style="63"/>
    <col min="15334" max="15334" width="8.59765625" style="63" bestFit="1" customWidth="1"/>
    <col min="15335" max="15573" width="7.09765625" style="63"/>
    <col min="15574" max="15574" width="4.796875" style="63" customWidth="1"/>
    <col min="15575" max="15575" width="3" style="63" customWidth="1"/>
    <col min="15576" max="15576" width="37.19921875" style="63" customWidth="1"/>
    <col min="15577" max="15579" width="5.796875" style="63" customWidth="1"/>
    <col min="15580" max="15581" width="7.3984375" style="63" customWidth="1"/>
    <col min="15582" max="15582" width="14.3984375" style="63" bestFit="1" customWidth="1"/>
    <col min="15583" max="15583" width="15.796875" style="63" bestFit="1" customWidth="1"/>
    <col min="15584" max="15584" width="10.296875" style="63" customWidth="1"/>
    <col min="15585" max="15585" width="7.09765625" style="63"/>
    <col min="15586" max="15586" width="12.3984375" style="63" bestFit="1" customWidth="1"/>
    <col min="15587" max="15587" width="12.69921875" style="63" bestFit="1" customWidth="1"/>
    <col min="15588" max="15588" width="7.796875" style="63" bestFit="1" customWidth="1"/>
    <col min="15589" max="15589" width="7.09765625" style="63"/>
    <col min="15590" max="15590" width="8.59765625" style="63" bestFit="1" customWidth="1"/>
    <col min="15591" max="15829" width="7.09765625" style="63"/>
    <col min="15830" max="15830" width="4.796875" style="63" customWidth="1"/>
    <col min="15831" max="15831" width="3" style="63" customWidth="1"/>
    <col min="15832" max="15832" width="37.19921875" style="63" customWidth="1"/>
    <col min="15833" max="15835" width="5.796875" style="63" customWidth="1"/>
    <col min="15836" max="15837" width="7.3984375" style="63" customWidth="1"/>
    <col min="15838" max="15838" width="14.3984375" style="63" bestFit="1" customWidth="1"/>
    <col min="15839" max="15839" width="15.796875" style="63" bestFit="1" customWidth="1"/>
    <col min="15840" max="15840" width="10.296875" style="63" customWidth="1"/>
    <col min="15841" max="15841" width="7.09765625" style="63"/>
    <col min="15842" max="15842" width="12.3984375" style="63" bestFit="1" customWidth="1"/>
    <col min="15843" max="15843" width="12.69921875" style="63" bestFit="1" customWidth="1"/>
    <col min="15844" max="15844" width="7.796875" style="63" bestFit="1" customWidth="1"/>
    <col min="15845" max="15845" width="7.09765625" style="63"/>
    <col min="15846" max="15846" width="8.59765625" style="63" bestFit="1" customWidth="1"/>
    <col min="15847" max="16085" width="7.09765625" style="63"/>
    <col min="16086" max="16086" width="4.796875" style="63" customWidth="1"/>
    <col min="16087" max="16087" width="3" style="63" customWidth="1"/>
    <col min="16088" max="16088" width="37.19921875" style="63" customWidth="1"/>
    <col min="16089" max="16091" width="5.796875" style="63" customWidth="1"/>
    <col min="16092" max="16093" width="7.3984375" style="63" customWidth="1"/>
    <col min="16094" max="16094" width="14.3984375" style="63" bestFit="1" customWidth="1"/>
    <col min="16095" max="16095" width="15.796875" style="63" bestFit="1" customWidth="1"/>
    <col min="16096" max="16096" width="10.296875" style="63" customWidth="1"/>
    <col min="16097" max="16097" width="7.09765625" style="63"/>
    <col min="16098" max="16098" width="12.3984375" style="63" bestFit="1" customWidth="1"/>
    <col min="16099" max="16099" width="12.69921875" style="63" bestFit="1" customWidth="1"/>
    <col min="16100" max="16100" width="7.796875" style="63" bestFit="1" customWidth="1"/>
    <col min="16101" max="16101" width="7.09765625" style="63"/>
    <col min="16102" max="16102" width="8.59765625" style="63" bestFit="1" customWidth="1"/>
    <col min="16103" max="16384" width="7.09765625" style="63"/>
  </cols>
  <sheetData>
    <row r="1" spans="1:32" s="547" customFormat="1" ht="34.5" customHeight="1" x14ac:dyDescent="0.35">
      <c r="A1" s="545" t="s">
        <v>950</v>
      </c>
      <c r="B1" s="546"/>
      <c r="C1" s="546"/>
      <c r="D1" s="546"/>
      <c r="E1" s="546"/>
      <c r="F1" s="546"/>
      <c r="G1" s="546"/>
      <c r="H1" s="546"/>
      <c r="I1" s="546"/>
      <c r="J1" s="546"/>
      <c r="K1" s="546"/>
      <c r="L1" s="546"/>
      <c r="M1" s="546"/>
      <c r="N1" s="546"/>
      <c r="O1" s="546"/>
      <c r="P1" s="546"/>
      <c r="Q1" s="546"/>
      <c r="R1" s="546"/>
      <c r="S1" s="546"/>
      <c r="T1" s="546"/>
      <c r="U1" s="546"/>
      <c r="V1" s="546"/>
      <c r="W1" s="546"/>
      <c r="X1" s="546"/>
      <c r="Y1" s="546"/>
      <c r="Z1" s="546"/>
      <c r="AA1" s="546"/>
      <c r="AB1" s="546"/>
      <c r="AC1" s="546"/>
      <c r="AD1" s="546"/>
      <c r="AF1" s="548" t="s">
        <v>951</v>
      </c>
    </row>
    <row r="2" spans="1:32" ht="27.75" customHeight="1" x14ac:dyDescent="0.15">
      <c r="A2" s="549" t="str">
        <f>CONCATENATE("[ ",산출기준_CI!A5, " ]")</f>
        <v>[ 일반 Ver. ]</v>
      </c>
      <c r="B2" s="550"/>
      <c r="C2" s="550"/>
      <c r="D2" s="550"/>
      <c r="E2" s="550"/>
      <c r="F2" s="550"/>
      <c r="G2" s="550"/>
      <c r="H2" s="550"/>
      <c r="I2" s="550"/>
      <c r="J2" s="550"/>
      <c r="K2" s="550"/>
      <c r="L2" s="551"/>
      <c r="M2" s="552"/>
      <c r="N2" s="550"/>
      <c r="O2" s="550"/>
      <c r="P2" s="550"/>
      <c r="Q2" s="550"/>
      <c r="R2" s="550"/>
      <c r="S2" s="550"/>
      <c r="T2" s="550"/>
      <c r="U2" s="550"/>
      <c r="V2" s="550"/>
      <c r="W2" s="550"/>
      <c r="X2" s="550"/>
      <c r="Y2" s="550"/>
      <c r="Z2" s="550"/>
      <c r="AA2" s="550"/>
      <c r="AB2" s="550"/>
      <c r="AC2" s="550"/>
      <c r="AD2" s="550"/>
      <c r="AF2" s="553"/>
    </row>
    <row r="3" spans="1:32" ht="21" customHeight="1" thickBot="1" x14ac:dyDescent="0.3">
      <c r="A3" s="63"/>
      <c r="B3" s="63"/>
      <c r="C3" s="63"/>
      <c r="E3" s="554" t="s">
        <v>952</v>
      </c>
      <c r="L3" s="62"/>
      <c r="M3" s="62"/>
      <c r="N3" s="62"/>
      <c r="O3" s="62"/>
      <c r="P3" s="62"/>
      <c r="Q3" s="62"/>
      <c r="R3" s="62"/>
      <c r="S3" s="62"/>
      <c r="T3" s="62"/>
      <c r="U3" s="555"/>
      <c r="V3" s="555"/>
      <c r="W3" s="555"/>
      <c r="X3" s="555"/>
      <c r="Y3" s="555"/>
      <c r="Z3" s="555"/>
      <c r="AA3" s="555"/>
      <c r="AB3" s="555"/>
      <c r="AC3" s="555"/>
      <c r="AD3" s="555"/>
    </row>
    <row r="4" spans="1:32" ht="15" customHeight="1" x14ac:dyDescent="0.25">
      <c r="A4" s="82"/>
      <c r="B4" s="82"/>
      <c r="C4" s="82"/>
      <c r="D4" s="518" t="s">
        <v>953</v>
      </c>
      <c r="E4" s="556" t="s">
        <v>920</v>
      </c>
      <c r="F4" s="557"/>
      <c r="G4" s="558">
        <f>SUM(Input_CI!I8:I11)</f>
        <v>6300</v>
      </c>
      <c r="H4" s="559" t="s">
        <v>921</v>
      </c>
      <c r="I4" s="560"/>
      <c r="J4" s="561"/>
      <c r="K4" s="562"/>
      <c r="L4" s="62"/>
      <c r="M4" s="62"/>
      <c r="N4" s="62"/>
      <c r="O4" s="62"/>
      <c r="P4" s="62"/>
      <c r="Q4" s="62"/>
      <c r="R4" s="62"/>
      <c r="S4" s="62"/>
      <c r="T4" s="62"/>
      <c r="U4" s="563" t="s">
        <v>68</v>
      </c>
      <c r="V4" s="563"/>
      <c r="W4" s="563"/>
      <c r="X4" s="563"/>
      <c r="Y4" s="564"/>
      <c r="Z4" s="564"/>
      <c r="AA4" s="564"/>
      <c r="AB4" s="564"/>
      <c r="AC4" s="564"/>
      <c r="AD4" s="565"/>
    </row>
    <row r="5" spans="1:32" ht="15" customHeight="1" x14ac:dyDescent="0.25">
      <c r="A5" s="82"/>
      <c r="B5" s="82"/>
      <c r="C5" s="82"/>
      <c r="D5" s="518" t="s">
        <v>954</v>
      </c>
      <c r="E5" s="566" t="s">
        <v>923</v>
      </c>
      <c r="F5" s="567"/>
      <c r="G5" s="568">
        <f>SUM(Input_CI!I40:I42)</f>
        <v>432</v>
      </c>
      <c r="H5" s="186" t="s">
        <v>924</v>
      </c>
      <c r="I5" s="569"/>
      <c r="J5" s="570"/>
      <c r="K5" s="571"/>
      <c r="L5" s="62"/>
      <c r="M5" s="62"/>
      <c r="N5" s="62"/>
      <c r="O5" s="62"/>
      <c r="P5" s="62"/>
      <c r="Q5" s="62"/>
      <c r="R5" s="62"/>
      <c r="S5" s="62"/>
      <c r="T5" s="62"/>
      <c r="U5" s="565">
        <v>1</v>
      </c>
      <c r="V5" s="572" t="s">
        <v>955</v>
      </c>
      <c r="W5" s="572"/>
      <c r="X5" s="565"/>
      <c r="Y5" s="572"/>
      <c r="Z5" s="565"/>
      <c r="AA5" s="572"/>
      <c r="AB5" s="572"/>
      <c r="AC5" s="572"/>
      <c r="AD5" s="565"/>
    </row>
    <row r="6" spans="1:32" ht="15" customHeight="1" x14ac:dyDescent="0.25">
      <c r="A6" s="82"/>
      <c r="B6" s="82"/>
      <c r="C6" s="82"/>
      <c r="D6" s="518" t="s">
        <v>956</v>
      </c>
      <c r="E6" s="566" t="s">
        <v>926</v>
      </c>
      <c r="F6" s="567"/>
      <c r="G6" s="573">
        <f>SUM(Input_CI!I30:I34)+SUM(Input_CI!I12:I20)</f>
        <v>570</v>
      </c>
      <c r="H6" s="186" t="s">
        <v>927</v>
      </c>
      <c r="I6" s="569"/>
      <c r="J6" s="570"/>
      <c r="K6" s="571"/>
      <c r="L6" s="62"/>
      <c r="M6" s="62"/>
      <c r="N6" s="62"/>
      <c r="O6" s="62"/>
      <c r="P6" s="62"/>
      <c r="Q6" s="62"/>
      <c r="R6" s="62"/>
      <c r="S6" s="62"/>
      <c r="T6" s="62"/>
      <c r="U6" s="565">
        <v>2</v>
      </c>
      <c r="V6" s="572" t="s">
        <v>957</v>
      </c>
      <c r="W6" s="572"/>
      <c r="X6" s="565"/>
      <c r="Y6" s="572"/>
      <c r="Z6" s="565"/>
      <c r="AA6" s="572"/>
      <c r="AB6" s="572"/>
      <c r="AC6" s="572"/>
      <c r="AD6" s="565"/>
    </row>
    <row r="7" spans="1:32" ht="15" customHeight="1" x14ac:dyDescent="0.25">
      <c r="A7" s="82"/>
      <c r="B7" s="82"/>
      <c r="C7" s="82"/>
      <c r="D7" s="518" t="s">
        <v>958</v>
      </c>
      <c r="E7" s="566" t="s">
        <v>929</v>
      </c>
      <c r="F7" s="567"/>
      <c r="G7" s="573">
        <f>SUM(Input_CI!I35:I39)</f>
        <v>181</v>
      </c>
      <c r="H7" s="186" t="s">
        <v>959</v>
      </c>
      <c r="I7" s="569"/>
      <c r="J7" s="570"/>
      <c r="K7" s="571"/>
      <c r="L7" s="62"/>
      <c r="M7" s="62"/>
      <c r="N7" s="62"/>
      <c r="O7" s="62"/>
      <c r="P7" s="62"/>
      <c r="Q7" s="62"/>
      <c r="R7" s="62"/>
      <c r="S7" s="62"/>
      <c r="T7" s="62"/>
      <c r="U7" s="565">
        <v>3</v>
      </c>
      <c r="V7" s="572" t="s">
        <v>960</v>
      </c>
      <c r="W7" s="572"/>
      <c r="X7" s="565"/>
      <c r="Y7" s="572"/>
      <c r="Z7" s="565"/>
      <c r="AA7" s="572"/>
      <c r="AB7" s="572"/>
      <c r="AC7" s="572"/>
      <c r="AD7" s="565"/>
    </row>
    <row r="8" spans="1:32" ht="15" customHeight="1" x14ac:dyDescent="0.25">
      <c r="A8" s="82"/>
      <c r="B8" s="82"/>
      <c r="C8" s="82"/>
      <c r="D8" s="518" t="s">
        <v>961</v>
      </c>
      <c r="E8" s="566" t="s">
        <v>932</v>
      </c>
      <c r="F8" s="567"/>
      <c r="G8" s="573">
        <f>SUM(Input_CI!I21:I22,Input_CI!I25,Input_CI!I29)</f>
        <v>94</v>
      </c>
      <c r="H8" s="186"/>
      <c r="I8" s="569"/>
      <c r="J8" s="570"/>
      <c r="K8" s="571"/>
      <c r="L8" s="62"/>
      <c r="M8" s="62"/>
      <c r="N8" s="62"/>
      <c r="O8" s="62"/>
      <c r="P8" s="62"/>
      <c r="Q8" s="62"/>
      <c r="R8" s="62"/>
      <c r="S8" s="62"/>
      <c r="T8" s="62"/>
      <c r="U8" s="565">
        <v>4</v>
      </c>
      <c r="V8" s="572" t="s">
        <v>962</v>
      </c>
      <c r="W8" s="572"/>
      <c r="X8" s="565"/>
      <c r="Y8" s="572"/>
      <c r="Z8" s="565"/>
      <c r="AA8" s="572"/>
      <c r="AB8" s="572"/>
      <c r="AC8" s="572"/>
      <c r="AD8" s="565"/>
    </row>
    <row r="9" spans="1:32" ht="15" customHeight="1" x14ac:dyDescent="0.25">
      <c r="A9" s="82"/>
      <c r="B9" s="82"/>
      <c r="C9" s="82"/>
      <c r="D9" s="518" t="s">
        <v>963</v>
      </c>
      <c r="E9" s="566" t="s">
        <v>934</v>
      </c>
      <c r="F9" s="567"/>
      <c r="G9" s="573">
        <f>SUM(Input_CI!I23,Input_CI!I28)</f>
        <v>156</v>
      </c>
      <c r="H9" s="186" t="s">
        <v>935</v>
      </c>
      <c r="I9" s="569"/>
      <c r="J9" s="570"/>
      <c r="K9" s="571"/>
      <c r="L9" s="62"/>
      <c r="M9" s="62"/>
      <c r="N9" s="62"/>
      <c r="O9" s="62"/>
      <c r="P9" s="62"/>
      <c r="Q9" s="62"/>
      <c r="R9" s="62"/>
      <c r="S9" s="62"/>
      <c r="T9" s="62"/>
      <c r="U9" s="565">
        <v>5</v>
      </c>
      <c r="V9" s="572" t="s">
        <v>964</v>
      </c>
      <c r="W9" s="572"/>
      <c r="X9" s="565"/>
      <c r="Y9" s="572"/>
      <c r="Z9" s="565"/>
      <c r="AA9" s="572"/>
      <c r="AB9" s="572"/>
      <c r="AC9" s="572"/>
      <c r="AD9" s="565"/>
    </row>
    <row r="10" spans="1:32" ht="15" customHeight="1" x14ac:dyDescent="0.25">
      <c r="A10" s="82"/>
      <c r="B10" s="82"/>
      <c r="C10" s="82"/>
      <c r="D10" s="518" t="s">
        <v>965</v>
      </c>
      <c r="E10" s="566" t="s">
        <v>937</v>
      </c>
      <c r="F10" s="567"/>
      <c r="G10" s="574">
        <f>Input_CI!I24</f>
        <v>7</v>
      </c>
      <c r="H10" s="186"/>
      <c r="I10" s="569"/>
      <c r="J10" s="570"/>
      <c r="K10" s="571"/>
      <c r="L10" s="62"/>
      <c r="M10" s="62"/>
      <c r="N10" s="62"/>
      <c r="O10" s="62"/>
      <c r="P10" s="62"/>
      <c r="Q10" s="62"/>
      <c r="R10" s="62"/>
      <c r="S10" s="62"/>
      <c r="T10" s="62"/>
      <c r="U10" s="565">
        <v>6</v>
      </c>
      <c r="V10" s="572" t="s">
        <v>966</v>
      </c>
      <c r="W10" s="572"/>
      <c r="X10" s="565"/>
      <c r="Y10" s="572"/>
      <c r="Z10" s="565"/>
      <c r="AA10" s="572"/>
      <c r="AB10" s="572"/>
      <c r="AC10" s="572"/>
      <c r="AD10" s="575"/>
    </row>
    <row r="11" spans="1:32" ht="15" customHeight="1" x14ac:dyDescent="0.25">
      <c r="A11" s="82"/>
      <c r="B11" s="82"/>
      <c r="C11" s="82"/>
      <c r="D11" s="518" t="s">
        <v>967</v>
      </c>
      <c r="E11" s="576" t="s">
        <v>939</v>
      </c>
      <c r="F11" s="577"/>
      <c r="G11" s="574">
        <f>SUM(Input_CI!I26:I27)</f>
        <v>99</v>
      </c>
      <c r="H11" s="186" t="s">
        <v>968</v>
      </c>
      <c r="I11" s="569"/>
      <c r="J11" s="570"/>
      <c r="K11" s="571"/>
      <c r="L11" s="62"/>
      <c r="M11" s="62"/>
      <c r="N11" s="62"/>
      <c r="O11" s="62"/>
      <c r="P11" s="62"/>
      <c r="Q11" s="62"/>
      <c r="R11" s="62"/>
      <c r="S11" s="62"/>
      <c r="T11" s="62"/>
      <c r="U11" s="565"/>
      <c r="V11" s="565"/>
      <c r="W11" s="565"/>
      <c r="X11" s="565"/>
      <c r="Y11" s="565"/>
      <c r="Z11" s="565"/>
      <c r="AA11" s="565"/>
      <c r="AB11" s="565"/>
      <c r="AC11" s="565"/>
      <c r="AD11" s="565"/>
    </row>
    <row r="12" spans="1:32" ht="15" customHeight="1" x14ac:dyDescent="0.25">
      <c r="A12" s="82"/>
      <c r="B12" s="82"/>
      <c r="C12" s="82"/>
      <c r="D12" s="518" t="s">
        <v>969</v>
      </c>
      <c r="E12" s="576" t="s">
        <v>943</v>
      </c>
      <c r="F12" s="577"/>
      <c r="G12" s="574">
        <f>Input_CI!I45</f>
        <v>600</v>
      </c>
      <c r="H12" s="186" t="s">
        <v>940</v>
      </c>
      <c r="I12" s="569"/>
      <c r="J12" s="570"/>
      <c r="K12" s="571"/>
      <c r="L12" s="62"/>
      <c r="M12" s="62"/>
      <c r="N12" s="62"/>
      <c r="O12" s="62"/>
      <c r="P12" s="62"/>
      <c r="Q12" s="62"/>
      <c r="R12" s="62"/>
      <c r="S12" s="62"/>
      <c r="T12" s="62"/>
      <c r="U12" s="518"/>
      <c r="V12" s="518"/>
      <c r="W12" s="518"/>
      <c r="X12" s="518"/>
      <c r="Y12" s="518"/>
      <c r="Z12" s="518"/>
      <c r="AA12" s="518"/>
      <c r="AB12" s="518"/>
      <c r="AC12" s="518"/>
      <c r="AD12" s="518"/>
    </row>
    <row r="13" spans="1:32" ht="15" customHeight="1" x14ac:dyDescent="0.25">
      <c r="A13" s="82"/>
      <c r="B13" s="82"/>
      <c r="C13" s="82"/>
      <c r="D13" s="518" t="s">
        <v>970</v>
      </c>
      <c r="E13" s="578" t="s">
        <v>945</v>
      </c>
      <c r="F13" s="579"/>
      <c r="G13" s="573">
        <f>Input_CI!I46</f>
        <v>244</v>
      </c>
      <c r="H13" s="186"/>
      <c r="I13" s="569"/>
      <c r="J13" s="570"/>
      <c r="K13" s="571"/>
      <c r="L13" s="62"/>
      <c r="M13" s="62"/>
      <c r="N13" s="62"/>
      <c r="O13" s="62"/>
      <c r="P13" s="62"/>
      <c r="Q13" s="62"/>
      <c r="R13" s="62"/>
      <c r="S13" s="62"/>
      <c r="T13" s="62"/>
      <c r="U13" s="518"/>
      <c r="V13" s="518"/>
      <c r="W13" s="518"/>
      <c r="X13" s="518"/>
      <c r="Y13" s="518"/>
      <c r="Z13" s="518"/>
      <c r="AA13" s="518"/>
      <c r="AB13" s="518"/>
      <c r="AC13" s="518"/>
      <c r="AD13" s="518"/>
    </row>
    <row r="14" spans="1:32" ht="15" customHeight="1" thickBot="1" x14ac:dyDescent="0.3">
      <c r="A14" s="82"/>
      <c r="B14" s="82"/>
      <c r="C14" s="82"/>
      <c r="D14" s="518" t="s">
        <v>971</v>
      </c>
      <c r="E14" s="580" t="s">
        <v>972</v>
      </c>
      <c r="F14" s="581"/>
      <c r="G14" s="582">
        <f>SUM(Input_CI!I30:I31,Input_CI!I35:I37)</f>
        <v>199</v>
      </c>
      <c r="H14" s="583" t="s">
        <v>973</v>
      </c>
      <c r="I14" s="584"/>
      <c r="J14" s="585"/>
      <c r="K14" s="84"/>
      <c r="L14" s="62"/>
      <c r="M14" s="62"/>
      <c r="N14" s="62"/>
      <c r="O14" s="62"/>
      <c r="P14" s="62"/>
      <c r="Q14" s="62"/>
      <c r="R14" s="62"/>
      <c r="S14" s="62"/>
      <c r="T14" s="62"/>
      <c r="U14" s="62"/>
      <c r="V14" s="84"/>
      <c r="W14" s="84"/>
      <c r="X14" s="84"/>
      <c r="Y14" s="84"/>
      <c r="Z14" s="84"/>
      <c r="AA14" s="84"/>
      <c r="AB14" s="84"/>
      <c r="AC14" s="84"/>
      <c r="AD14" s="84"/>
    </row>
    <row r="15" spans="1:32" ht="30" customHeight="1" thickBot="1" x14ac:dyDescent="0.25">
      <c r="A15" s="586" t="str">
        <f>Input_CI!B5</f>
        <v>PROJECT: Promigas CPF Project</v>
      </c>
      <c r="B15" s="586"/>
      <c r="C15" s="587"/>
      <c r="I15" s="588"/>
      <c r="J15" s="588"/>
      <c r="K15" s="588"/>
      <c r="L15" s="588"/>
      <c r="M15" s="589"/>
      <c r="N15" s="589"/>
      <c r="O15" s="588"/>
      <c r="P15" s="588"/>
      <c r="Q15" s="590" t="s">
        <v>974</v>
      </c>
      <c r="R15" s="590" t="s">
        <v>974</v>
      </c>
      <c r="S15" s="590" t="s">
        <v>974</v>
      </c>
      <c r="T15" s="590" t="s">
        <v>974</v>
      </c>
      <c r="U15" s="589"/>
      <c r="V15" s="589"/>
      <c r="W15" s="588"/>
      <c r="X15" s="588"/>
      <c r="Y15" s="588"/>
      <c r="Z15" s="588"/>
      <c r="AD15" s="591">
        <f>Input_CI!AK5</f>
        <v>46255</v>
      </c>
      <c r="AF15" s="63" t="s">
        <v>975</v>
      </c>
    </row>
    <row r="16" spans="1:32" s="176" customFormat="1" ht="24.9" customHeight="1" thickBot="1" x14ac:dyDescent="0.25">
      <c r="A16" s="592" t="s">
        <v>976</v>
      </c>
      <c r="B16" s="592"/>
      <c r="C16" s="592"/>
      <c r="D16" s="592"/>
      <c r="E16" s="592"/>
      <c r="F16" s="592"/>
      <c r="G16" s="592"/>
      <c r="H16" s="592"/>
      <c r="I16" s="592"/>
      <c r="J16" s="592"/>
      <c r="K16" s="592"/>
      <c r="L16" s="592"/>
      <c r="M16" s="592"/>
      <c r="N16" s="592"/>
      <c r="O16" s="592"/>
      <c r="P16" s="592"/>
      <c r="Q16" s="592"/>
      <c r="R16" s="592"/>
      <c r="S16" s="592"/>
      <c r="T16" s="592"/>
      <c r="U16" s="592"/>
      <c r="V16" s="592"/>
      <c r="W16" s="593"/>
      <c r="X16" s="593"/>
      <c r="Y16" s="593"/>
      <c r="Z16" s="593"/>
      <c r="AA16" s="593"/>
      <c r="AB16" s="593"/>
      <c r="AC16" s="593"/>
      <c r="AD16" s="593"/>
    </row>
    <row r="17" spans="1:30" s="176" customFormat="1" ht="34.5" customHeight="1" x14ac:dyDescent="0.2">
      <c r="A17" s="594" t="s">
        <v>977</v>
      </c>
      <c r="B17" s="595" t="s">
        <v>978</v>
      </c>
      <c r="C17" s="595" t="s">
        <v>979</v>
      </c>
      <c r="D17" s="596" t="s">
        <v>980</v>
      </c>
      <c r="E17" s="595"/>
      <c r="F17" s="597" t="s">
        <v>79</v>
      </c>
      <c r="G17" s="597" t="s">
        <v>981</v>
      </c>
      <c r="H17" s="596" t="s">
        <v>427</v>
      </c>
      <c r="I17" s="598" t="s">
        <v>982</v>
      </c>
      <c r="J17" s="599"/>
      <c r="K17" s="599"/>
      <c r="L17" s="599"/>
      <c r="M17" s="599"/>
      <c r="N17" s="600"/>
      <c r="O17" s="91" t="s">
        <v>983</v>
      </c>
      <c r="P17" s="91"/>
      <c r="Q17" s="601" t="s">
        <v>984</v>
      </c>
      <c r="R17" s="602"/>
      <c r="S17" s="601" t="s">
        <v>985</v>
      </c>
      <c r="T17" s="602"/>
      <c r="U17" s="603" t="s">
        <v>986</v>
      </c>
      <c r="V17" s="604"/>
      <c r="W17" s="604"/>
      <c r="X17" s="604"/>
      <c r="Y17" s="604"/>
      <c r="Z17" s="605"/>
      <c r="AA17" s="606" t="s">
        <v>987</v>
      </c>
      <c r="AB17" s="606"/>
      <c r="AC17" s="607"/>
      <c r="AD17" s="608" t="s">
        <v>988</v>
      </c>
    </row>
    <row r="18" spans="1:30" s="176" customFormat="1" ht="34.5" customHeight="1" x14ac:dyDescent="0.2">
      <c r="A18" s="609"/>
      <c r="B18" s="610"/>
      <c r="C18" s="610"/>
      <c r="D18" s="611"/>
      <c r="E18" s="610"/>
      <c r="F18" s="612"/>
      <c r="G18" s="612"/>
      <c r="H18" s="611"/>
      <c r="I18" s="613" t="s">
        <v>989</v>
      </c>
      <c r="J18" s="614"/>
      <c r="K18" s="615" t="s">
        <v>990</v>
      </c>
      <c r="L18" s="614"/>
      <c r="M18" s="615" t="s">
        <v>991</v>
      </c>
      <c r="N18" s="616"/>
      <c r="O18" s="101" t="s">
        <v>992</v>
      </c>
      <c r="P18" s="102"/>
      <c r="Q18" s="100" t="s">
        <v>992</v>
      </c>
      <c r="R18" s="102"/>
      <c r="S18" s="100" t="s">
        <v>992</v>
      </c>
      <c r="T18" s="101"/>
      <c r="U18" s="617" t="s">
        <v>989</v>
      </c>
      <c r="V18" s="618"/>
      <c r="W18" s="619" t="s">
        <v>990</v>
      </c>
      <c r="X18" s="618"/>
      <c r="Y18" s="619" t="s">
        <v>991</v>
      </c>
      <c r="Z18" s="620"/>
      <c r="AA18" s="621" t="s">
        <v>989</v>
      </c>
      <c r="AB18" s="621" t="s">
        <v>990</v>
      </c>
      <c r="AC18" s="622" t="s">
        <v>991</v>
      </c>
      <c r="AD18" s="623"/>
    </row>
    <row r="19" spans="1:30" s="176" customFormat="1" ht="34.5" customHeight="1" x14ac:dyDescent="0.2">
      <c r="A19" s="609"/>
      <c r="B19" s="610"/>
      <c r="C19" s="610"/>
      <c r="D19" s="611"/>
      <c r="E19" s="610"/>
      <c r="F19" s="612"/>
      <c r="G19" s="612"/>
      <c r="H19" s="611"/>
      <c r="I19" s="624" t="s">
        <v>993</v>
      </c>
      <c r="J19" s="625"/>
      <c r="K19" s="626" t="s">
        <v>994</v>
      </c>
      <c r="L19" s="625"/>
      <c r="M19" s="626" t="s">
        <v>995</v>
      </c>
      <c r="N19" s="627"/>
      <c r="O19" s="628" t="s">
        <v>996</v>
      </c>
      <c r="P19" s="629"/>
      <c r="Q19" s="630" t="s">
        <v>996</v>
      </c>
      <c r="R19" s="629"/>
      <c r="S19" s="630" t="s">
        <v>996</v>
      </c>
      <c r="T19" s="631"/>
      <c r="U19" s="632" t="s">
        <v>997</v>
      </c>
      <c r="V19" s="633"/>
      <c r="W19" s="634" t="s">
        <v>998</v>
      </c>
      <c r="X19" s="633"/>
      <c r="Y19" s="634" t="s">
        <v>999</v>
      </c>
      <c r="Z19" s="635"/>
      <c r="AA19" s="636" t="s">
        <v>1000</v>
      </c>
      <c r="AB19" s="637" t="s">
        <v>1001</v>
      </c>
      <c r="AC19" s="638" t="s">
        <v>1002</v>
      </c>
      <c r="AD19" s="623"/>
    </row>
    <row r="20" spans="1:30" s="176" customFormat="1" ht="34.5" customHeight="1" x14ac:dyDescent="0.2">
      <c r="A20" s="639"/>
      <c r="B20" s="640"/>
      <c r="C20" s="640"/>
      <c r="D20" s="641"/>
      <c r="E20" s="640"/>
      <c r="F20" s="642"/>
      <c r="G20" s="642"/>
      <c r="H20" s="641"/>
      <c r="I20" s="643" t="s">
        <v>1003</v>
      </c>
      <c r="J20" s="644" t="s">
        <v>59</v>
      </c>
      <c r="K20" s="644" t="s">
        <v>1003</v>
      </c>
      <c r="L20" s="644" t="s">
        <v>59</v>
      </c>
      <c r="M20" s="644" t="s">
        <v>1003</v>
      </c>
      <c r="N20" s="645" t="s">
        <v>59</v>
      </c>
      <c r="O20" s="646" t="s">
        <v>1003</v>
      </c>
      <c r="P20" s="647" t="s">
        <v>59</v>
      </c>
      <c r="Q20" s="647" t="s">
        <v>1003</v>
      </c>
      <c r="R20" s="647" t="s">
        <v>59</v>
      </c>
      <c r="S20" s="647" t="s">
        <v>1003</v>
      </c>
      <c r="T20" s="648" t="s">
        <v>59</v>
      </c>
      <c r="U20" s="649" t="s">
        <v>1003</v>
      </c>
      <c r="V20" s="650" t="s">
        <v>59</v>
      </c>
      <c r="W20" s="651" t="s">
        <v>1003</v>
      </c>
      <c r="X20" s="650" t="s">
        <v>59</v>
      </c>
      <c r="Y20" s="651" t="s">
        <v>1003</v>
      </c>
      <c r="Z20" s="652" t="s">
        <v>59</v>
      </c>
      <c r="AA20" s="621" t="s">
        <v>987</v>
      </c>
      <c r="AB20" s="653" t="s">
        <v>987</v>
      </c>
      <c r="AC20" s="654" t="s">
        <v>987</v>
      </c>
      <c r="AD20" s="655"/>
    </row>
    <row r="21" spans="1:30" ht="29.25" customHeight="1" x14ac:dyDescent="0.15">
      <c r="A21" s="656" t="s">
        <v>1004</v>
      </c>
      <c r="B21" s="657" t="s">
        <v>672</v>
      </c>
      <c r="C21" s="657" t="s">
        <v>1005</v>
      </c>
      <c r="D21" s="658" t="s">
        <v>95</v>
      </c>
      <c r="E21" s="659" t="s">
        <v>96</v>
      </c>
      <c r="F21" s="660" t="s">
        <v>97</v>
      </c>
      <c r="G21" s="661">
        <v>1</v>
      </c>
      <c r="H21" s="662" t="str">
        <f>Input_CI!$AJ$8</f>
        <v>상</v>
      </c>
      <c r="I21" s="663">
        <f>IF(H21="상",산출기준_CI!F14,IF(H21="중",산출기준_CI!G14,IF(H21="하",산출기준_CI!H14,fault)))</f>
        <v>120</v>
      </c>
      <c r="J21" s="664">
        <f t="shared" ref="J21:J28" si="0">ROUND((G21*I21),0)</f>
        <v>120</v>
      </c>
      <c r="K21" s="665">
        <f>$I21*(1-Input_CI!$F47)</f>
        <v>84</v>
      </c>
      <c r="L21" s="666">
        <f t="shared" ref="L21:L28" si="1">ROUND(K21*G21,0)</f>
        <v>84</v>
      </c>
      <c r="M21" s="665">
        <f>$I21*(1-Input_CI!$F47-Input_CI!$G47)</f>
        <v>72</v>
      </c>
      <c r="N21" s="667">
        <f t="shared" ref="N21:N28" si="2">ROUND(M21*G21,0)</f>
        <v>72</v>
      </c>
      <c r="O21" s="668">
        <f t="shared" ref="O21:P28" si="3">Q21+S21</f>
        <v>51.428571428571431</v>
      </c>
      <c r="P21" s="666">
        <f t="shared" si="3"/>
        <v>51</v>
      </c>
      <c r="Q21" s="665">
        <f>$I21*(Input_CI!$F47)/Input_CI!$AH$75</f>
        <v>51.428571428571431</v>
      </c>
      <c r="R21" s="666">
        <f t="shared" ref="R21:R28" si="4">ROUND(Q21*G21,0)</f>
        <v>51</v>
      </c>
      <c r="S21" s="665"/>
      <c r="T21" s="669"/>
      <c r="U21" s="663"/>
      <c r="V21" s="660"/>
      <c r="W21" s="666"/>
      <c r="X21" s="666"/>
      <c r="Y21" s="665">
        <f>$U21*(1-Input_CI!$H$47)+I21*Input_CI!$G$47/Input_CI!$AH$76</f>
        <v>17.142857142857142</v>
      </c>
      <c r="Z21" s="667">
        <f t="shared" ref="Z21:Z28" si="5">ROUND(Y21*G21,0)</f>
        <v>17</v>
      </c>
      <c r="AA21" s="670">
        <f t="shared" ref="AA21:AA29" si="6">SUM(J21,V21)</f>
        <v>120</v>
      </c>
      <c r="AB21" s="671">
        <f t="shared" ref="AB21:AB29" si="7">L21+P21+X21</f>
        <v>135</v>
      </c>
      <c r="AC21" s="672">
        <f t="shared" ref="AC21:AC29" si="8">N21+P21+Z21</f>
        <v>140</v>
      </c>
      <c r="AD21" s="673"/>
    </row>
    <row r="22" spans="1:30" ht="26.25" customHeight="1" x14ac:dyDescent="0.15">
      <c r="A22" s="674"/>
      <c r="B22" s="675"/>
      <c r="C22" s="675"/>
      <c r="D22" s="676" t="s">
        <v>102</v>
      </c>
      <c r="E22" s="677" t="s">
        <v>677</v>
      </c>
      <c r="F22" s="678" t="s">
        <v>97</v>
      </c>
      <c r="G22" s="679">
        <v>1</v>
      </c>
      <c r="H22" s="680" t="str">
        <f>Input_CI!$AJ$8</f>
        <v>상</v>
      </c>
      <c r="I22" s="681">
        <f>IF(H22="상",산출기준_CI!F15,IF(H22="중",산출기준_CI!G15,IF(H22="하",산출기준_CI!H15,fault)))</f>
        <v>180</v>
      </c>
      <c r="J22" s="682">
        <f t="shared" si="0"/>
        <v>180</v>
      </c>
      <c r="K22" s="683">
        <f>$I22*(1-Input_CI!$F48)</f>
        <v>125.99999999999999</v>
      </c>
      <c r="L22" s="684">
        <f t="shared" si="1"/>
        <v>126</v>
      </c>
      <c r="M22" s="683">
        <f>$I22*(1-Input_CI!$F48-Input_CI!$G48)</f>
        <v>108</v>
      </c>
      <c r="N22" s="685">
        <f t="shared" si="2"/>
        <v>108</v>
      </c>
      <c r="O22" s="686">
        <f t="shared" si="3"/>
        <v>77.142857142857153</v>
      </c>
      <c r="P22" s="684">
        <f t="shared" si="3"/>
        <v>77</v>
      </c>
      <c r="Q22" s="683">
        <f>$I22*(Input_CI!$F48)/Input_CI!$AH$75</f>
        <v>77.142857142857153</v>
      </c>
      <c r="R22" s="684">
        <f t="shared" si="4"/>
        <v>77</v>
      </c>
      <c r="S22" s="683"/>
      <c r="T22" s="687"/>
      <c r="U22" s="681"/>
      <c r="V22" s="678"/>
      <c r="W22" s="684"/>
      <c r="X22" s="684"/>
      <c r="Y22" s="683">
        <f>$U22*(1-Input_CI!$H$48)+I22*Input_CI!$G$48/Input_CI!$AH$76</f>
        <v>25.714285714285715</v>
      </c>
      <c r="Z22" s="685">
        <f t="shared" si="5"/>
        <v>26</v>
      </c>
      <c r="AA22" s="688">
        <f t="shared" si="6"/>
        <v>180</v>
      </c>
      <c r="AB22" s="689">
        <f t="shared" si="7"/>
        <v>203</v>
      </c>
      <c r="AC22" s="690">
        <f t="shared" si="8"/>
        <v>211</v>
      </c>
      <c r="AD22" s="691"/>
    </row>
    <row r="23" spans="1:30" ht="26.25" customHeight="1" x14ac:dyDescent="0.15">
      <c r="A23" s="674"/>
      <c r="B23" s="692"/>
      <c r="C23" s="692"/>
      <c r="D23" s="693" t="s">
        <v>121</v>
      </c>
      <c r="E23" s="694" t="s">
        <v>682</v>
      </c>
      <c r="F23" s="695" t="s">
        <v>97</v>
      </c>
      <c r="G23" s="696">
        <v>1</v>
      </c>
      <c r="H23" s="697" t="str">
        <f>Input_CI!$AJ$8</f>
        <v>상</v>
      </c>
      <c r="I23" s="698">
        <f>IF(H23="상",산출기준_CI!F16,IF(H23="중",산출기준_CI!G16,IF(H23="하",산출기준_CI!H16,fault)))</f>
        <v>80</v>
      </c>
      <c r="J23" s="699">
        <f t="shared" si="0"/>
        <v>80</v>
      </c>
      <c r="K23" s="700">
        <f>$I23*(1-Input_CI!$F49)</f>
        <v>80</v>
      </c>
      <c r="L23" s="701">
        <f t="shared" si="1"/>
        <v>80</v>
      </c>
      <c r="M23" s="700">
        <f>$I23*(1-Input_CI!$F49-Input_CI!$G49)</f>
        <v>80</v>
      </c>
      <c r="N23" s="702">
        <f t="shared" si="2"/>
        <v>80</v>
      </c>
      <c r="O23" s="703">
        <f t="shared" si="3"/>
        <v>0</v>
      </c>
      <c r="P23" s="701">
        <f t="shared" si="3"/>
        <v>0</v>
      </c>
      <c r="Q23" s="700">
        <f>$I23*(Input_CI!$F49)/Input_CI!$AH$75</f>
        <v>0</v>
      </c>
      <c r="R23" s="701">
        <f t="shared" si="4"/>
        <v>0</v>
      </c>
      <c r="S23" s="700"/>
      <c r="T23" s="704"/>
      <c r="U23" s="698"/>
      <c r="V23" s="695"/>
      <c r="W23" s="701"/>
      <c r="X23" s="701"/>
      <c r="Y23" s="700">
        <f>$U23*(1-Input_CI!$H$48)+I23*Input_CI!$G$48/Input_CI!$AH$76</f>
        <v>11.428571428571429</v>
      </c>
      <c r="Z23" s="702">
        <f t="shared" si="5"/>
        <v>11</v>
      </c>
      <c r="AA23" s="705">
        <f t="shared" si="6"/>
        <v>80</v>
      </c>
      <c r="AB23" s="706">
        <f t="shared" si="7"/>
        <v>80</v>
      </c>
      <c r="AC23" s="707">
        <f t="shared" si="8"/>
        <v>91</v>
      </c>
      <c r="AD23" s="708"/>
    </row>
    <row r="24" spans="1:30" ht="21.9" customHeight="1" x14ac:dyDescent="0.15">
      <c r="A24" s="674"/>
      <c r="B24" s="657" t="s">
        <v>1006</v>
      </c>
      <c r="C24" s="657" t="s">
        <v>1007</v>
      </c>
      <c r="D24" s="709" t="s">
        <v>95</v>
      </c>
      <c r="E24" s="659" t="s">
        <v>112</v>
      </c>
      <c r="F24" s="660" t="s">
        <v>97</v>
      </c>
      <c r="G24" s="661">
        <v>1</v>
      </c>
      <c r="H24" s="662" t="str">
        <f>Input_CI!$AJ$8</f>
        <v>상</v>
      </c>
      <c r="I24" s="663">
        <f>IF(H24="상",산출기준_CI!F19,IF(H24="중",산출기준_CI!G19,IF(H24="하",산출기준_CI!H19,fault)))</f>
        <v>340</v>
      </c>
      <c r="J24" s="664">
        <f t="shared" si="0"/>
        <v>340</v>
      </c>
      <c r="K24" s="665">
        <f>$I24*(1-Input_CI!$F50)</f>
        <v>237.99999999999997</v>
      </c>
      <c r="L24" s="666">
        <f t="shared" si="1"/>
        <v>238</v>
      </c>
      <c r="M24" s="665">
        <f>$I24*(1-Input_CI!$F50-Input_CI!$G50)</f>
        <v>204</v>
      </c>
      <c r="N24" s="667">
        <f t="shared" si="2"/>
        <v>204</v>
      </c>
      <c r="O24" s="668">
        <f t="shared" si="3"/>
        <v>145.71428571428572</v>
      </c>
      <c r="P24" s="666">
        <f t="shared" si="3"/>
        <v>146</v>
      </c>
      <c r="Q24" s="665">
        <f>$I24*(Input_CI!$F50)/Input_CI!$AH$75</f>
        <v>145.71428571428572</v>
      </c>
      <c r="R24" s="666">
        <f t="shared" si="4"/>
        <v>146</v>
      </c>
      <c r="S24" s="665"/>
      <c r="T24" s="669"/>
      <c r="U24" s="663"/>
      <c r="V24" s="660"/>
      <c r="W24" s="666"/>
      <c r="X24" s="666"/>
      <c r="Y24" s="665">
        <f>$U24*(1-Input_CI!$H$50)+I24*Input_CI!$G$50/Input_CI!$AH$76</f>
        <v>48.571428571428577</v>
      </c>
      <c r="Z24" s="667">
        <f t="shared" si="5"/>
        <v>49</v>
      </c>
      <c r="AA24" s="670">
        <f t="shared" si="6"/>
        <v>340</v>
      </c>
      <c r="AB24" s="671">
        <f t="shared" si="7"/>
        <v>384</v>
      </c>
      <c r="AC24" s="672">
        <f t="shared" si="8"/>
        <v>399</v>
      </c>
      <c r="AD24" s="710"/>
    </row>
    <row r="25" spans="1:30" ht="21.9" customHeight="1" x14ac:dyDescent="0.15">
      <c r="A25" s="674"/>
      <c r="B25" s="675"/>
      <c r="C25" s="675"/>
      <c r="D25" s="711" t="s">
        <v>102</v>
      </c>
      <c r="E25" s="677" t="s">
        <v>117</v>
      </c>
      <c r="F25" s="678" t="s">
        <v>118</v>
      </c>
      <c r="G25" s="679">
        <f>Input_CI!I51</f>
        <v>5</v>
      </c>
      <c r="H25" s="680" t="str">
        <f>Input_CI!$AJ$8</f>
        <v>상</v>
      </c>
      <c r="I25" s="681">
        <f>IF(H25="상",산출기준_CI!F20,IF(H25="중",산출기준_CI!G20,IF(H25="하",산출기준_CI!H20,fault)))</f>
        <v>80</v>
      </c>
      <c r="J25" s="682">
        <f t="shared" si="0"/>
        <v>400</v>
      </c>
      <c r="K25" s="683">
        <f>$I25*(1-Input_CI!$F51)</f>
        <v>56</v>
      </c>
      <c r="L25" s="684">
        <f t="shared" si="1"/>
        <v>280</v>
      </c>
      <c r="M25" s="683">
        <f>$I25*(1-Input_CI!$F51-Input_CI!$G51)</f>
        <v>48</v>
      </c>
      <c r="N25" s="685">
        <f t="shared" si="2"/>
        <v>240</v>
      </c>
      <c r="O25" s="686">
        <f t="shared" si="3"/>
        <v>34.285714285714285</v>
      </c>
      <c r="P25" s="684">
        <f t="shared" si="3"/>
        <v>171</v>
      </c>
      <c r="Q25" s="683">
        <f>$I25*(Input_CI!$F51)/Input_CI!$AH$75</f>
        <v>34.285714285714285</v>
      </c>
      <c r="R25" s="684">
        <f t="shared" si="4"/>
        <v>171</v>
      </c>
      <c r="S25" s="683"/>
      <c r="T25" s="687"/>
      <c r="U25" s="681"/>
      <c r="V25" s="678"/>
      <c r="W25" s="684"/>
      <c r="X25" s="684"/>
      <c r="Y25" s="683">
        <f>$U25*(1-Input_CI!$H$51)+I25*Input_CI!$G$51/Input_CI!$AH$76</f>
        <v>11.428571428571429</v>
      </c>
      <c r="Z25" s="685">
        <f t="shared" si="5"/>
        <v>57</v>
      </c>
      <c r="AA25" s="688">
        <f t="shared" si="6"/>
        <v>400</v>
      </c>
      <c r="AB25" s="689">
        <f t="shared" si="7"/>
        <v>451</v>
      </c>
      <c r="AC25" s="690">
        <f t="shared" si="8"/>
        <v>468</v>
      </c>
      <c r="AD25" s="712"/>
    </row>
    <row r="26" spans="1:30" ht="21.9" customHeight="1" x14ac:dyDescent="0.15">
      <c r="A26" s="674"/>
      <c r="B26" s="675"/>
      <c r="C26" s="675"/>
      <c r="D26" s="711" t="s">
        <v>121</v>
      </c>
      <c r="E26" s="677" t="s">
        <v>122</v>
      </c>
      <c r="F26" s="678" t="s">
        <v>118</v>
      </c>
      <c r="G26" s="679">
        <f>Input_CI!I52</f>
        <v>5</v>
      </c>
      <c r="H26" s="680" t="str">
        <f>Input_CI!$AJ$8</f>
        <v>상</v>
      </c>
      <c r="I26" s="681">
        <f>IF(H26="상",산출기준_CI!F21,IF(H26="중",산출기준_CI!G21,IF(H26="하",산출기준_CI!H21,fault)))</f>
        <v>80</v>
      </c>
      <c r="J26" s="682">
        <f t="shared" si="0"/>
        <v>400</v>
      </c>
      <c r="K26" s="683">
        <f>$I26*(1-Input_CI!$F52)</f>
        <v>56</v>
      </c>
      <c r="L26" s="684">
        <f t="shared" si="1"/>
        <v>280</v>
      </c>
      <c r="M26" s="683">
        <f>$I26*(1-Input_CI!$F52-Input_CI!$G52)</f>
        <v>48</v>
      </c>
      <c r="N26" s="685">
        <f t="shared" si="2"/>
        <v>240</v>
      </c>
      <c r="O26" s="686">
        <f t="shared" si="3"/>
        <v>34.285714285714285</v>
      </c>
      <c r="P26" s="684">
        <f t="shared" si="3"/>
        <v>171</v>
      </c>
      <c r="Q26" s="683">
        <f>$I26*(Input_CI!$F52)/Input_CI!$AH$75</f>
        <v>34.285714285714285</v>
      </c>
      <c r="R26" s="684">
        <f t="shared" si="4"/>
        <v>171</v>
      </c>
      <c r="S26" s="683"/>
      <c r="T26" s="687"/>
      <c r="U26" s="681"/>
      <c r="V26" s="678"/>
      <c r="W26" s="684"/>
      <c r="X26" s="684"/>
      <c r="Y26" s="683">
        <f>$U26*(1-Input_CI!$H$52)+I26*Input_CI!$G$52/Input_CI!$AH$76</f>
        <v>11.428571428571429</v>
      </c>
      <c r="Z26" s="685">
        <f t="shared" si="5"/>
        <v>57</v>
      </c>
      <c r="AA26" s="688">
        <f t="shared" si="6"/>
        <v>400</v>
      </c>
      <c r="AB26" s="689">
        <f t="shared" si="7"/>
        <v>451</v>
      </c>
      <c r="AC26" s="690">
        <f t="shared" si="8"/>
        <v>468</v>
      </c>
      <c r="AD26" s="712"/>
    </row>
    <row r="27" spans="1:30" ht="21.9" customHeight="1" x14ac:dyDescent="0.15">
      <c r="A27" s="674"/>
      <c r="B27" s="713"/>
      <c r="C27" s="713"/>
      <c r="D27" s="711" t="s">
        <v>125</v>
      </c>
      <c r="E27" s="677" t="s">
        <v>126</v>
      </c>
      <c r="F27" s="678" t="s">
        <v>118</v>
      </c>
      <c r="G27" s="679">
        <f>Input_CI!I53</f>
        <v>0</v>
      </c>
      <c r="H27" s="680" t="str">
        <f>Input_CI!$AJ$8</f>
        <v>상</v>
      </c>
      <c r="I27" s="681">
        <f>IF(H27="상",산출기준_CI!F22,IF(H27="중",산출기준_CI!G22,IF(H27="하",산출기준_CI!H22,fault)))</f>
        <v>400</v>
      </c>
      <c r="J27" s="682">
        <f t="shared" si="0"/>
        <v>0</v>
      </c>
      <c r="K27" s="683">
        <f>$I27*(1-Input_CI!$F53)</f>
        <v>280</v>
      </c>
      <c r="L27" s="684">
        <f t="shared" si="1"/>
        <v>0</v>
      </c>
      <c r="M27" s="683">
        <f>$I27*(1-Input_CI!$F53-Input_CI!$G53)</f>
        <v>240</v>
      </c>
      <c r="N27" s="685">
        <f t="shared" si="2"/>
        <v>0</v>
      </c>
      <c r="O27" s="686">
        <f t="shared" si="3"/>
        <v>171.42857142857144</v>
      </c>
      <c r="P27" s="684">
        <f t="shared" si="3"/>
        <v>0</v>
      </c>
      <c r="Q27" s="683">
        <f>$I27*(Input_CI!$F53)/Input_CI!$AH$75</f>
        <v>171.42857142857144</v>
      </c>
      <c r="R27" s="684">
        <f t="shared" si="4"/>
        <v>0</v>
      </c>
      <c r="S27" s="683"/>
      <c r="T27" s="687"/>
      <c r="U27" s="681"/>
      <c r="V27" s="678"/>
      <c r="W27" s="684"/>
      <c r="X27" s="684"/>
      <c r="Y27" s="683">
        <f>$U27*(1-Input_CI!$H$53)+I27*Input_CI!$G$53/Input_CI!$AH$76</f>
        <v>57.142857142857146</v>
      </c>
      <c r="Z27" s="685">
        <f t="shared" si="5"/>
        <v>0</v>
      </c>
      <c r="AA27" s="688">
        <f t="shared" si="6"/>
        <v>0</v>
      </c>
      <c r="AB27" s="689">
        <f t="shared" si="7"/>
        <v>0</v>
      </c>
      <c r="AC27" s="690">
        <f t="shared" si="8"/>
        <v>0</v>
      </c>
      <c r="AD27" s="712"/>
    </row>
    <row r="28" spans="1:30" ht="21.9" customHeight="1" x14ac:dyDescent="0.15">
      <c r="A28" s="674"/>
      <c r="B28" s="692"/>
      <c r="C28" s="692"/>
      <c r="D28" s="714" t="s">
        <v>1008</v>
      </c>
      <c r="E28" s="694" t="s">
        <v>1009</v>
      </c>
      <c r="F28" s="695" t="s">
        <v>118</v>
      </c>
      <c r="G28" s="696">
        <f>Input_CI!I54</f>
        <v>5</v>
      </c>
      <c r="H28" s="697" t="str">
        <f>Input_CI!$AJ$8</f>
        <v>상</v>
      </c>
      <c r="I28" s="698">
        <f>IF(H28="상",산출기준_CI!F23,IF(H28="중",산출기준_CI!G23,IF(H28="하",산출기준_CI!H23,fault)))</f>
        <v>16</v>
      </c>
      <c r="J28" s="699">
        <f t="shared" si="0"/>
        <v>80</v>
      </c>
      <c r="K28" s="700">
        <f>$I28*(1-Input_CI!$F54)</f>
        <v>11.2</v>
      </c>
      <c r="L28" s="701">
        <f t="shared" si="1"/>
        <v>56</v>
      </c>
      <c r="M28" s="700">
        <f>$I28*(1-Input_CI!$F54-Input_CI!$G54)</f>
        <v>9.6</v>
      </c>
      <c r="N28" s="702">
        <f t="shared" si="2"/>
        <v>48</v>
      </c>
      <c r="O28" s="703">
        <f t="shared" si="3"/>
        <v>6.8571428571428577</v>
      </c>
      <c r="P28" s="701">
        <f t="shared" si="3"/>
        <v>34</v>
      </c>
      <c r="Q28" s="700">
        <f>$I28*(Input_CI!$F54)/Input_CI!$AH$75</f>
        <v>6.8571428571428577</v>
      </c>
      <c r="R28" s="701">
        <f t="shared" si="4"/>
        <v>34</v>
      </c>
      <c r="S28" s="700"/>
      <c r="T28" s="704"/>
      <c r="U28" s="698"/>
      <c r="V28" s="695"/>
      <c r="W28" s="701"/>
      <c r="X28" s="701"/>
      <c r="Y28" s="700">
        <f>$U28*(1-Input_CI!$H$53)+I28*Input_CI!$G$53/Input_CI!$AH$76</f>
        <v>2.285714285714286</v>
      </c>
      <c r="Z28" s="702">
        <f t="shared" si="5"/>
        <v>11</v>
      </c>
      <c r="AA28" s="705">
        <f t="shared" si="6"/>
        <v>80</v>
      </c>
      <c r="AB28" s="706">
        <f t="shared" si="7"/>
        <v>90</v>
      </c>
      <c r="AC28" s="707">
        <f t="shared" si="8"/>
        <v>93</v>
      </c>
      <c r="AD28" s="715"/>
    </row>
    <row r="29" spans="1:30" ht="21.9" customHeight="1" x14ac:dyDescent="0.15">
      <c r="A29" s="674"/>
      <c r="B29" s="716" t="s">
        <v>1010</v>
      </c>
      <c r="C29" s="716"/>
      <c r="D29" s="717"/>
      <c r="E29" s="718"/>
      <c r="F29" s="719"/>
      <c r="G29" s="720"/>
      <c r="H29" s="721"/>
      <c r="I29" s="722"/>
      <c r="J29" s="723">
        <f>SUM(J21:J28)</f>
        <v>1600</v>
      </c>
      <c r="K29" s="724"/>
      <c r="L29" s="725">
        <f>SUM(L21:L28)</f>
        <v>1144</v>
      </c>
      <c r="M29" s="724"/>
      <c r="N29" s="726">
        <f>SUM(N21:N28)</f>
        <v>992</v>
      </c>
      <c r="O29" s="727"/>
      <c r="P29" s="725">
        <f>SUM(P21:P28)</f>
        <v>650</v>
      </c>
      <c r="Q29" s="724"/>
      <c r="R29" s="725">
        <f>SUM(R21:R28)</f>
        <v>650</v>
      </c>
      <c r="S29" s="724"/>
      <c r="T29" s="728">
        <f>SUM(T21:T28)</f>
        <v>0</v>
      </c>
      <c r="U29" s="722"/>
      <c r="V29" s="719">
        <f>SUM(V21:V28)</f>
        <v>0</v>
      </c>
      <c r="W29" s="719"/>
      <c r="X29" s="729">
        <f>SUM(X21:X28)</f>
        <v>0</v>
      </c>
      <c r="Y29" s="730"/>
      <c r="Z29" s="731">
        <f>SUM(Z21:Z28)</f>
        <v>228</v>
      </c>
      <c r="AA29" s="732">
        <f t="shared" si="6"/>
        <v>1600</v>
      </c>
      <c r="AB29" s="733">
        <f t="shared" si="7"/>
        <v>1794</v>
      </c>
      <c r="AC29" s="734">
        <f t="shared" si="8"/>
        <v>1870</v>
      </c>
      <c r="AD29" s="735"/>
    </row>
    <row r="30" spans="1:30" ht="21.9" customHeight="1" x14ac:dyDescent="0.15">
      <c r="A30" s="656" t="s">
        <v>1011</v>
      </c>
      <c r="B30" s="657" t="s">
        <v>1012</v>
      </c>
      <c r="C30" s="657" t="s">
        <v>1013</v>
      </c>
      <c r="D30" s="658" t="s">
        <v>95</v>
      </c>
      <c r="E30" s="736" t="s">
        <v>136</v>
      </c>
      <c r="F30" s="660"/>
      <c r="G30" s="661"/>
      <c r="H30" s="737"/>
      <c r="I30" s="663"/>
      <c r="J30" s="738"/>
      <c r="K30" s="739"/>
      <c r="L30" s="666"/>
      <c r="M30" s="665"/>
      <c r="N30" s="667"/>
      <c r="O30" s="668"/>
      <c r="P30" s="666"/>
      <c r="Q30" s="665"/>
      <c r="R30" s="666"/>
      <c r="S30" s="665"/>
      <c r="T30" s="669"/>
      <c r="U30" s="663"/>
      <c r="V30" s="660"/>
      <c r="W30" s="737"/>
      <c r="X30" s="737"/>
      <c r="Y30" s="740"/>
      <c r="Z30" s="741"/>
      <c r="AA30" s="742"/>
      <c r="AB30" s="743"/>
      <c r="AC30" s="744"/>
      <c r="AD30" s="673"/>
    </row>
    <row r="31" spans="1:30" ht="21.9" customHeight="1" x14ac:dyDescent="0.15">
      <c r="A31" s="674"/>
      <c r="B31" s="675"/>
      <c r="C31" s="675"/>
      <c r="D31" s="745"/>
      <c r="E31" s="746" t="s">
        <v>137</v>
      </c>
      <c r="F31" s="678" t="s">
        <v>138</v>
      </c>
      <c r="G31" s="747">
        <v>0</v>
      </c>
      <c r="H31" s="680" t="str">
        <f>Input_CI!$AJ$21</f>
        <v>중</v>
      </c>
      <c r="I31" s="748">
        <f>IF(H31="상",산출기준_CI!F28,IF(H31="중",산출기준_CI!G28,IF(H31="하",산출기준_CI!H28,fault)))</f>
        <v>120</v>
      </c>
      <c r="J31" s="682">
        <f t="shared" ref="J31:J73" si="9">ROUND((G31*I31),0)</f>
        <v>0</v>
      </c>
      <c r="K31" s="683">
        <f>$I31*(1-Input_CI!$X8)</f>
        <v>84</v>
      </c>
      <c r="L31" s="684">
        <f t="shared" ref="L31:L73" si="10">ROUND(K31*G31,0)</f>
        <v>0</v>
      </c>
      <c r="M31" s="683">
        <f>$I31*(1-Input_CI!$X8-Input_CI!$Y8)</f>
        <v>72</v>
      </c>
      <c r="N31" s="685">
        <f t="shared" ref="N31:N73" si="11">ROUND(M31*G31,0)</f>
        <v>0</v>
      </c>
      <c r="O31" s="686">
        <f t="shared" ref="O31:P72" si="12">Q31+S31</f>
        <v>51.428571428571431</v>
      </c>
      <c r="P31" s="684">
        <f t="shared" si="12"/>
        <v>0</v>
      </c>
      <c r="Q31" s="683">
        <f>$I31*(Input_CI!$X8)/Input_CI!$AH$75</f>
        <v>51.428571428571431</v>
      </c>
      <c r="R31" s="684">
        <f t="shared" ref="R31:R72" si="13">ROUND(Q31*G31,0)</f>
        <v>0</v>
      </c>
      <c r="S31" s="683"/>
      <c r="T31" s="687"/>
      <c r="U31" s="681"/>
      <c r="V31" s="678"/>
      <c r="W31" s="684"/>
      <c r="X31" s="684"/>
      <c r="Y31" s="683">
        <f>$U31*(1-Input_CI!$Z8)+I31*Input_CI!$Y8/Input_CI!$AH$76</f>
        <v>17.142857142857142</v>
      </c>
      <c r="Z31" s="685">
        <f t="shared" ref="Z31:Z72" si="14">ROUND(Y31*G31,0)</f>
        <v>0</v>
      </c>
      <c r="AA31" s="688">
        <f t="shared" ref="AA31:AA73" si="15">SUM(J31,V31)</f>
        <v>0</v>
      </c>
      <c r="AB31" s="689">
        <f t="shared" ref="AB31:AB73" si="16">L31+P31+X31</f>
        <v>0</v>
      </c>
      <c r="AC31" s="690">
        <f t="shared" ref="AC31:AC73" si="17">N31+P31+Z31</f>
        <v>0</v>
      </c>
      <c r="AD31" s="691"/>
    </row>
    <row r="32" spans="1:30" ht="21.9" customHeight="1" x14ac:dyDescent="0.15">
      <c r="A32" s="674"/>
      <c r="B32" s="675"/>
      <c r="C32" s="675"/>
      <c r="D32" s="745"/>
      <c r="E32" s="746" t="s">
        <v>1014</v>
      </c>
      <c r="F32" s="678" t="s">
        <v>138</v>
      </c>
      <c r="G32" s="747">
        <v>0</v>
      </c>
      <c r="H32" s="680" t="str">
        <f>Input_CI!$AJ$24</f>
        <v>중</v>
      </c>
      <c r="I32" s="748">
        <f>IF(H32="상",산출기준_CI!F29,IF(H32="중",산출기준_CI!G29,IF(H32="하",산출기준_CI!H29,fault)))</f>
        <v>70</v>
      </c>
      <c r="J32" s="682">
        <f t="shared" si="9"/>
        <v>0</v>
      </c>
      <c r="K32" s="683">
        <f>$I32*(1-Input_CI!$X9)</f>
        <v>49</v>
      </c>
      <c r="L32" s="684">
        <f t="shared" si="10"/>
        <v>0</v>
      </c>
      <c r="M32" s="683">
        <f>$I32*(1-Input_CI!$X9-Input_CI!$Y9)</f>
        <v>42</v>
      </c>
      <c r="N32" s="685">
        <f t="shared" si="11"/>
        <v>0</v>
      </c>
      <c r="O32" s="686">
        <f t="shared" si="12"/>
        <v>30.000000000000004</v>
      </c>
      <c r="P32" s="684">
        <f t="shared" si="12"/>
        <v>0</v>
      </c>
      <c r="Q32" s="683">
        <f>$I32*(Input_CI!$X9)/Input_CI!$AH$75</f>
        <v>30.000000000000004</v>
      </c>
      <c r="R32" s="684">
        <f t="shared" si="13"/>
        <v>0</v>
      </c>
      <c r="S32" s="683"/>
      <c r="T32" s="687"/>
      <c r="U32" s="681"/>
      <c r="V32" s="678"/>
      <c r="W32" s="684"/>
      <c r="X32" s="684"/>
      <c r="Y32" s="683">
        <f>$U32*(1-Input_CI!$Z9)+I32*Input_CI!$Y9/Input_CI!$AH$76</f>
        <v>10</v>
      </c>
      <c r="Z32" s="685">
        <f t="shared" si="14"/>
        <v>0</v>
      </c>
      <c r="AA32" s="688">
        <f t="shared" si="15"/>
        <v>0</v>
      </c>
      <c r="AB32" s="689">
        <f t="shared" si="16"/>
        <v>0</v>
      </c>
      <c r="AC32" s="690">
        <f t="shared" si="17"/>
        <v>0</v>
      </c>
      <c r="AD32" s="691"/>
    </row>
    <row r="33" spans="1:30" ht="21.9" customHeight="1" x14ac:dyDescent="0.15">
      <c r="A33" s="674"/>
      <c r="B33" s="675"/>
      <c r="C33" s="675"/>
      <c r="D33" s="745"/>
      <c r="E33" s="746" t="s">
        <v>141</v>
      </c>
      <c r="F33" s="678" t="s">
        <v>138</v>
      </c>
      <c r="G33" s="747">
        <v>0</v>
      </c>
      <c r="H33" s="680" t="str">
        <f>Input_CI!$AJ$27</f>
        <v>중</v>
      </c>
      <c r="I33" s="748">
        <f>IF(H33="상",산출기준_CI!F30,IF(H33="중",산출기준_CI!G30,IF(H33="하",산출기준_CI!H30,fault)))</f>
        <v>35</v>
      </c>
      <c r="J33" s="682">
        <f t="shared" si="9"/>
        <v>0</v>
      </c>
      <c r="K33" s="683">
        <f>$I33*(1-Input_CI!$X10)</f>
        <v>24.5</v>
      </c>
      <c r="L33" s="684">
        <f t="shared" si="10"/>
        <v>0</v>
      </c>
      <c r="M33" s="683">
        <f>$I33*(1-Input_CI!$X10-Input_CI!$Y10)</f>
        <v>21</v>
      </c>
      <c r="N33" s="685">
        <f t="shared" si="11"/>
        <v>0</v>
      </c>
      <c r="O33" s="686">
        <f t="shared" si="12"/>
        <v>15.000000000000002</v>
      </c>
      <c r="P33" s="684">
        <f t="shared" si="12"/>
        <v>0</v>
      </c>
      <c r="Q33" s="683">
        <f>$I33*(Input_CI!$X10)/Input_CI!$AH$75</f>
        <v>15.000000000000002</v>
      </c>
      <c r="R33" s="684">
        <f t="shared" si="13"/>
        <v>0</v>
      </c>
      <c r="S33" s="683"/>
      <c r="T33" s="687"/>
      <c r="U33" s="681"/>
      <c r="V33" s="678"/>
      <c r="W33" s="684"/>
      <c r="X33" s="684"/>
      <c r="Y33" s="683">
        <f>$U33*(1-Input_CI!$Z10)+I33*Input_CI!$Y10/Input_CI!$AH$76</f>
        <v>5</v>
      </c>
      <c r="Z33" s="685">
        <f t="shared" si="14"/>
        <v>0</v>
      </c>
      <c r="AA33" s="688">
        <f t="shared" si="15"/>
        <v>0</v>
      </c>
      <c r="AB33" s="689">
        <f t="shared" si="16"/>
        <v>0</v>
      </c>
      <c r="AC33" s="690">
        <f t="shared" si="17"/>
        <v>0</v>
      </c>
      <c r="AD33" s="691"/>
    </row>
    <row r="34" spans="1:30" ht="21.9" customHeight="1" x14ac:dyDescent="0.15">
      <c r="A34" s="674"/>
      <c r="B34" s="675"/>
      <c r="C34" s="675"/>
      <c r="D34" s="745"/>
      <c r="E34" s="746" t="s">
        <v>142</v>
      </c>
      <c r="F34" s="678" t="s">
        <v>138</v>
      </c>
      <c r="G34" s="747">
        <v>0</v>
      </c>
      <c r="H34" s="680" t="str">
        <f>Input_CI!$AJ$30</f>
        <v>중</v>
      </c>
      <c r="I34" s="748">
        <f>IF(H34="상",산출기준_CI!F31,IF(H34="중",산출기준_CI!G31,IF(H34="하",산출기준_CI!H31,fault)))</f>
        <v>35</v>
      </c>
      <c r="J34" s="682">
        <f t="shared" si="9"/>
        <v>0</v>
      </c>
      <c r="K34" s="683">
        <f>$I34*(1-Input_CI!$X11)</f>
        <v>24.5</v>
      </c>
      <c r="L34" s="684">
        <f t="shared" si="10"/>
        <v>0</v>
      </c>
      <c r="M34" s="683">
        <f>$I34*(1-Input_CI!$X11-Input_CI!$Y11)</f>
        <v>21</v>
      </c>
      <c r="N34" s="685">
        <f t="shared" si="11"/>
        <v>0</v>
      </c>
      <c r="O34" s="686">
        <f t="shared" si="12"/>
        <v>15.000000000000002</v>
      </c>
      <c r="P34" s="684">
        <f t="shared" si="12"/>
        <v>0</v>
      </c>
      <c r="Q34" s="683">
        <f>$I34*(Input_CI!$X11)/Input_CI!$AH$75</f>
        <v>15.000000000000002</v>
      </c>
      <c r="R34" s="684">
        <f t="shared" si="13"/>
        <v>0</v>
      </c>
      <c r="S34" s="683"/>
      <c r="T34" s="687"/>
      <c r="U34" s="681"/>
      <c r="V34" s="678"/>
      <c r="W34" s="684"/>
      <c r="X34" s="684"/>
      <c r="Y34" s="683">
        <f>$U34*(1-Input_CI!$Z11)+I34*Input_CI!$Y11/Input_CI!$AH$76</f>
        <v>5</v>
      </c>
      <c r="Z34" s="685">
        <f t="shared" si="14"/>
        <v>0</v>
      </c>
      <c r="AA34" s="688">
        <f t="shared" si="15"/>
        <v>0</v>
      </c>
      <c r="AB34" s="689">
        <f t="shared" si="16"/>
        <v>0</v>
      </c>
      <c r="AC34" s="690">
        <f t="shared" si="17"/>
        <v>0</v>
      </c>
      <c r="AD34" s="691"/>
    </row>
    <row r="35" spans="1:30" ht="30" customHeight="1" x14ac:dyDescent="0.15">
      <c r="A35" s="674"/>
      <c r="B35" s="713"/>
      <c r="C35" s="713"/>
      <c r="D35" s="749" t="s">
        <v>102</v>
      </c>
      <c r="E35" s="750" t="s">
        <v>143</v>
      </c>
      <c r="F35" s="751" t="s">
        <v>97</v>
      </c>
      <c r="G35" s="752">
        <v>1</v>
      </c>
      <c r="H35" s="753" t="str">
        <f>Input_CI!$AJ$33</f>
        <v>상</v>
      </c>
      <c r="I35" s="748">
        <f>IF(H35="상",산출기준_CI!F32,IF(H35="중",산출기준_CI!G32,IF(H35="하",산출기준_CI!H32,fault)))</f>
        <v>340</v>
      </c>
      <c r="J35" s="754">
        <f t="shared" si="9"/>
        <v>340</v>
      </c>
      <c r="K35" s="755">
        <f>$I35*(1-Input_CI!$X12)</f>
        <v>237.99999999999997</v>
      </c>
      <c r="L35" s="756">
        <f t="shared" si="10"/>
        <v>238</v>
      </c>
      <c r="M35" s="755">
        <f>$I35*(1-Input_CI!$X12-Input_CI!$Y12)</f>
        <v>204</v>
      </c>
      <c r="N35" s="757">
        <f t="shared" si="11"/>
        <v>204</v>
      </c>
      <c r="O35" s="758">
        <f t="shared" si="12"/>
        <v>145.71428571428572</v>
      </c>
      <c r="P35" s="756">
        <f t="shared" si="12"/>
        <v>146</v>
      </c>
      <c r="Q35" s="755">
        <f>$I35*(Input_CI!$X12)/Input_CI!$AH$75</f>
        <v>145.71428571428572</v>
      </c>
      <c r="R35" s="756">
        <f t="shared" si="13"/>
        <v>146</v>
      </c>
      <c r="S35" s="755"/>
      <c r="T35" s="759"/>
      <c r="U35" s="760"/>
      <c r="V35" s="761"/>
      <c r="W35" s="756"/>
      <c r="X35" s="756"/>
      <c r="Y35" s="755">
        <f>$U35*(1-Input_CI!$Z12)+I35*Input_CI!$Y12/Input_CI!$AH$76</f>
        <v>48.571428571428577</v>
      </c>
      <c r="Z35" s="757">
        <f t="shared" si="14"/>
        <v>49</v>
      </c>
      <c r="AA35" s="762">
        <f t="shared" si="15"/>
        <v>340</v>
      </c>
      <c r="AB35" s="763">
        <f t="shared" si="16"/>
        <v>384</v>
      </c>
      <c r="AC35" s="764">
        <f t="shared" si="17"/>
        <v>399</v>
      </c>
      <c r="AD35" s="765"/>
    </row>
    <row r="36" spans="1:30" s="176" customFormat="1" ht="50.1" customHeight="1" x14ac:dyDescent="0.2">
      <c r="A36" s="674"/>
      <c r="B36" s="657" t="s">
        <v>1015</v>
      </c>
      <c r="C36" s="657" t="s">
        <v>1016</v>
      </c>
      <c r="D36" s="658" t="s">
        <v>95</v>
      </c>
      <c r="E36" s="766" t="s">
        <v>468</v>
      </c>
      <c r="F36" s="767" t="s">
        <v>147</v>
      </c>
      <c r="G36" s="768">
        <f>ROUNDUP((G5+G6+G7+G8+G9+G10+G11),0)</f>
        <v>1539</v>
      </c>
      <c r="H36" s="662" t="str">
        <f>Input_CI!$AJ$34</f>
        <v>SPI-외부</v>
      </c>
      <c r="I36" s="769">
        <f>IF(H36="SPI-내부",산출기준_CI!E35,산출기준_CI!G35)</f>
        <v>0.5</v>
      </c>
      <c r="J36" s="664">
        <f t="shared" si="9"/>
        <v>770</v>
      </c>
      <c r="K36" s="770">
        <f>$I36*(1-Input_CI!$X13)</f>
        <v>0.35</v>
      </c>
      <c r="L36" s="666">
        <f t="shared" si="10"/>
        <v>539</v>
      </c>
      <c r="M36" s="770">
        <f>$I36*(1-Input_CI!$X13-Input_CI!$Y13)</f>
        <v>0.3</v>
      </c>
      <c r="N36" s="667">
        <f t="shared" si="11"/>
        <v>462</v>
      </c>
      <c r="O36" s="771">
        <f t="shared" si="12"/>
        <v>0.2742857142857143</v>
      </c>
      <c r="P36" s="666">
        <f t="shared" si="12"/>
        <v>422</v>
      </c>
      <c r="Q36" s="770">
        <f>$I36*(Input_CI!$X13)/Input_CI!$AH$75</f>
        <v>0.2142857142857143</v>
      </c>
      <c r="R36" s="666">
        <f t="shared" si="13"/>
        <v>330</v>
      </c>
      <c r="S36" s="770">
        <f>U36*Input_CI!$Z13</f>
        <v>0.06</v>
      </c>
      <c r="T36" s="669">
        <f>ROUND(S36*G36,0)</f>
        <v>92</v>
      </c>
      <c r="U36" s="772">
        <f>IF(H36="SPI-외부",산출기준_CI!I35,산출기준_CI!K35)</f>
        <v>0.2</v>
      </c>
      <c r="V36" s="666">
        <f>ROUND((G36*U36),0)</f>
        <v>308</v>
      </c>
      <c r="W36" s="770">
        <f>$U36*(1-Input_CI!$Z13)</f>
        <v>0.13999999999999999</v>
      </c>
      <c r="X36" s="666">
        <f>ROUND(W36*G36,0)</f>
        <v>215</v>
      </c>
      <c r="Y36" s="770">
        <f>$U36*(1-Input_CI!$Z13)+I36*Input_CI!$Y13/Input_CI!$AH$76</f>
        <v>0.21142857142857141</v>
      </c>
      <c r="Z36" s="667">
        <f t="shared" si="14"/>
        <v>325</v>
      </c>
      <c r="AA36" s="670">
        <f t="shared" si="15"/>
        <v>1078</v>
      </c>
      <c r="AB36" s="671">
        <f t="shared" si="16"/>
        <v>1176</v>
      </c>
      <c r="AC36" s="672">
        <f t="shared" si="17"/>
        <v>1209</v>
      </c>
      <c r="AD36" s="773" t="s">
        <v>1017</v>
      </c>
    </row>
    <row r="37" spans="1:30" s="176" customFormat="1" ht="21.9" customHeight="1" x14ac:dyDescent="0.2">
      <c r="A37" s="674"/>
      <c r="B37" s="675"/>
      <c r="C37" s="675"/>
      <c r="D37" s="676" t="s">
        <v>102</v>
      </c>
      <c r="E37" s="774" t="s">
        <v>151</v>
      </c>
      <c r="F37" s="775" t="s">
        <v>152</v>
      </c>
      <c r="G37" s="776">
        <f>ROUNDUP((G4),0)</f>
        <v>6300</v>
      </c>
      <c r="H37" s="680" t="str">
        <f>Input_CI!$AJ$37</f>
        <v>SPI-외부</v>
      </c>
      <c r="I37" s="748">
        <f>IF(H37="SPI-내부",산출기준_CI!E36,산출기준_CI!G36)</f>
        <v>0.3</v>
      </c>
      <c r="J37" s="682">
        <f t="shared" si="9"/>
        <v>1890</v>
      </c>
      <c r="K37" s="777">
        <f>$I37*(1-Input_CI!$X14)</f>
        <v>0.21</v>
      </c>
      <c r="L37" s="684">
        <f t="shared" si="10"/>
        <v>1323</v>
      </c>
      <c r="M37" s="777">
        <f>$I37*(1-Input_CI!$X14-Input_CI!$Y14)</f>
        <v>0.18</v>
      </c>
      <c r="N37" s="685">
        <f t="shared" si="11"/>
        <v>1134</v>
      </c>
      <c r="O37" s="778">
        <f t="shared" si="12"/>
        <v>0.21857142857142858</v>
      </c>
      <c r="P37" s="684">
        <f t="shared" si="12"/>
        <v>1377</v>
      </c>
      <c r="Q37" s="777">
        <f>$I37*(Input_CI!$X14)/Input_CI!$AH$75</f>
        <v>0.12857142857142859</v>
      </c>
      <c r="R37" s="684">
        <f t="shared" si="13"/>
        <v>810</v>
      </c>
      <c r="S37" s="777">
        <f>U37*Input_CI!$Z14</f>
        <v>0.09</v>
      </c>
      <c r="T37" s="687">
        <f>ROUND(S37*G37,0)</f>
        <v>567</v>
      </c>
      <c r="U37" s="779">
        <f>IF(H37="SPI-외부",산출기준_CI!I36,산출기준_CI!K36)</f>
        <v>0.3</v>
      </c>
      <c r="V37" s="684">
        <f>ROUND((G37*U37),0)</f>
        <v>1890</v>
      </c>
      <c r="W37" s="777">
        <f>$U37*(1-Input_CI!$Z14)</f>
        <v>0.21</v>
      </c>
      <c r="X37" s="684">
        <f>ROUND(W37*G37,0)</f>
        <v>1323</v>
      </c>
      <c r="Y37" s="777">
        <f>$U37*(1-Input_CI!$Z14)+I37*Input_CI!$Y14/Input_CI!$AH$76</f>
        <v>0.25285714285714284</v>
      </c>
      <c r="Z37" s="685">
        <f t="shared" si="14"/>
        <v>1593</v>
      </c>
      <c r="AA37" s="688">
        <f t="shared" si="15"/>
        <v>3780</v>
      </c>
      <c r="AB37" s="689">
        <f t="shared" si="16"/>
        <v>4023</v>
      </c>
      <c r="AC37" s="690">
        <f t="shared" si="17"/>
        <v>4104</v>
      </c>
      <c r="AD37" s="780" t="s">
        <v>1017</v>
      </c>
    </row>
    <row r="38" spans="1:30" s="176" customFormat="1" ht="21.9" customHeight="1" x14ac:dyDescent="0.2">
      <c r="A38" s="674"/>
      <c r="B38" s="675"/>
      <c r="C38" s="675"/>
      <c r="D38" s="676" t="s">
        <v>121</v>
      </c>
      <c r="E38" s="774" t="s">
        <v>155</v>
      </c>
      <c r="F38" s="781" t="s">
        <v>156</v>
      </c>
      <c r="G38" s="782">
        <v>0</v>
      </c>
      <c r="H38" s="680" t="str">
        <f>Input_CI!$AJ$40</f>
        <v>상</v>
      </c>
      <c r="I38" s="748">
        <f>IF(H38="상",산출기준_CI!F37,IF(H38="중",산출기준_CI!G37,IF(H38="하",산출기준_CI!H37,fault)))</f>
        <v>0.3</v>
      </c>
      <c r="J38" s="682">
        <f t="shared" si="9"/>
        <v>0</v>
      </c>
      <c r="K38" s="777">
        <f>$I38*(1-Input_CI!$X15)</f>
        <v>0.21</v>
      </c>
      <c r="L38" s="684">
        <f t="shared" si="10"/>
        <v>0</v>
      </c>
      <c r="M38" s="777">
        <f>$I38*(1-Input_CI!$X15-Input_CI!$Y15)</f>
        <v>0.18</v>
      </c>
      <c r="N38" s="685">
        <f t="shared" si="11"/>
        <v>0</v>
      </c>
      <c r="O38" s="778">
        <f t="shared" si="12"/>
        <v>1.3285714285714285</v>
      </c>
      <c r="P38" s="684">
        <f t="shared" si="12"/>
        <v>0</v>
      </c>
      <c r="Q38" s="777">
        <f>$I38*(Input_CI!$X15)/Input_CI!$AH$75</f>
        <v>0.12857142857142859</v>
      </c>
      <c r="R38" s="684">
        <f t="shared" si="13"/>
        <v>0</v>
      </c>
      <c r="S38" s="777">
        <f>U38*Input_CI!$Z15</f>
        <v>1.2</v>
      </c>
      <c r="T38" s="687">
        <f>ROUND(S38*G38,0)</f>
        <v>0</v>
      </c>
      <c r="U38" s="748">
        <f>IF(H38="상",산출기준_CI!J37,IF(H38="중",산출기준_CI!K37,IF(H38="하",산출기준_CI!L37,fault)))</f>
        <v>4</v>
      </c>
      <c r="V38" s="684">
        <f>ROUND((G38*U38),0)</f>
        <v>0</v>
      </c>
      <c r="W38" s="777">
        <f>$U38*(1-Input_CI!$Z15)</f>
        <v>2.8</v>
      </c>
      <c r="X38" s="684">
        <f>ROUND(W38*G38,0)</f>
        <v>0</v>
      </c>
      <c r="Y38" s="777">
        <f>$U38*(1-Input_CI!$Z15)+I38*Input_CI!$Y15/Input_CI!$AH$76</f>
        <v>2.8428571428571425</v>
      </c>
      <c r="Z38" s="685">
        <f t="shared" si="14"/>
        <v>0</v>
      </c>
      <c r="AA38" s="688">
        <f t="shared" si="15"/>
        <v>0</v>
      </c>
      <c r="AB38" s="689">
        <f t="shared" si="16"/>
        <v>0</v>
      </c>
      <c r="AC38" s="690">
        <f t="shared" si="17"/>
        <v>0</v>
      </c>
      <c r="AD38" s="780"/>
    </row>
    <row r="39" spans="1:30" s="176" customFormat="1" ht="18.75" customHeight="1" x14ac:dyDescent="0.2">
      <c r="A39" s="674"/>
      <c r="B39" s="675"/>
      <c r="C39" s="675"/>
      <c r="D39" s="676" t="s">
        <v>125</v>
      </c>
      <c r="E39" s="783" t="s">
        <v>1018</v>
      </c>
      <c r="F39" s="781" t="s">
        <v>97</v>
      </c>
      <c r="G39" s="776">
        <v>1</v>
      </c>
      <c r="H39" s="784" t="s">
        <v>114</v>
      </c>
      <c r="I39" s="785">
        <f>산출기준_CI!G38</f>
        <v>50</v>
      </c>
      <c r="J39" s="682">
        <f t="shared" si="9"/>
        <v>50</v>
      </c>
      <c r="K39" s="683">
        <f>$I39*(1-Input_CI!$X16)</f>
        <v>35</v>
      </c>
      <c r="L39" s="684">
        <f t="shared" si="10"/>
        <v>35</v>
      </c>
      <c r="M39" s="683">
        <f>$I39*(1-Input_CI!$X16-Input_CI!$Y16)</f>
        <v>30</v>
      </c>
      <c r="N39" s="685">
        <f t="shared" si="11"/>
        <v>30</v>
      </c>
      <c r="O39" s="686">
        <f t="shared" si="12"/>
        <v>21.428571428571431</v>
      </c>
      <c r="P39" s="684">
        <f t="shared" si="12"/>
        <v>21</v>
      </c>
      <c r="Q39" s="683">
        <f>$I39*(Input_CI!$X16)/Input_CI!$AH$75</f>
        <v>21.428571428571431</v>
      </c>
      <c r="R39" s="684">
        <f t="shared" si="13"/>
        <v>21</v>
      </c>
      <c r="S39" s="683"/>
      <c r="T39" s="687"/>
      <c r="U39" s="785"/>
      <c r="V39" s="684"/>
      <c r="W39" s="684"/>
      <c r="X39" s="684"/>
      <c r="Y39" s="683">
        <f>$U39*(1-Input_CI!$Z16)+I39*Input_CI!$Y16/Input_CI!$AH$76</f>
        <v>7.1428571428571432</v>
      </c>
      <c r="Z39" s="685">
        <f t="shared" si="14"/>
        <v>7</v>
      </c>
      <c r="AA39" s="688">
        <f t="shared" si="15"/>
        <v>50</v>
      </c>
      <c r="AB39" s="689">
        <f t="shared" si="16"/>
        <v>56</v>
      </c>
      <c r="AC39" s="690">
        <f t="shared" si="17"/>
        <v>58</v>
      </c>
      <c r="AD39" s="780"/>
    </row>
    <row r="40" spans="1:30" s="176" customFormat="1" ht="18.75" customHeight="1" x14ac:dyDescent="0.2">
      <c r="A40" s="674"/>
      <c r="B40" s="675"/>
      <c r="C40" s="675"/>
      <c r="D40" s="676" t="s">
        <v>1008</v>
      </c>
      <c r="E40" s="783" t="s">
        <v>1019</v>
      </c>
      <c r="F40" s="781" t="s">
        <v>97</v>
      </c>
      <c r="G40" s="776">
        <v>1</v>
      </c>
      <c r="H40" s="784" t="s">
        <v>114</v>
      </c>
      <c r="I40" s="785">
        <f>산출기준_CI!G39</f>
        <v>50</v>
      </c>
      <c r="J40" s="682">
        <f t="shared" si="9"/>
        <v>50</v>
      </c>
      <c r="K40" s="683">
        <f>$I40*(1-Input_CI!$X17)</f>
        <v>35</v>
      </c>
      <c r="L40" s="684">
        <f t="shared" si="10"/>
        <v>35</v>
      </c>
      <c r="M40" s="683">
        <f>$I40*(1-Input_CI!$X17-Input_CI!$Y17)</f>
        <v>30</v>
      </c>
      <c r="N40" s="685">
        <f t="shared" si="11"/>
        <v>30</v>
      </c>
      <c r="O40" s="686">
        <f t="shared" si="12"/>
        <v>21.428571428571431</v>
      </c>
      <c r="P40" s="684">
        <f t="shared" si="12"/>
        <v>21</v>
      </c>
      <c r="Q40" s="683">
        <f>$I40*(Input_CI!$X17)/Input_CI!$AH$75</f>
        <v>21.428571428571431</v>
      </c>
      <c r="R40" s="684">
        <f t="shared" si="13"/>
        <v>21</v>
      </c>
      <c r="S40" s="683"/>
      <c r="T40" s="687"/>
      <c r="U40" s="785"/>
      <c r="V40" s="684"/>
      <c r="W40" s="684"/>
      <c r="X40" s="684"/>
      <c r="Y40" s="683">
        <f>$U40*(1-Input_CI!$Z17)+I40*Input_CI!$Y17/Input_CI!$AH$76</f>
        <v>7.1428571428571432</v>
      </c>
      <c r="Z40" s="685">
        <f t="shared" si="14"/>
        <v>7</v>
      </c>
      <c r="AA40" s="688">
        <f t="shared" si="15"/>
        <v>50</v>
      </c>
      <c r="AB40" s="689">
        <f t="shared" si="16"/>
        <v>56</v>
      </c>
      <c r="AC40" s="690">
        <f t="shared" si="17"/>
        <v>58</v>
      </c>
      <c r="AD40" s="780"/>
    </row>
    <row r="41" spans="1:30" s="176" customFormat="1" ht="18.75" customHeight="1" x14ac:dyDescent="0.2">
      <c r="A41" s="674"/>
      <c r="B41" s="675"/>
      <c r="C41" s="675"/>
      <c r="D41" s="676" t="s">
        <v>1020</v>
      </c>
      <c r="E41" s="786" t="s">
        <v>1021</v>
      </c>
      <c r="F41" s="781" t="s">
        <v>97</v>
      </c>
      <c r="G41" s="776">
        <v>1</v>
      </c>
      <c r="H41" s="784" t="s">
        <v>114</v>
      </c>
      <c r="I41" s="785">
        <f>산출기준_CI!G40</f>
        <v>100</v>
      </c>
      <c r="J41" s="682">
        <f t="shared" si="9"/>
        <v>100</v>
      </c>
      <c r="K41" s="683">
        <f>$I41*(1-Input_CI!$X18)</f>
        <v>70</v>
      </c>
      <c r="L41" s="684">
        <f t="shared" si="10"/>
        <v>70</v>
      </c>
      <c r="M41" s="683">
        <f>$I41*(1-Input_CI!$X18-Input_CI!$Y18)</f>
        <v>60</v>
      </c>
      <c r="N41" s="685">
        <f t="shared" si="11"/>
        <v>60</v>
      </c>
      <c r="O41" s="686">
        <f t="shared" si="12"/>
        <v>72.857142857142861</v>
      </c>
      <c r="P41" s="684">
        <f t="shared" si="12"/>
        <v>73</v>
      </c>
      <c r="Q41" s="683">
        <f>$I41*(Input_CI!$X18)/Input_CI!$AH$75</f>
        <v>42.857142857142861</v>
      </c>
      <c r="R41" s="684">
        <f t="shared" si="13"/>
        <v>43</v>
      </c>
      <c r="S41" s="683">
        <f>U41*Input_CI!$Z18</f>
        <v>30</v>
      </c>
      <c r="T41" s="687">
        <f>ROUND(S41*G41,0)</f>
        <v>30</v>
      </c>
      <c r="U41" s="785">
        <f>산출기준_CI!K40</f>
        <v>100</v>
      </c>
      <c r="V41" s="684">
        <f>ROUND((G41*U41),0)</f>
        <v>100</v>
      </c>
      <c r="W41" s="787">
        <f>$U41*(1-Input_CI!$Z18)</f>
        <v>70</v>
      </c>
      <c r="X41" s="684">
        <f>ROUND(W41*G41,0)</f>
        <v>70</v>
      </c>
      <c r="Y41" s="683">
        <f>$U41*(1-Input_CI!$Z18)+I41*Input_CI!$Y18/Input_CI!$AH$76</f>
        <v>84.285714285714292</v>
      </c>
      <c r="Z41" s="685">
        <f t="shared" si="14"/>
        <v>84</v>
      </c>
      <c r="AA41" s="688">
        <f t="shared" si="15"/>
        <v>200</v>
      </c>
      <c r="AB41" s="689">
        <f t="shared" si="16"/>
        <v>213</v>
      </c>
      <c r="AC41" s="690">
        <f t="shared" si="17"/>
        <v>217</v>
      </c>
      <c r="AD41" s="780"/>
    </row>
    <row r="42" spans="1:30" s="176" customFormat="1" ht="21.75" customHeight="1" x14ac:dyDescent="0.2">
      <c r="A42" s="674"/>
      <c r="B42" s="675"/>
      <c r="C42" s="675"/>
      <c r="D42" s="676" t="s">
        <v>1022</v>
      </c>
      <c r="E42" s="788" t="s">
        <v>173</v>
      </c>
      <c r="F42" s="781" t="s">
        <v>147</v>
      </c>
      <c r="G42" s="776">
        <f>G8+G9+G10+G11+G14</f>
        <v>555</v>
      </c>
      <c r="H42" s="784" t="s">
        <v>114</v>
      </c>
      <c r="I42" s="785">
        <f>산출기준_CI!G41</f>
        <v>0.1</v>
      </c>
      <c r="J42" s="682">
        <f t="shared" si="9"/>
        <v>56</v>
      </c>
      <c r="K42" s="789">
        <f>$I42*(1-Input_CI!$X19)</f>
        <v>6.9999999999999993E-2</v>
      </c>
      <c r="L42" s="684">
        <f t="shared" si="10"/>
        <v>39</v>
      </c>
      <c r="M42" s="789">
        <f>$I42*(1-Input_CI!$X19-Input_CI!$Y19)</f>
        <v>0.06</v>
      </c>
      <c r="N42" s="685">
        <f t="shared" si="11"/>
        <v>33</v>
      </c>
      <c r="O42" s="790">
        <f t="shared" si="12"/>
        <v>4.2857142857142858E-2</v>
      </c>
      <c r="P42" s="684">
        <f t="shared" si="12"/>
        <v>24</v>
      </c>
      <c r="Q42" s="789">
        <f>$I42*(Input_CI!$X19)/Input_CI!$AH$75</f>
        <v>4.2857142857142858E-2</v>
      </c>
      <c r="R42" s="684">
        <f t="shared" si="13"/>
        <v>24</v>
      </c>
      <c r="S42" s="683"/>
      <c r="T42" s="687"/>
      <c r="U42" s="785"/>
      <c r="V42" s="684"/>
      <c r="W42" s="684"/>
      <c r="X42" s="684"/>
      <c r="Y42" s="789">
        <f>$U42*(1-Input_CI!$Z19)+I42*Input_CI!$Y19/Input_CI!$AH$76</f>
        <v>1.4285714285714289E-2</v>
      </c>
      <c r="Z42" s="685">
        <f t="shared" si="14"/>
        <v>8</v>
      </c>
      <c r="AA42" s="688">
        <f t="shared" si="15"/>
        <v>56</v>
      </c>
      <c r="AB42" s="689">
        <f t="shared" si="16"/>
        <v>63</v>
      </c>
      <c r="AC42" s="690">
        <f t="shared" si="17"/>
        <v>65</v>
      </c>
      <c r="AD42" s="780"/>
    </row>
    <row r="43" spans="1:30" s="176" customFormat="1" ht="18.75" customHeight="1" x14ac:dyDescent="0.2">
      <c r="A43" s="674"/>
      <c r="B43" s="675"/>
      <c r="C43" s="675"/>
      <c r="D43" s="676" t="s">
        <v>1023</v>
      </c>
      <c r="E43" s="788" t="s">
        <v>177</v>
      </c>
      <c r="F43" s="781" t="s">
        <v>97</v>
      </c>
      <c r="G43" s="776">
        <v>1</v>
      </c>
      <c r="H43" s="784" t="s">
        <v>114</v>
      </c>
      <c r="I43" s="785">
        <f>산출기준_CI!G42</f>
        <v>50</v>
      </c>
      <c r="J43" s="682">
        <f t="shared" si="9"/>
        <v>50</v>
      </c>
      <c r="K43" s="683">
        <f>$I43*(1-Input_CI!$X20)</f>
        <v>35</v>
      </c>
      <c r="L43" s="684">
        <f t="shared" si="10"/>
        <v>35</v>
      </c>
      <c r="M43" s="683">
        <f>$I43*(1-Input_CI!$X20-Input_CI!$Y20)</f>
        <v>30</v>
      </c>
      <c r="N43" s="685">
        <f t="shared" si="11"/>
        <v>30</v>
      </c>
      <c r="O43" s="686">
        <f t="shared" si="12"/>
        <v>36.428571428571431</v>
      </c>
      <c r="P43" s="684">
        <f t="shared" si="12"/>
        <v>36</v>
      </c>
      <c r="Q43" s="683">
        <f>$I43*(Input_CI!$X20)/Input_CI!$AH$75</f>
        <v>21.428571428571431</v>
      </c>
      <c r="R43" s="684">
        <f t="shared" si="13"/>
        <v>21</v>
      </c>
      <c r="S43" s="683">
        <f>U43*Input_CI!$Z20</f>
        <v>15</v>
      </c>
      <c r="T43" s="687">
        <f t="shared" ref="T43:T44" si="18">ROUND(S43*G43,0)</f>
        <v>15</v>
      </c>
      <c r="U43" s="785">
        <f>산출기준_CI!K42</f>
        <v>50</v>
      </c>
      <c r="V43" s="684">
        <f t="shared" ref="V43:V44" si="19">ROUND((G43*U43),0)</f>
        <v>50</v>
      </c>
      <c r="W43" s="787">
        <f>$U43*(1-Input_CI!$Z20)</f>
        <v>35</v>
      </c>
      <c r="X43" s="684">
        <f t="shared" ref="X43:X44" si="20">ROUND(W43*G43,0)</f>
        <v>35</v>
      </c>
      <c r="Y43" s="683">
        <f>$U43*(1-Input_CI!$Z20)+I43*Input_CI!$Y20/Input_CI!$AH$76</f>
        <v>42.142857142857146</v>
      </c>
      <c r="Z43" s="685">
        <f t="shared" si="14"/>
        <v>42</v>
      </c>
      <c r="AA43" s="688">
        <f t="shared" si="15"/>
        <v>100</v>
      </c>
      <c r="AB43" s="689">
        <f t="shared" si="16"/>
        <v>106</v>
      </c>
      <c r="AC43" s="690">
        <f t="shared" si="17"/>
        <v>108</v>
      </c>
      <c r="AD43" s="780"/>
    </row>
    <row r="44" spans="1:30" s="176" customFormat="1" ht="18.75" customHeight="1" x14ac:dyDescent="0.2">
      <c r="A44" s="674"/>
      <c r="B44" s="692"/>
      <c r="C44" s="692"/>
      <c r="D44" s="693" t="s">
        <v>1024</v>
      </c>
      <c r="E44" s="791" t="s">
        <v>1025</v>
      </c>
      <c r="F44" s="792" t="s">
        <v>97</v>
      </c>
      <c r="G44" s="793">
        <v>1</v>
      </c>
      <c r="H44" s="794" t="s">
        <v>114</v>
      </c>
      <c r="I44" s="795">
        <f>산출기준_CI!G43</f>
        <v>50</v>
      </c>
      <c r="J44" s="699">
        <f t="shared" si="9"/>
        <v>50</v>
      </c>
      <c r="K44" s="700">
        <f>$I44*(1-Input_CI!$X21)</f>
        <v>35</v>
      </c>
      <c r="L44" s="701">
        <f t="shared" si="10"/>
        <v>35</v>
      </c>
      <c r="M44" s="700">
        <f>$I44*(1-Input_CI!$X21-Input_CI!$Y21)</f>
        <v>30</v>
      </c>
      <c r="N44" s="702">
        <f t="shared" si="11"/>
        <v>30</v>
      </c>
      <c r="O44" s="703">
        <f t="shared" si="12"/>
        <v>36.428571428571431</v>
      </c>
      <c r="P44" s="701">
        <f t="shared" si="12"/>
        <v>36</v>
      </c>
      <c r="Q44" s="700">
        <f>$I44*(Input_CI!$X21)/Input_CI!$AH$75</f>
        <v>21.428571428571431</v>
      </c>
      <c r="R44" s="701">
        <f t="shared" si="13"/>
        <v>21</v>
      </c>
      <c r="S44" s="700">
        <f>U44*Input_CI!$Z21</f>
        <v>15</v>
      </c>
      <c r="T44" s="704">
        <f t="shared" si="18"/>
        <v>15</v>
      </c>
      <c r="U44" s="795">
        <f>산출기준_CI!K43</f>
        <v>50</v>
      </c>
      <c r="V44" s="701">
        <f t="shared" si="19"/>
        <v>50</v>
      </c>
      <c r="W44" s="796">
        <f>$U44*(1-Input_CI!$Z21)</f>
        <v>35</v>
      </c>
      <c r="X44" s="701">
        <f t="shared" si="20"/>
        <v>35</v>
      </c>
      <c r="Y44" s="700">
        <f>$U44*(1-Input_CI!$Z21)+I44*Input_CI!$Y21/Input_CI!$AH$76</f>
        <v>42.142857142857146</v>
      </c>
      <c r="Z44" s="702">
        <f t="shared" si="14"/>
        <v>42</v>
      </c>
      <c r="AA44" s="705">
        <f t="shared" si="15"/>
        <v>100</v>
      </c>
      <c r="AB44" s="706">
        <f t="shared" si="16"/>
        <v>106</v>
      </c>
      <c r="AC44" s="707">
        <f t="shared" si="17"/>
        <v>108</v>
      </c>
      <c r="AD44" s="797"/>
    </row>
    <row r="45" spans="1:30" ht="21.9" customHeight="1" x14ac:dyDescent="0.15">
      <c r="A45" s="674"/>
      <c r="B45" s="798" t="s">
        <v>182</v>
      </c>
      <c r="C45" s="798" t="s">
        <v>1026</v>
      </c>
      <c r="D45" s="799" t="s">
        <v>95</v>
      </c>
      <c r="E45" s="800" t="s">
        <v>1027</v>
      </c>
      <c r="F45" s="801" t="s">
        <v>147</v>
      </c>
      <c r="G45" s="802">
        <f>Input_CI!$AA$22</f>
        <v>0</v>
      </c>
      <c r="H45" s="803" t="s">
        <v>114</v>
      </c>
      <c r="I45" s="804">
        <f>산출기준_CI!G46</f>
        <v>0.5</v>
      </c>
      <c r="J45" s="805">
        <f t="shared" si="9"/>
        <v>0</v>
      </c>
      <c r="K45" s="770">
        <f>$I45*(1-Input_CI!$X22)</f>
        <v>0.35</v>
      </c>
      <c r="L45" s="666">
        <f t="shared" si="10"/>
        <v>0</v>
      </c>
      <c r="M45" s="770">
        <f>$I45*(1-Input_CI!$X22-Input_CI!$Y22)</f>
        <v>0.3</v>
      </c>
      <c r="N45" s="667">
        <f t="shared" si="11"/>
        <v>0</v>
      </c>
      <c r="O45" s="771">
        <f t="shared" si="12"/>
        <v>0.2142857142857143</v>
      </c>
      <c r="P45" s="666">
        <f t="shared" si="12"/>
        <v>0</v>
      </c>
      <c r="Q45" s="770">
        <f>$I45*(Input_CI!$X22)/Input_CI!$AH$75</f>
        <v>0.2142857142857143</v>
      </c>
      <c r="R45" s="666">
        <f t="shared" si="13"/>
        <v>0</v>
      </c>
      <c r="S45" s="770"/>
      <c r="T45" s="669"/>
      <c r="U45" s="772"/>
      <c r="V45" s="666"/>
      <c r="W45" s="770"/>
      <c r="X45" s="666"/>
      <c r="Y45" s="770">
        <f>$U45*(1-Input_CI!$Z22)+I45*Input_CI!$Y22/Input_CI!$AH$76</f>
        <v>7.1428571428571438E-2</v>
      </c>
      <c r="Z45" s="667">
        <f t="shared" si="14"/>
        <v>0</v>
      </c>
      <c r="AA45" s="806">
        <f t="shared" si="15"/>
        <v>0</v>
      </c>
      <c r="AB45" s="807">
        <f t="shared" si="16"/>
        <v>0</v>
      </c>
      <c r="AC45" s="808">
        <f t="shared" si="17"/>
        <v>0</v>
      </c>
      <c r="AD45" s="809"/>
    </row>
    <row r="46" spans="1:30" ht="21.9" customHeight="1" x14ac:dyDescent="0.15">
      <c r="A46" s="674"/>
      <c r="B46" s="675"/>
      <c r="C46" s="675"/>
      <c r="D46" s="810" t="s">
        <v>102</v>
      </c>
      <c r="E46" s="788" t="s">
        <v>185</v>
      </c>
      <c r="F46" s="678" t="s">
        <v>147</v>
      </c>
      <c r="G46" s="679">
        <f>Input_CI!$AA$23</f>
        <v>0</v>
      </c>
      <c r="H46" s="680" t="str">
        <f>Input_CI!$AJ$41</f>
        <v>N/A</v>
      </c>
      <c r="I46" s="748">
        <f>IF(H46="SPI",산출기준_CI!E47,IF(H46="N/A",산출기준_CI!G47,fault))</f>
        <v>0.5</v>
      </c>
      <c r="J46" s="682">
        <f t="shared" si="9"/>
        <v>0</v>
      </c>
      <c r="K46" s="777">
        <f>$I46*(1-Input_CI!$X23)</f>
        <v>0.35</v>
      </c>
      <c r="L46" s="684">
        <f t="shared" si="10"/>
        <v>0</v>
      </c>
      <c r="M46" s="777">
        <f>$I46*(1-Input_CI!$X23-Input_CI!$Y23)</f>
        <v>0.3</v>
      </c>
      <c r="N46" s="685">
        <f t="shared" si="11"/>
        <v>0</v>
      </c>
      <c r="O46" s="778">
        <f t="shared" si="12"/>
        <v>0.2142857142857143</v>
      </c>
      <c r="P46" s="684">
        <f t="shared" si="12"/>
        <v>0</v>
      </c>
      <c r="Q46" s="777">
        <f>$I46*(Input_CI!$X23)/Input_CI!$AH$75</f>
        <v>0.2142857142857143</v>
      </c>
      <c r="R46" s="684">
        <f t="shared" si="13"/>
        <v>0</v>
      </c>
      <c r="S46" s="777"/>
      <c r="T46" s="687"/>
      <c r="U46" s="779"/>
      <c r="V46" s="684"/>
      <c r="W46" s="777"/>
      <c r="X46" s="684"/>
      <c r="Y46" s="777">
        <f>$U46*(1-Input_CI!$Z23)+I46*Input_CI!$Y23/Input_CI!$AH$76</f>
        <v>7.1428571428571438E-2</v>
      </c>
      <c r="Z46" s="685">
        <f t="shared" si="14"/>
        <v>0</v>
      </c>
      <c r="AA46" s="688">
        <f t="shared" si="15"/>
        <v>0</v>
      </c>
      <c r="AB46" s="689">
        <f t="shared" si="16"/>
        <v>0</v>
      </c>
      <c r="AC46" s="690">
        <f t="shared" si="17"/>
        <v>0</v>
      </c>
      <c r="AD46" s="780"/>
    </row>
    <row r="47" spans="1:30" ht="21.9" customHeight="1" x14ac:dyDescent="0.15">
      <c r="A47" s="674"/>
      <c r="B47" s="675"/>
      <c r="C47" s="675"/>
      <c r="D47" s="810" t="s">
        <v>121</v>
      </c>
      <c r="E47" s="788" t="s">
        <v>541</v>
      </c>
      <c r="F47" s="678" t="s">
        <v>147</v>
      </c>
      <c r="G47" s="679">
        <f>Input_CI!$AA$24</f>
        <v>0</v>
      </c>
      <c r="H47" s="680" t="str">
        <f>Input_CI!$AJ$42</f>
        <v>N/A</v>
      </c>
      <c r="I47" s="748">
        <f>IF(H47="SPI",산출기준_CI!E48,IF(H47="N/A",산출기준_CI!G48,fault))</f>
        <v>0.5</v>
      </c>
      <c r="J47" s="682">
        <f t="shared" si="9"/>
        <v>0</v>
      </c>
      <c r="K47" s="777">
        <f>$I47*(1-Input_CI!$X24)</f>
        <v>0.35</v>
      </c>
      <c r="L47" s="684">
        <f t="shared" si="10"/>
        <v>0</v>
      </c>
      <c r="M47" s="777">
        <f>$I47*(1-Input_CI!$X24-Input_CI!$Y24)</f>
        <v>0.3</v>
      </c>
      <c r="N47" s="685">
        <f t="shared" si="11"/>
        <v>0</v>
      </c>
      <c r="O47" s="778">
        <f t="shared" si="12"/>
        <v>0.2142857142857143</v>
      </c>
      <c r="P47" s="684">
        <f t="shared" si="12"/>
        <v>0</v>
      </c>
      <c r="Q47" s="777">
        <f>$I47*(Input_CI!$X24)/Input_CI!$AH$75</f>
        <v>0.2142857142857143</v>
      </c>
      <c r="R47" s="684">
        <f t="shared" si="13"/>
        <v>0</v>
      </c>
      <c r="S47" s="777"/>
      <c r="T47" s="687"/>
      <c r="U47" s="779"/>
      <c r="V47" s="684"/>
      <c r="W47" s="777"/>
      <c r="X47" s="684"/>
      <c r="Y47" s="777">
        <f>$U47*(1-Input_CI!$Z24)+I47*Input_CI!$Y24/Input_CI!$AH$76</f>
        <v>7.1428571428571438E-2</v>
      </c>
      <c r="Z47" s="685">
        <f t="shared" si="14"/>
        <v>0</v>
      </c>
      <c r="AA47" s="688">
        <f t="shared" si="15"/>
        <v>0</v>
      </c>
      <c r="AB47" s="689">
        <f t="shared" si="16"/>
        <v>0</v>
      </c>
      <c r="AC47" s="690">
        <f t="shared" si="17"/>
        <v>0</v>
      </c>
      <c r="AD47" s="780"/>
    </row>
    <row r="48" spans="1:30" ht="21.9" customHeight="1" x14ac:dyDescent="0.15">
      <c r="A48" s="674"/>
      <c r="B48" s="713"/>
      <c r="C48" s="713"/>
      <c r="D48" s="811" t="s">
        <v>125</v>
      </c>
      <c r="E48" s="750" t="s">
        <v>546</v>
      </c>
      <c r="F48" s="761" t="s">
        <v>147</v>
      </c>
      <c r="G48" s="752">
        <f>Input_CI!$AA$25</f>
        <v>0</v>
      </c>
      <c r="H48" s="753" t="str">
        <f>Input_CI!$AJ$43</f>
        <v>N/A</v>
      </c>
      <c r="I48" s="748">
        <f>IF(H48="SPI",산출기준_CI!E49,IF(H48="N/A",산출기준_CI!G49,fault))</f>
        <v>0.5</v>
      </c>
      <c r="J48" s="754">
        <f t="shared" si="9"/>
        <v>0</v>
      </c>
      <c r="K48" s="812">
        <f>$I48*(1-Input_CI!$X25)</f>
        <v>0.35</v>
      </c>
      <c r="L48" s="701">
        <f t="shared" si="10"/>
        <v>0</v>
      </c>
      <c r="M48" s="812">
        <f>$I48*(1-Input_CI!$X25-Input_CI!$Y25)</f>
        <v>0.3</v>
      </c>
      <c r="N48" s="702">
        <f t="shared" si="11"/>
        <v>0</v>
      </c>
      <c r="O48" s="813">
        <f t="shared" si="12"/>
        <v>0.2142857142857143</v>
      </c>
      <c r="P48" s="701">
        <f t="shared" si="12"/>
        <v>0</v>
      </c>
      <c r="Q48" s="812">
        <f>$I48*(Input_CI!$X25)/Input_CI!$AH$75</f>
        <v>0.2142857142857143</v>
      </c>
      <c r="R48" s="701">
        <f t="shared" si="13"/>
        <v>0</v>
      </c>
      <c r="S48" s="812"/>
      <c r="T48" s="704"/>
      <c r="U48" s="814"/>
      <c r="V48" s="701"/>
      <c r="W48" s="812"/>
      <c r="X48" s="701"/>
      <c r="Y48" s="812">
        <f>$U48*(1-Input_CI!$Z25)+I48*Input_CI!$Y25/Input_CI!$AH$76</f>
        <v>7.1428571428571438E-2</v>
      </c>
      <c r="Z48" s="702">
        <f t="shared" si="14"/>
        <v>0</v>
      </c>
      <c r="AA48" s="762">
        <f t="shared" si="15"/>
        <v>0</v>
      </c>
      <c r="AB48" s="763">
        <f t="shared" si="16"/>
        <v>0</v>
      </c>
      <c r="AC48" s="764">
        <f t="shared" si="17"/>
        <v>0</v>
      </c>
      <c r="AD48" s="815"/>
    </row>
    <row r="49" spans="1:30" ht="32.25" customHeight="1" x14ac:dyDescent="0.15">
      <c r="A49" s="674"/>
      <c r="B49" s="657" t="s">
        <v>1028</v>
      </c>
      <c r="C49" s="657" t="s">
        <v>919</v>
      </c>
      <c r="D49" s="816" t="s">
        <v>491</v>
      </c>
      <c r="E49" s="817" t="s">
        <v>189</v>
      </c>
      <c r="F49" s="660" t="s">
        <v>147</v>
      </c>
      <c r="G49" s="661">
        <f>Input_CI!$AA$26</f>
        <v>200</v>
      </c>
      <c r="H49" s="818" t="str">
        <f>Input_CI!$AJ$82</f>
        <v>중</v>
      </c>
      <c r="I49" s="819" cm="1">
        <f t="array" ref="I49">IF(H49="중",산출기준_CI!G52,IF(H49="하",산출기준_CI!H52,fault))</f>
        <v>1.5</v>
      </c>
      <c r="J49" s="664">
        <f t="shared" si="9"/>
        <v>300</v>
      </c>
      <c r="K49" s="770">
        <f>$I49*(1-Input_CI!$X26)</f>
        <v>1.0499999999999998</v>
      </c>
      <c r="L49" s="666">
        <f t="shared" si="10"/>
        <v>210</v>
      </c>
      <c r="M49" s="770">
        <f>$I49*(1-Input_CI!$X26-Input_CI!$Y26)</f>
        <v>0.89999999999999991</v>
      </c>
      <c r="N49" s="667">
        <f t="shared" si="11"/>
        <v>180</v>
      </c>
      <c r="O49" s="771">
        <f t="shared" si="12"/>
        <v>0.64285714285714279</v>
      </c>
      <c r="P49" s="666">
        <f t="shared" si="12"/>
        <v>129</v>
      </c>
      <c r="Q49" s="770">
        <f>$I49*(Input_CI!$X26)/Input_CI!$AH$75</f>
        <v>0.64285714285714279</v>
      </c>
      <c r="R49" s="666">
        <f t="shared" si="13"/>
        <v>129</v>
      </c>
      <c r="S49" s="770"/>
      <c r="T49" s="669"/>
      <c r="U49" s="772"/>
      <c r="V49" s="666"/>
      <c r="W49" s="770"/>
      <c r="X49" s="666"/>
      <c r="Y49" s="770">
        <f>$U49*(1-Input_CI!$Z26)+I49*Input_CI!$Y26/Input_CI!$AH$76</f>
        <v>0.21428571428571433</v>
      </c>
      <c r="Z49" s="667">
        <f t="shared" si="14"/>
        <v>43</v>
      </c>
      <c r="AA49" s="670">
        <f t="shared" si="15"/>
        <v>300</v>
      </c>
      <c r="AB49" s="671">
        <f t="shared" si="16"/>
        <v>339</v>
      </c>
      <c r="AC49" s="672">
        <f t="shared" si="17"/>
        <v>352</v>
      </c>
      <c r="AD49" s="773"/>
    </row>
    <row r="50" spans="1:30" ht="32.25" customHeight="1" x14ac:dyDescent="0.15">
      <c r="A50" s="674"/>
      <c r="B50" s="675"/>
      <c r="C50" s="675"/>
      <c r="D50" s="810" t="s">
        <v>525</v>
      </c>
      <c r="E50" s="788" t="s">
        <v>192</v>
      </c>
      <c r="F50" s="678" t="s">
        <v>147</v>
      </c>
      <c r="G50" s="679">
        <f>Input_CI!$AA$27</f>
        <v>0</v>
      </c>
      <c r="H50" s="784" t="str">
        <f>Input_CI!$AJ$83</f>
        <v>중</v>
      </c>
      <c r="I50" s="748" cm="1">
        <f t="array" ref="I50">IF(H50="중",산출기준_CI!G53,IF(H50="하",산출기준_CI!H53,fault))</f>
        <v>0.5</v>
      </c>
      <c r="J50" s="682">
        <f t="shared" si="9"/>
        <v>0</v>
      </c>
      <c r="K50" s="777">
        <f>$I50*(1-Input_CI!$X27)</f>
        <v>0.35</v>
      </c>
      <c r="L50" s="684">
        <f t="shared" si="10"/>
        <v>0</v>
      </c>
      <c r="M50" s="777">
        <f>$I50*(1-Input_CI!$X27-Input_CI!$Y27)</f>
        <v>0.3</v>
      </c>
      <c r="N50" s="685">
        <f t="shared" si="11"/>
        <v>0</v>
      </c>
      <c r="O50" s="778">
        <f t="shared" si="12"/>
        <v>0.2142857142857143</v>
      </c>
      <c r="P50" s="684">
        <f t="shared" si="12"/>
        <v>0</v>
      </c>
      <c r="Q50" s="777">
        <f>$I50*(Input_CI!$X27)/Input_CI!$AH$75</f>
        <v>0.2142857142857143</v>
      </c>
      <c r="R50" s="684">
        <f t="shared" si="13"/>
        <v>0</v>
      </c>
      <c r="S50" s="777"/>
      <c r="T50" s="687"/>
      <c r="U50" s="779"/>
      <c r="V50" s="684"/>
      <c r="W50" s="777"/>
      <c r="X50" s="684"/>
      <c r="Y50" s="777">
        <f>$U50*(1-Input_CI!$Z27)+I50*Input_CI!$Y27/Input_CI!$AH$76</f>
        <v>7.1428571428571438E-2</v>
      </c>
      <c r="Z50" s="685">
        <f t="shared" si="14"/>
        <v>0</v>
      </c>
      <c r="AA50" s="688">
        <f t="shared" si="15"/>
        <v>0</v>
      </c>
      <c r="AB50" s="689">
        <f t="shared" si="16"/>
        <v>0</v>
      </c>
      <c r="AC50" s="690">
        <f t="shared" si="17"/>
        <v>0</v>
      </c>
      <c r="AD50" s="780"/>
    </row>
    <row r="51" spans="1:30" ht="32.25" customHeight="1" x14ac:dyDescent="0.15">
      <c r="A51" s="674"/>
      <c r="B51" s="692"/>
      <c r="C51" s="692"/>
      <c r="D51" s="820" t="s">
        <v>941</v>
      </c>
      <c r="E51" s="791" t="s">
        <v>193</v>
      </c>
      <c r="F51" s="695" t="s">
        <v>147</v>
      </c>
      <c r="G51" s="696">
        <f>Input_CI!$AA$28</f>
        <v>0</v>
      </c>
      <c r="H51" s="794" t="str">
        <f>Input_CI!$AJ$84</f>
        <v>하</v>
      </c>
      <c r="I51" s="821" cm="1">
        <f t="array" ref="I51">IF(H51="중",산출기준_CI!G54,IF(H51="하",산출기준_CI!H54,fault))</f>
        <v>0.3</v>
      </c>
      <c r="J51" s="699">
        <f t="shared" si="9"/>
        <v>0</v>
      </c>
      <c r="K51" s="812">
        <f>$I51*(1-Input_CI!$X28)</f>
        <v>0.21</v>
      </c>
      <c r="L51" s="701">
        <f t="shared" si="10"/>
        <v>0</v>
      </c>
      <c r="M51" s="812">
        <f>$I51*(1-Input_CI!$X28-Input_CI!$Y28)</f>
        <v>0.18</v>
      </c>
      <c r="N51" s="702">
        <f t="shared" si="11"/>
        <v>0</v>
      </c>
      <c r="O51" s="813">
        <f t="shared" si="12"/>
        <v>0.12857142857142859</v>
      </c>
      <c r="P51" s="701">
        <f t="shared" si="12"/>
        <v>0</v>
      </c>
      <c r="Q51" s="812">
        <f>$I51*(Input_CI!$X28)/Input_CI!$AH$75</f>
        <v>0.12857142857142859</v>
      </c>
      <c r="R51" s="701">
        <f t="shared" si="13"/>
        <v>0</v>
      </c>
      <c r="S51" s="812"/>
      <c r="T51" s="704"/>
      <c r="U51" s="814"/>
      <c r="V51" s="701"/>
      <c r="W51" s="812"/>
      <c r="X51" s="701"/>
      <c r="Y51" s="812">
        <f>$U51*(1-Input_CI!$Z28)+I51*Input_CI!$Y28/Input_CI!$AH$76</f>
        <v>4.2857142857142858E-2</v>
      </c>
      <c r="Z51" s="702">
        <f t="shared" si="14"/>
        <v>0</v>
      </c>
      <c r="AA51" s="705">
        <f t="shared" si="15"/>
        <v>0</v>
      </c>
      <c r="AB51" s="706">
        <f t="shared" si="16"/>
        <v>0</v>
      </c>
      <c r="AC51" s="707">
        <f t="shared" si="17"/>
        <v>0</v>
      </c>
      <c r="AD51" s="797"/>
    </row>
    <row r="52" spans="1:30" s="176" customFormat="1" ht="21.9" customHeight="1" x14ac:dyDescent="0.2">
      <c r="A52" s="674"/>
      <c r="B52" s="798" t="s">
        <v>1029</v>
      </c>
      <c r="C52" s="798" t="s">
        <v>1030</v>
      </c>
      <c r="D52" s="822" t="s">
        <v>95</v>
      </c>
      <c r="E52" s="823" t="s">
        <v>195</v>
      </c>
      <c r="F52" s="824" t="s">
        <v>196</v>
      </c>
      <c r="G52" s="825">
        <f>Input_CI!$AA$29</f>
        <v>3</v>
      </c>
      <c r="H52" s="826" t="str">
        <f>Input_CI!$AJ$44</f>
        <v>중</v>
      </c>
      <c r="I52" s="804">
        <f>IF(H52="상",산출기준_CI!F57,IF(H52="중",산출기준_CI!G57,IF(H52="하",산출기준_CI!H57,fault)))</f>
        <v>80</v>
      </c>
      <c r="J52" s="805">
        <f t="shared" si="9"/>
        <v>240</v>
      </c>
      <c r="K52" s="665">
        <f>$I52*(1-Input_CI!$X29)</f>
        <v>56</v>
      </c>
      <c r="L52" s="666">
        <f t="shared" si="10"/>
        <v>168</v>
      </c>
      <c r="M52" s="665">
        <f>$I52*(1-Input_CI!$X29-Input_CI!$Y29)</f>
        <v>48</v>
      </c>
      <c r="N52" s="667">
        <f t="shared" si="11"/>
        <v>144</v>
      </c>
      <c r="O52" s="668">
        <f t="shared" si="12"/>
        <v>35.485714285714288</v>
      </c>
      <c r="P52" s="666">
        <f t="shared" si="12"/>
        <v>107</v>
      </c>
      <c r="Q52" s="665">
        <f>$I52*(Input_CI!$X29)/Input_CI!$AH$75</f>
        <v>34.285714285714285</v>
      </c>
      <c r="R52" s="666">
        <f t="shared" si="13"/>
        <v>103</v>
      </c>
      <c r="S52" s="665">
        <f>U52*Input_CI!$Z29</f>
        <v>1.2</v>
      </c>
      <c r="T52" s="669">
        <f t="shared" ref="T52:T72" si="21">ROUND(S52*G52,0)</f>
        <v>4</v>
      </c>
      <c r="U52" s="804">
        <f>IF(H52="상",산출기준_CI!J57,IF(H52="중",산출기준_CI!K57,IF(H52="하",산출기준_CI!L57,fault)))</f>
        <v>4</v>
      </c>
      <c r="V52" s="827">
        <f t="shared" ref="V52:V72" si="22">ROUND((G52*U52),0)</f>
        <v>12</v>
      </c>
      <c r="W52" s="828">
        <f>$U52*(1-Input_CI!$Z29)</f>
        <v>2.8</v>
      </c>
      <c r="X52" s="666">
        <f t="shared" ref="X52:X72" si="23">ROUND(W52*G52,0)</f>
        <v>8</v>
      </c>
      <c r="Y52" s="665">
        <f>$U52*(1-Input_CI!$Z29)+I52*Input_CI!$Y29/Input_CI!$AH$76</f>
        <v>14.228571428571428</v>
      </c>
      <c r="Z52" s="667">
        <f t="shared" si="14"/>
        <v>43</v>
      </c>
      <c r="AA52" s="806">
        <f t="shared" si="15"/>
        <v>252</v>
      </c>
      <c r="AB52" s="807">
        <f t="shared" si="16"/>
        <v>283</v>
      </c>
      <c r="AC52" s="808">
        <f t="shared" si="17"/>
        <v>294</v>
      </c>
      <c r="AD52" s="829"/>
    </row>
    <row r="53" spans="1:30" s="176" customFormat="1" ht="21.9" customHeight="1" x14ac:dyDescent="0.2">
      <c r="A53" s="674"/>
      <c r="B53" s="675"/>
      <c r="C53" s="675"/>
      <c r="D53" s="676" t="s">
        <v>102</v>
      </c>
      <c r="E53" s="830" t="s">
        <v>199</v>
      </c>
      <c r="F53" s="831" t="s">
        <v>196</v>
      </c>
      <c r="G53" s="832">
        <f>Input_CI!$AA$30</f>
        <v>2</v>
      </c>
      <c r="H53" s="680" t="str">
        <f>Input_CI!$AJ$47</f>
        <v>중</v>
      </c>
      <c r="I53" s="804">
        <f>IF(H53="상",산출기준_CI!F58,IF(H53="중",산출기준_CI!G58,IF(H53="하",산출기준_CI!H58,fault)))</f>
        <v>5</v>
      </c>
      <c r="J53" s="682">
        <f t="shared" si="9"/>
        <v>10</v>
      </c>
      <c r="K53" s="777">
        <f>$I53*(1-Input_CI!$X30)</f>
        <v>3.5</v>
      </c>
      <c r="L53" s="684">
        <f t="shared" si="10"/>
        <v>7</v>
      </c>
      <c r="M53" s="777">
        <f>$I53*(1-Input_CI!$X30-Input_CI!$Y30)</f>
        <v>3</v>
      </c>
      <c r="N53" s="685">
        <f t="shared" si="11"/>
        <v>6</v>
      </c>
      <c r="O53" s="778">
        <f t="shared" si="12"/>
        <v>8.1428571428571423</v>
      </c>
      <c r="P53" s="684">
        <f t="shared" si="12"/>
        <v>16</v>
      </c>
      <c r="Q53" s="777">
        <f>$I53*(Input_CI!$X30)/Input_CI!$AH$75</f>
        <v>2.1428571428571428</v>
      </c>
      <c r="R53" s="684">
        <f t="shared" si="13"/>
        <v>4</v>
      </c>
      <c r="S53" s="777">
        <f>U53*Input_CI!$Z30</f>
        <v>6</v>
      </c>
      <c r="T53" s="687">
        <f t="shared" si="21"/>
        <v>12</v>
      </c>
      <c r="U53" s="804">
        <f>IF(H53="상",산출기준_CI!J58,IF(H53="중",산출기준_CI!K58,IF(H53="하",산출기준_CI!L58,fault)))</f>
        <v>20</v>
      </c>
      <c r="V53" s="684">
        <f t="shared" si="22"/>
        <v>40</v>
      </c>
      <c r="W53" s="777">
        <f>$U53*(1-Input_CI!$Z30)</f>
        <v>14</v>
      </c>
      <c r="X53" s="684">
        <f t="shared" si="23"/>
        <v>28</v>
      </c>
      <c r="Y53" s="777">
        <f>$U53*(1-Input_CI!$Z30)+I53*Input_CI!$Y30/Input_CI!$AH$76</f>
        <v>14.714285714285714</v>
      </c>
      <c r="Z53" s="685">
        <f t="shared" si="14"/>
        <v>29</v>
      </c>
      <c r="AA53" s="688">
        <f t="shared" si="15"/>
        <v>50</v>
      </c>
      <c r="AB53" s="689">
        <f t="shared" si="16"/>
        <v>51</v>
      </c>
      <c r="AC53" s="690">
        <f t="shared" si="17"/>
        <v>51</v>
      </c>
      <c r="AD53" s="833"/>
    </row>
    <row r="54" spans="1:30" s="176" customFormat="1" ht="35.1" customHeight="1" x14ac:dyDescent="0.2">
      <c r="A54" s="674"/>
      <c r="B54" s="675"/>
      <c r="C54" s="675"/>
      <c r="D54" s="676" t="s">
        <v>941</v>
      </c>
      <c r="E54" s="830" t="s">
        <v>578</v>
      </c>
      <c r="F54" s="831" t="s">
        <v>203</v>
      </c>
      <c r="G54" s="832">
        <f>Input_CI!$AA$31</f>
        <v>6</v>
      </c>
      <c r="H54" s="680" t="str">
        <f>Input_CI!$AJ$49</f>
        <v>상</v>
      </c>
      <c r="I54" s="804">
        <f>IF(H54="상",산출기준_CI!F59,IF(H54="중",산출기준_CI!G59,IF(H54="하",산출기준_CI!H59,fault)))</f>
        <v>2</v>
      </c>
      <c r="J54" s="682">
        <f t="shared" si="9"/>
        <v>12</v>
      </c>
      <c r="K54" s="777">
        <f>$I54*(1-Input_CI!$X31)</f>
        <v>1.4</v>
      </c>
      <c r="L54" s="684">
        <f t="shared" si="10"/>
        <v>8</v>
      </c>
      <c r="M54" s="777">
        <f>$I54*(1-Input_CI!$X31-Input_CI!$Y31)</f>
        <v>1.2</v>
      </c>
      <c r="N54" s="685">
        <f t="shared" si="11"/>
        <v>7</v>
      </c>
      <c r="O54" s="778">
        <f t="shared" si="12"/>
        <v>8.3571428571428577</v>
      </c>
      <c r="P54" s="684">
        <f t="shared" si="12"/>
        <v>50</v>
      </c>
      <c r="Q54" s="777">
        <f>$I54*(Input_CI!$X31)/Input_CI!$AH$75</f>
        <v>0.85714285714285721</v>
      </c>
      <c r="R54" s="684">
        <f t="shared" si="13"/>
        <v>5</v>
      </c>
      <c r="S54" s="777">
        <f>U54*Input_CI!$Z31</f>
        <v>7.5</v>
      </c>
      <c r="T54" s="687">
        <f t="shared" si="21"/>
        <v>45</v>
      </c>
      <c r="U54" s="804">
        <f>IF(H54="상",산출기준_CI!J59,IF(H54="중",산출기준_CI!K59,IF(H54="하",산출기준_CI!L59,fault)))</f>
        <v>25</v>
      </c>
      <c r="V54" s="684">
        <f t="shared" si="22"/>
        <v>150</v>
      </c>
      <c r="W54" s="777">
        <f>$U54*(1-Input_CI!$Z31)</f>
        <v>17.5</v>
      </c>
      <c r="X54" s="684">
        <f t="shared" si="23"/>
        <v>105</v>
      </c>
      <c r="Y54" s="777">
        <f>$U54*(1-Input_CI!$Z31)+I54*Input_CI!$Y31/Input_CI!$AH$76</f>
        <v>17.785714285714285</v>
      </c>
      <c r="Z54" s="685">
        <f t="shared" si="14"/>
        <v>107</v>
      </c>
      <c r="AA54" s="688">
        <f t="shared" si="15"/>
        <v>162</v>
      </c>
      <c r="AB54" s="689">
        <f t="shared" si="16"/>
        <v>163</v>
      </c>
      <c r="AC54" s="690">
        <f t="shared" si="17"/>
        <v>164</v>
      </c>
      <c r="AD54" s="833"/>
    </row>
    <row r="55" spans="1:30" s="176" customFormat="1" ht="21.9" customHeight="1" x14ac:dyDescent="0.2">
      <c r="A55" s="674"/>
      <c r="B55" s="675"/>
      <c r="C55" s="675"/>
      <c r="D55" s="676" t="s">
        <v>160</v>
      </c>
      <c r="E55" s="830" t="s">
        <v>207</v>
      </c>
      <c r="F55" s="831" t="s">
        <v>196</v>
      </c>
      <c r="G55" s="832">
        <f>Input_CI!$AA$32</f>
        <v>2</v>
      </c>
      <c r="H55" s="680" t="str">
        <f>Input_CI!$AJ$49</f>
        <v>상</v>
      </c>
      <c r="I55" s="804">
        <f>IF(H55="상",산출기준_CI!F60,IF(H55="중",산출기준_CI!G60,IF(H55="하",산출기준_CI!H60,fault)))</f>
        <v>5</v>
      </c>
      <c r="J55" s="682">
        <f t="shared" si="9"/>
        <v>10</v>
      </c>
      <c r="K55" s="777">
        <f>$I55*(1-Input_CI!$X32)</f>
        <v>3.5</v>
      </c>
      <c r="L55" s="684">
        <f t="shared" si="10"/>
        <v>7</v>
      </c>
      <c r="M55" s="777">
        <f>$I55*(1-Input_CI!$X32-Input_CI!$Y32)</f>
        <v>3</v>
      </c>
      <c r="N55" s="685">
        <f t="shared" si="11"/>
        <v>6</v>
      </c>
      <c r="O55" s="778">
        <f t="shared" si="12"/>
        <v>14.142857142857142</v>
      </c>
      <c r="P55" s="684">
        <f t="shared" si="12"/>
        <v>28</v>
      </c>
      <c r="Q55" s="777">
        <f>$I55*(Input_CI!$X32)/Input_CI!$AH$75</f>
        <v>2.1428571428571428</v>
      </c>
      <c r="R55" s="684">
        <f t="shared" si="13"/>
        <v>4</v>
      </c>
      <c r="S55" s="777">
        <f>U55*Input_CI!$Z32</f>
        <v>12</v>
      </c>
      <c r="T55" s="687">
        <f t="shared" si="21"/>
        <v>24</v>
      </c>
      <c r="U55" s="804">
        <f>IF(H55="상",산출기준_CI!J60,IF(H55="중",산출기준_CI!K60,IF(H55="하",산출기준_CI!L60,fault)))</f>
        <v>40</v>
      </c>
      <c r="V55" s="684">
        <f t="shared" si="22"/>
        <v>80</v>
      </c>
      <c r="W55" s="777">
        <f>$U55*(1-Input_CI!$Z32)</f>
        <v>28</v>
      </c>
      <c r="X55" s="684">
        <f t="shared" si="23"/>
        <v>56</v>
      </c>
      <c r="Y55" s="777">
        <f>$U55*(1-Input_CI!$Z32)+I55*Input_CI!$Y32/Input_CI!$AH$76</f>
        <v>28.714285714285715</v>
      </c>
      <c r="Z55" s="685">
        <f t="shared" si="14"/>
        <v>57</v>
      </c>
      <c r="AA55" s="688">
        <f t="shared" si="15"/>
        <v>90</v>
      </c>
      <c r="AB55" s="689">
        <f t="shared" si="16"/>
        <v>91</v>
      </c>
      <c r="AC55" s="690">
        <f t="shared" si="17"/>
        <v>91</v>
      </c>
      <c r="AD55" s="833"/>
    </row>
    <row r="56" spans="1:30" s="176" customFormat="1" ht="35.1" customHeight="1" x14ac:dyDescent="0.2">
      <c r="A56" s="674"/>
      <c r="B56" s="675"/>
      <c r="C56" s="675"/>
      <c r="D56" s="676" t="s">
        <v>166</v>
      </c>
      <c r="E56" s="834" t="s">
        <v>588</v>
      </c>
      <c r="F56" s="831" t="s">
        <v>203</v>
      </c>
      <c r="G56" s="835">
        <v>0</v>
      </c>
      <c r="H56" s="680" t="str">
        <f>Input_CI!$AJ$49</f>
        <v>상</v>
      </c>
      <c r="I56" s="804">
        <f>IF(H56="상",산출기준_CI!F61,IF(H56="중",산출기준_CI!G61,IF(H56="하",산출기준_CI!H61,fault)))</f>
        <v>2</v>
      </c>
      <c r="J56" s="682">
        <f t="shared" si="9"/>
        <v>0</v>
      </c>
      <c r="K56" s="777">
        <f>$I56*(1-Input_CI!$X33)</f>
        <v>1.4</v>
      </c>
      <c r="L56" s="684">
        <f t="shared" si="10"/>
        <v>0</v>
      </c>
      <c r="M56" s="777">
        <f>$I56*(1-Input_CI!$X33-Input_CI!$Y33)</f>
        <v>1.2</v>
      </c>
      <c r="N56" s="685">
        <f t="shared" si="11"/>
        <v>0</v>
      </c>
      <c r="O56" s="778">
        <f t="shared" si="12"/>
        <v>6.5571428571428569</v>
      </c>
      <c r="P56" s="684">
        <f t="shared" si="12"/>
        <v>0</v>
      </c>
      <c r="Q56" s="777">
        <f>$I56*(Input_CI!$X33)/Input_CI!$AH$75</f>
        <v>0.85714285714285721</v>
      </c>
      <c r="R56" s="684">
        <f t="shared" si="13"/>
        <v>0</v>
      </c>
      <c r="S56" s="777">
        <f>U56*Input_CI!$Z33</f>
        <v>5.7</v>
      </c>
      <c r="T56" s="687">
        <f t="shared" si="21"/>
        <v>0</v>
      </c>
      <c r="U56" s="804">
        <f>IF(H56="상",산출기준_CI!J61,IF(H56="중",산출기준_CI!K61,IF(H56="하",산출기준_CI!L61,fault)))</f>
        <v>19</v>
      </c>
      <c r="V56" s="684">
        <f t="shared" si="22"/>
        <v>0</v>
      </c>
      <c r="W56" s="777">
        <f>$U56*(1-Input_CI!$Z33)</f>
        <v>13.299999999999999</v>
      </c>
      <c r="X56" s="684">
        <f t="shared" si="23"/>
        <v>0</v>
      </c>
      <c r="Y56" s="777">
        <f>$U56*(1-Input_CI!$Z33)+I56*Input_CI!$Y33/Input_CI!$AH$76</f>
        <v>13.585714285714285</v>
      </c>
      <c r="Z56" s="685">
        <f t="shared" si="14"/>
        <v>0</v>
      </c>
      <c r="AA56" s="688">
        <f t="shared" si="15"/>
        <v>0</v>
      </c>
      <c r="AB56" s="689">
        <f t="shared" si="16"/>
        <v>0</v>
      </c>
      <c r="AC56" s="690">
        <f t="shared" si="17"/>
        <v>0</v>
      </c>
      <c r="AD56" s="833"/>
    </row>
    <row r="57" spans="1:30" s="176" customFormat="1" ht="30.75" customHeight="1" x14ac:dyDescent="0.2">
      <c r="A57" s="674"/>
      <c r="B57" s="675"/>
      <c r="C57" s="675"/>
      <c r="D57" s="676" t="s">
        <v>169</v>
      </c>
      <c r="E57" s="834" t="s">
        <v>214</v>
      </c>
      <c r="F57" s="831" t="s">
        <v>203</v>
      </c>
      <c r="G57" s="835">
        <f>ROUNDUP((G59*0.6),0)</f>
        <v>0</v>
      </c>
      <c r="H57" s="680" t="str">
        <f>Input_CI!$AJ$49</f>
        <v>상</v>
      </c>
      <c r="I57" s="804">
        <f>IF(H57="상",산출기준_CI!F62,IF(H57="중",산출기준_CI!G62,IF(H57="하",산출기준_CI!H62,fault)))</f>
        <v>5</v>
      </c>
      <c r="J57" s="682">
        <f t="shared" si="9"/>
        <v>0</v>
      </c>
      <c r="K57" s="777">
        <f>$I57*(1-Input_CI!$X34)</f>
        <v>3.5</v>
      </c>
      <c r="L57" s="684">
        <f t="shared" si="10"/>
        <v>0</v>
      </c>
      <c r="M57" s="777">
        <f>$I57*(1-Input_CI!$X34-Input_CI!$Y34)</f>
        <v>3</v>
      </c>
      <c r="N57" s="685">
        <f t="shared" si="11"/>
        <v>0</v>
      </c>
      <c r="O57" s="778">
        <f t="shared" si="12"/>
        <v>16.842857142857142</v>
      </c>
      <c r="P57" s="684">
        <f t="shared" si="12"/>
        <v>0</v>
      </c>
      <c r="Q57" s="777">
        <f>$I57*(Input_CI!$X34)/Input_CI!$AH$75</f>
        <v>2.1428571428571428</v>
      </c>
      <c r="R57" s="684">
        <f t="shared" si="13"/>
        <v>0</v>
      </c>
      <c r="S57" s="777">
        <f>U57*Input_CI!$Z34</f>
        <v>14.7</v>
      </c>
      <c r="T57" s="687">
        <f t="shared" si="21"/>
        <v>0</v>
      </c>
      <c r="U57" s="804">
        <f>IF(H57="상",산출기준_CI!J62,IF(H57="중",산출기준_CI!K62,IF(H57="하",산출기준_CI!L62,fault)))</f>
        <v>49</v>
      </c>
      <c r="V57" s="684">
        <f t="shared" si="22"/>
        <v>0</v>
      </c>
      <c r="W57" s="777">
        <f>$U57*(1-Input_CI!$Z34)</f>
        <v>34.299999999999997</v>
      </c>
      <c r="X57" s="684">
        <f t="shared" si="23"/>
        <v>0</v>
      </c>
      <c r="Y57" s="777">
        <f>$U57*(1-Input_CI!$Z34)+I57*Input_CI!$Y34/Input_CI!$AH$76</f>
        <v>35.014285714285712</v>
      </c>
      <c r="Z57" s="685">
        <f t="shared" si="14"/>
        <v>0</v>
      </c>
      <c r="AA57" s="688">
        <f t="shared" si="15"/>
        <v>0</v>
      </c>
      <c r="AB57" s="689">
        <f t="shared" si="16"/>
        <v>0</v>
      </c>
      <c r="AC57" s="690">
        <f t="shared" si="17"/>
        <v>0</v>
      </c>
      <c r="AD57" s="836"/>
    </row>
    <row r="58" spans="1:30" s="176" customFormat="1" ht="35.1" customHeight="1" x14ac:dyDescent="0.2">
      <c r="A58" s="674"/>
      <c r="B58" s="675"/>
      <c r="C58" s="675"/>
      <c r="D58" s="676" t="s">
        <v>218</v>
      </c>
      <c r="E58" s="834" t="s">
        <v>219</v>
      </c>
      <c r="F58" s="831" t="s">
        <v>203</v>
      </c>
      <c r="G58" s="832">
        <v>17</v>
      </c>
      <c r="H58" s="680" t="str">
        <f>Input_CI!$AJ$49</f>
        <v>상</v>
      </c>
      <c r="I58" s="804">
        <f>IF(H58="상",산출기준_CI!F63,IF(H58="중",산출기준_CI!G63,IF(H58="하",산출기준_CI!H63,fault)))</f>
        <v>2.5</v>
      </c>
      <c r="J58" s="682">
        <f t="shared" si="9"/>
        <v>43</v>
      </c>
      <c r="K58" s="777">
        <f>$I58*(1-Input_CI!$X35)</f>
        <v>1.75</v>
      </c>
      <c r="L58" s="684">
        <f t="shared" si="10"/>
        <v>30</v>
      </c>
      <c r="M58" s="777">
        <f>$I58*(1-Input_CI!$X35-Input_CI!$Y35)</f>
        <v>1.5</v>
      </c>
      <c r="N58" s="685">
        <f t="shared" si="11"/>
        <v>26</v>
      </c>
      <c r="O58" s="778">
        <f t="shared" si="12"/>
        <v>13.071428571428571</v>
      </c>
      <c r="P58" s="684">
        <f t="shared" si="12"/>
        <v>222</v>
      </c>
      <c r="Q58" s="777">
        <f>$I58*(Input_CI!$X35)/Input_CI!$AH$75</f>
        <v>1.0714285714285714</v>
      </c>
      <c r="R58" s="684">
        <f t="shared" si="13"/>
        <v>18</v>
      </c>
      <c r="S58" s="777">
        <f>U58*Input_CI!$Z35</f>
        <v>12</v>
      </c>
      <c r="T58" s="687">
        <f t="shared" si="21"/>
        <v>204</v>
      </c>
      <c r="U58" s="804">
        <f>IF(H58="상",산출기준_CI!J63,IF(H58="중",산출기준_CI!K63,IF(H58="하",산출기준_CI!L63,fault)))</f>
        <v>40</v>
      </c>
      <c r="V58" s="684">
        <f t="shared" si="22"/>
        <v>680</v>
      </c>
      <c r="W58" s="777">
        <f>$U58*(1-Input_CI!$Z35)</f>
        <v>28</v>
      </c>
      <c r="X58" s="684">
        <f t="shared" si="23"/>
        <v>476</v>
      </c>
      <c r="Y58" s="777">
        <f>$U58*(1-Input_CI!$Z35)+I58*Input_CI!$Y35/Input_CI!$AH$76</f>
        <v>28.357142857142858</v>
      </c>
      <c r="Z58" s="685">
        <f t="shared" si="14"/>
        <v>482</v>
      </c>
      <c r="AA58" s="688">
        <f t="shared" si="15"/>
        <v>723</v>
      </c>
      <c r="AB58" s="689">
        <f t="shared" si="16"/>
        <v>728</v>
      </c>
      <c r="AC58" s="690">
        <f t="shared" si="17"/>
        <v>730</v>
      </c>
      <c r="AD58" s="833"/>
    </row>
    <row r="59" spans="1:30" s="176" customFormat="1" ht="60" customHeight="1" x14ac:dyDescent="0.2">
      <c r="A59" s="674"/>
      <c r="B59" s="675"/>
      <c r="C59" s="675"/>
      <c r="D59" s="676" t="s">
        <v>223</v>
      </c>
      <c r="E59" s="834" t="s">
        <v>608</v>
      </c>
      <c r="F59" s="831" t="s">
        <v>203</v>
      </c>
      <c r="G59" s="835">
        <v>0</v>
      </c>
      <c r="H59" s="680" t="str">
        <f>Input_CI!$AJ$49</f>
        <v>상</v>
      </c>
      <c r="I59" s="804">
        <f>IF(H59="상",산출기준_CI!F64,IF(H59="중",산출기준_CI!G64,IF(H59="하",산출기준_CI!H64,fault)))</f>
        <v>4</v>
      </c>
      <c r="J59" s="682">
        <f t="shared" si="9"/>
        <v>0</v>
      </c>
      <c r="K59" s="777">
        <f>$I59*(1-Input_CI!$X36)</f>
        <v>2.8</v>
      </c>
      <c r="L59" s="684">
        <f t="shared" si="10"/>
        <v>0</v>
      </c>
      <c r="M59" s="777">
        <f>$I59*(1-Input_CI!$X36-Input_CI!$Y36)</f>
        <v>2.4</v>
      </c>
      <c r="N59" s="685">
        <f t="shared" si="11"/>
        <v>0</v>
      </c>
      <c r="O59" s="778">
        <f t="shared" si="12"/>
        <v>21.814285714285713</v>
      </c>
      <c r="P59" s="684">
        <f t="shared" si="12"/>
        <v>0</v>
      </c>
      <c r="Q59" s="777">
        <f>$I59*(Input_CI!$X36)/Input_CI!$AH$75</f>
        <v>1.7142857142857144</v>
      </c>
      <c r="R59" s="684">
        <f t="shared" si="13"/>
        <v>0</v>
      </c>
      <c r="S59" s="777">
        <f>U59*Input_CI!$Z36</f>
        <v>20.099999999999998</v>
      </c>
      <c r="T59" s="687">
        <f t="shared" si="21"/>
        <v>0</v>
      </c>
      <c r="U59" s="804">
        <f>IF(H59="상",산출기준_CI!J64,IF(H59="중",산출기준_CI!K64,IF(H59="하",산출기준_CI!L64,fault)))</f>
        <v>67</v>
      </c>
      <c r="V59" s="684">
        <f t="shared" si="22"/>
        <v>0</v>
      </c>
      <c r="W59" s="777">
        <f>$U59*(1-Input_CI!$Z36)</f>
        <v>46.9</v>
      </c>
      <c r="X59" s="684">
        <f t="shared" si="23"/>
        <v>0</v>
      </c>
      <c r="Y59" s="777">
        <f>$U59*(1-Input_CI!$Z36)+I59*Input_CI!$Y36/Input_CI!$AH$76</f>
        <v>47.471428571428568</v>
      </c>
      <c r="Z59" s="685">
        <f t="shared" si="14"/>
        <v>0</v>
      </c>
      <c r="AA59" s="688">
        <f t="shared" si="15"/>
        <v>0</v>
      </c>
      <c r="AB59" s="689">
        <f t="shared" si="16"/>
        <v>0</v>
      </c>
      <c r="AC59" s="690">
        <f t="shared" si="17"/>
        <v>0</v>
      </c>
      <c r="AD59" s="833"/>
    </row>
    <row r="60" spans="1:30" s="176" customFormat="1" ht="35.1" customHeight="1" x14ac:dyDescent="0.2">
      <c r="A60" s="674"/>
      <c r="B60" s="675"/>
      <c r="C60" s="675"/>
      <c r="D60" s="676" t="s">
        <v>228</v>
      </c>
      <c r="E60" s="834" t="s">
        <v>614</v>
      </c>
      <c r="F60" s="831" t="s">
        <v>203</v>
      </c>
      <c r="G60" s="835">
        <v>0</v>
      </c>
      <c r="H60" s="680" t="str">
        <f>Input_CI!$AJ$49</f>
        <v>상</v>
      </c>
      <c r="I60" s="804">
        <f>IF(H60="상",산출기준_CI!F65,IF(H60="중",산출기준_CI!G65,IF(H60="하",산출기준_CI!H65,fault)))</f>
        <v>3</v>
      </c>
      <c r="J60" s="682">
        <f t="shared" si="9"/>
        <v>0</v>
      </c>
      <c r="K60" s="777">
        <f>$I60*(1-Input_CI!$X37)</f>
        <v>2.0999999999999996</v>
      </c>
      <c r="L60" s="684">
        <f t="shared" si="10"/>
        <v>0</v>
      </c>
      <c r="M60" s="777">
        <f>$I60*(1-Input_CI!$X37-Input_CI!$Y37)</f>
        <v>1.7999999999999998</v>
      </c>
      <c r="N60" s="685">
        <f t="shared" si="11"/>
        <v>0</v>
      </c>
      <c r="O60" s="778">
        <f t="shared" si="12"/>
        <v>16.285714285714285</v>
      </c>
      <c r="P60" s="684">
        <f t="shared" si="12"/>
        <v>0</v>
      </c>
      <c r="Q60" s="777">
        <f>$I60*(Input_CI!$X37)/Input_CI!$AH$75</f>
        <v>1.2857142857142856</v>
      </c>
      <c r="R60" s="684">
        <f t="shared" si="13"/>
        <v>0</v>
      </c>
      <c r="S60" s="777">
        <f>U60*Input_CI!$Z37</f>
        <v>15</v>
      </c>
      <c r="T60" s="687">
        <f t="shared" si="21"/>
        <v>0</v>
      </c>
      <c r="U60" s="804">
        <f>IF(H60="상",산출기준_CI!J65,IF(H60="중",산출기준_CI!K65,IF(H60="하",산출기준_CI!L65,fault)))</f>
        <v>50</v>
      </c>
      <c r="V60" s="684">
        <f t="shared" si="22"/>
        <v>0</v>
      </c>
      <c r="W60" s="777">
        <f>$U60*(1-Input_CI!$Z37)</f>
        <v>35</v>
      </c>
      <c r="X60" s="684">
        <f t="shared" si="23"/>
        <v>0</v>
      </c>
      <c r="Y60" s="777">
        <f>$U60*(1-Input_CI!$Z37)+I60*Input_CI!$Y37/Input_CI!$AH$76</f>
        <v>35.428571428571431</v>
      </c>
      <c r="Z60" s="685">
        <f t="shared" si="14"/>
        <v>0</v>
      </c>
      <c r="AA60" s="688">
        <f t="shared" si="15"/>
        <v>0</v>
      </c>
      <c r="AB60" s="689">
        <f t="shared" si="16"/>
        <v>0</v>
      </c>
      <c r="AC60" s="690">
        <f t="shared" si="17"/>
        <v>0</v>
      </c>
      <c r="AD60" s="833"/>
    </row>
    <row r="61" spans="1:30" s="176" customFormat="1" ht="35.1" customHeight="1" x14ac:dyDescent="0.2">
      <c r="A61" s="674"/>
      <c r="B61" s="675"/>
      <c r="C61" s="675"/>
      <c r="D61" s="676" t="s">
        <v>232</v>
      </c>
      <c r="E61" s="834" t="s">
        <v>1031</v>
      </c>
      <c r="F61" s="831" t="s">
        <v>203</v>
      </c>
      <c r="G61" s="835">
        <v>0</v>
      </c>
      <c r="H61" s="680" t="str">
        <f>Input_CI!$AJ$49</f>
        <v>상</v>
      </c>
      <c r="I61" s="804">
        <f>IF(H61="상",산출기준_CI!F66,IF(H61="중",산출기준_CI!G66,IF(H61="하",산출기준_CI!H66,fault)))</f>
        <v>3</v>
      </c>
      <c r="J61" s="682">
        <f t="shared" si="9"/>
        <v>0</v>
      </c>
      <c r="K61" s="777">
        <f>$I61*(1-Input_CI!$X38)</f>
        <v>2.0999999999999996</v>
      </c>
      <c r="L61" s="684">
        <f t="shared" si="10"/>
        <v>0</v>
      </c>
      <c r="M61" s="777">
        <f>$I61*(1-Input_CI!$X38-Input_CI!$Y38)</f>
        <v>1.7999999999999998</v>
      </c>
      <c r="N61" s="685">
        <f t="shared" si="11"/>
        <v>0</v>
      </c>
      <c r="O61" s="778">
        <f t="shared" si="12"/>
        <v>11.485714285714284</v>
      </c>
      <c r="P61" s="684">
        <f t="shared" si="12"/>
        <v>0</v>
      </c>
      <c r="Q61" s="777">
        <f>$I61*(Input_CI!$X38)/Input_CI!$AH$75</f>
        <v>1.2857142857142856</v>
      </c>
      <c r="R61" s="684">
        <f t="shared" si="13"/>
        <v>0</v>
      </c>
      <c r="S61" s="777">
        <f>U61*Input_CI!$Z38</f>
        <v>10.199999999999999</v>
      </c>
      <c r="T61" s="687">
        <f t="shared" si="21"/>
        <v>0</v>
      </c>
      <c r="U61" s="804">
        <f>IF(H61="상",산출기준_CI!J66,IF(H61="중",산출기준_CI!K66,IF(H61="하",산출기준_CI!L66,fault)))</f>
        <v>34</v>
      </c>
      <c r="V61" s="684">
        <f t="shared" si="22"/>
        <v>0</v>
      </c>
      <c r="W61" s="777">
        <f>$U61*(1-Input_CI!$Z38)</f>
        <v>23.799999999999997</v>
      </c>
      <c r="X61" s="684">
        <f t="shared" si="23"/>
        <v>0</v>
      </c>
      <c r="Y61" s="777">
        <f>$U61*(1-Input_CI!$Z38)+I61*Input_CI!$Y38/Input_CI!$AH$76</f>
        <v>24.228571428571424</v>
      </c>
      <c r="Z61" s="685">
        <f t="shared" si="14"/>
        <v>0</v>
      </c>
      <c r="AA61" s="688">
        <f t="shared" si="15"/>
        <v>0</v>
      </c>
      <c r="AB61" s="689">
        <f t="shared" si="16"/>
        <v>0</v>
      </c>
      <c r="AC61" s="690">
        <f t="shared" si="17"/>
        <v>0</v>
      </c>
      <c r="AD61" s="833"/>
    </row>
    <row r="62" spans="1:30" s="176" customFormat="1" ht="35.1" customHeight="1" x14ac:dyDescent="0.2">
      <c r="A62" s="674"/>
      <c r="B62" s="675"/>
      <c r="C62" s="675"/>
      <c r="D62" s="676" t="s">
        <v>236</v>
      </c>
      <c r="E62" s="830" t="s">
        <v>1032</v>
      </c>
      <c r="F62" s="831" t="s">
        <v>203</v>
      </c>
      <c r="G62" s="832">
        <f>Input_CI!$AA$40</f>
        <v>12</v>
      </c>
      <c r="H62" s="680" t="str">
        <f>Input_CI!$AJ$49</f>
        <v>상</v>
      </c>
      <c r="I62" s="804">
        <f>IF(H62="상",산출기준_CI!F67,IF(H62="중",산출기준_CI!G67,IF(H62="하",산출기준_CI!H67,fault)))</f>
        <v>3</v>
      </c>
      <c r="J62" s="682">
        <f t="shared" si="9"/>
        <v>36</v>
      </c>
      <c r="K62" s="777">
        <f>$I62*(1-Input_CI!$X40)</f>
        <v>2.0999999999999996</v>
      </c>
      <c r="L62" s="684">
        <f t="shared" si="10"/>
        <v>25</v>
      </c>
      <c r="M62" s="777">
        <f>$I62*(1-Input_CI!$X40-Input_CI!$Y40)</f>
        <v>1.7999999999999998</v>
      </c>
      <c r="N62" s="685">
        <f t="shared" si="11"/>
        <v>22</v>
      </c>
      <c r="O62" s="778">
        <f t="shared" si="12"/>
        <v>11.485714285714284</v>
      </c>
      <c r="P62" s="684">
        <f t="shared" si="12"/>
        <v>137</v>
      </c>
      <c r="Q62" s="777">
        <f>$I62*(Input_CI!$X40)/Input_CI!$AH$75</f>
        <v>1.2857142857142856</v>
      </c>
      <c r="R62" s="684">
        <f t="shared" si="13"/>
        <v>15</v>
      </c>
      <c r="S62" s="777">
        <f>U62*Input_CI!$Z40</f>
        <v>10.199999999999999</v>
      </c>
      <c r="T62" s="687">
        <f t="shared" si="21"/>
        <v>122</v>
      </c>
      <c r="U62" s="804">
        <f>IF(H62="상",산출기준_CI!J67,IF(H62="중",산출기준_CI!K67,IF(H62="하",산출기준_CI!L67,fault)))</f>
        <v>34</v>
      </c>
      <c r="V62" s="684">
        <f t="shared" si="22"/>
        <v>408</v>
      </c>
      <c r="W62" s="777">
        <f>$U62*(1-Input_CI!$Z40)</f>
        <v>23.799999999999997</v>
      </c>
      <c r="X62" s="684">
        <f t="shared" si="23"/>
        <v>286</v>
      </c>
      <c r="Y62" s="777">
        <f>$U62*(1-Input_CI!$Z40)+I62*Input_CI!$Y40/Input_CI!$AH$76</f>
        <v>24.228571428571424</v>
      </c>
      <c r="Z62" s="685">
        <f t="shared" si="14"/>
        <v>291</v>
      </c>
      <c r="AA62" s="688">
        <f t="shared" si="15"/>
        <v>444</v>
      </c>
      <c r="AB62" s="689">
        <f t="shared" si="16"/>
        <v>448</v>
      </c>
      <c r="AC62" s="690">
        <f t="shared" si="17"/>
        <v>450</v>
      </c>
      <c r="AD62" s="833"/>
    </row>
    <row r="63" spans="1:30" s="176" customFormat="1" ht="21.9" customHeight="1" x14ac:dyDescent="0.2">
      <c r="A63" s="674"/>
      <c r="B63" s="675"/>
      <c r="C63" s="675"/>
      <c r="D63" s="676" t="s">
        <v>241</v>
      </c>
      <c r="E63" s="834" t="s">
        <v>635</v>
      </c>
      <c r="F63" s="831" t="s">
        <v>203</v>
      </c>
      <c r="G63" s="832">
        <f>Input_CI!$AA$41</f>
        <v>8</v>
      </c>
      <c r="H63" s="680" t="str">
        <f>Input_CI!$AJ$49</f>
        <v>상</v>
      </c>
      <c r="I63" s="804">
        <f>IF(H63="상",산출기준_CI!F68,IF(H63="중",산출기준_CI!G68,IF(H63="하",산출기준_CI!H68,fault)))</f>
        <v>4</v>
      </c>
      <c r="J63" s="682">
        <f t="shared" si="9"/>
        <v>32</v>
      </c>
      <c r="K63" s="777">
        <f>$I63*(1-Input_CI!$X41)</f>
        <v>2.8</v>
      </c>
      <c r="L63" s="684">
        <f t="shared" si="10"/>
        <v>22</v>
      </c>
      <c r="M63" s="777">
        <f>$I63*(1-Input_CI!$X41-Input_CI!$Y41)</f>
        <v>2.4</v>
      </c>
      <c r="N63" s="685">
        <f t="shared" si="11"/>
        <v>19</v>
      </c>
      <c r="O63" s="778">
        <f t="shared" si="12"/>
        <v>13.714285714285715</v>
      </c>
      <c r="P63" s="684">
        <f t="shared" si="12"/>
        <v>110</v>
      </c>
      <c r="Q63" s="777">
        <f>$I63*(Input_CI!$X41)/Input_CI!$AH$75</f>
        <v>1.7142857142857144</v>
      </c>
      <c r="R63" s="684">
        <f t="shared" si="13"/>
        <v>14</v>
      </c>
      <c r="S63" s="777">
        <f>U63*Input_CI!$Z41</f>
        <v>12</v>
      </c>
      <c r="T63" s="687">
        <f t="shared" si="21"/>
        <v>96</v>
      </c>
      <c r="U63" s="804">
        <f>IF(H63="상",산출기준_CI!J68,IF(H63="중",산출기준_CI!K68,IF(H63="하",산출기준_CI!L68,fault)))</f>
        <v>40</v>
      </c>
      <c r="V63" s="684">
        <f t="shared" si="22"/>
        <v>320</v>
      </c>
      <c r="W63" s="777">
        <f>$U63*(1-Input_CI!$Z41)</f>
        <v>28</v>
      </c>
      <c r="X63" s="684">
        <f t="shared" si="23"/>
        <v>224</v>
      </c>
      <c r="Y63" s="777">
        <f>$U63*(1-Input_CI!$Z41)+I63*Input_CI!$Y41/Input_CI!$AH$76</f>
        <v>28.571428571428573</v>
      </c>
      <c r="Z63" s="685">
        <f t="shared" si="14"/>
        <v>229</v>
      </c>
      <c r="AA63" s="688">
        <f t="shared" si="15"/>
        <v>352</v>
      </c>
      <c r="AB63" s="689">
        <f t="shared" si="16"/>
        <v>356</v>
      </c>
      <c r="AC63" s="690">
        <f t="shared" si="17"/>
        <v>358</v>
      </c>
      <c r="AD63" s="833"/>
    </row>
    <row r="64" spans="1:30" s="176" customFormat="1" ht="21.9" customHeight="1" x14ac:dyDescent="0.2">
      <c r="A64" s="674"/>
      <c r="B64" s="675"/>
      <c r="C64" s="675"/>
      <c r="D64" s="676" t="s">
        <v>245</v>
      </c>
      <c r="E64" s="834" t="s">
        <v>246</v>
      </c>
      <c r="F64" s="831" t="s">
        <v>203</v>
      </c>
      <c r="G64" s="832">
        <f>Input_CI!$AA$42</f>
        <v>8</v>
      </c>
      <c r="H64" s="680" t="str">
        <f>Input_CI!$AJ$49</f>
        <v>상</v>
      </c>
      <c r="I64" s="804">
        <f>IF(H64="상",산출기준_CI!F69,IF(H64="중",산출기준_CI!G69,IF(H64="하",산출기준_CI!H69,fault)))</f>
        <v>2</v>
      </c>
      <c r="J64" s="682">
        <f t="shared" si="9"/>
        <v>16</v>
      </c>
      <c r="K64" s="777">
        <f>$I64*(1-Input_CI!$X42)</f>
        <v>1.4</v>
      </c>
      <c r="L64" s="684">
        <f t="shared" si="10"/>
        <v>11</v>
      </c>
      <c r="M64" s="777">
        <f>$I64*(1-Input_CI!$X42-Input_CI!$Y42)</f>
        <v>1.2</v>
      </c>
      <c r="N64" s="685">
        <f t="shared" si="11"/>
        <v>10</v>
      </c>
      <c r="O64" s="778">
        <f t="shared" si="12"/>
        <v>6.5571428571428569</v>
      </c>
      <c r="P64" s="684">
        <f t="shared" si="12"/>
        <v>53</v>
      </c>
      <c r="Q64" s="777">
        <f>$I64*(Input_CI!$X42)/Input_CI!$AH$75</f>
        <v>0.85714285714285721</v>
      </c>
      <c r="R64" s="684">
        <f t="shared" si="13"/>
        <v>7</v>
      </c>
      <c r="S64" s="777">
        <f>U64*Input_CI!$Z42</f>
        <v>5.7</v>
      </c>
      <c r="T64" s="687">
        <f t="shared" si="21"/>
        <v>46</v>
      </c>
      <c r="U64" s="804">
        <f>IF(H64="상",산출기준_CI!J69,IF(H64="중",산출기준_CI!K69,IF(H64="하",산출기준_CI!L69,fault)))</f>
        <v>19</v>
      </c>
      <c r="V64" s="684">
        <f t="shared" si="22"/>
        <v>152</v>
      </c>
      <c r="W64" s="777">
        <f>$U64*(1-Input_CI!$Z42)</f>
        <v>13.299999999999999</v>
      </c>
      <c r="X64" s="684">
        <f t="shared" si="23"/>
        <v>106</v>
      </c>
      <c r="Y64" s="777">
        <f>$U64*(1-Input_CI!$Z42)+I64*Input_CI!$Y42/Input_CI!$AH$76</f>
        <v>13.585714285714285</v>
      </c>
      <c r="Z64" s="685">
        <f t="shared" si="14"/>
        <v>109</v>
      </c>
      <c r="AA64" s="688">
        <f t="shared" si="15"/>
        <v>168</v>
      </c>
      <c r="AB64" s="689">
        <f t="shared" si="16"/>
        <v>170</v>
      </c>
      <c r="AC64" s="690">
        <f t="shared" si="17"/>
        <v>172</v>
      </c>
      <c r="AD64" s="833"/>
    </row>
    <row r="65" spans="1:32" s="176" customFormat="1" ht="50.1" customHeight="1" x14ac:dyDescent="0.2">
      <c r="A65" s="674"/>
      <c r="B65" s="675"/>
      <c r="C65" s="675"/>
      <c r="D65" s="676" t="s">
        <v>249</v>
      </c>
      <c r="E65" s="788" t="s">
        <v>648</v>
      </c>
      <c r="F65" s="781" t="s">
        <v>156</v>
      </c>
      <c r="G65" s="776">
        <f>IF(ROUNDUP(((G7+G6)/15),0)&gt;40, ROUNDUP(((G7+G6)/15),0), 40)</f>
        <v>51</v>
      </c>
      <c r="H65" s="680" t="str">
        <f>Input_CI!$AJ$50</f>
        <v>SPI</v>
      </c>
      <c r="I65" s="748">
        <f>IF(H65="SPI",산출기준_CI!E70,IF(H65="상",산출기준_CI!F70,IF(H65="중",산출기준_CI!G70,IF(H65="하",산출기준_CI!H70,fault))))</f>
        <v>0.5</v>
      </c>
      <c r="J65" s="682">
        <f t="shared" si="9"/>
        <v>26</v>
      </c>
      <c r="K65" s="777">
        <f>$I65*(1-Input_CI!$X43)</f>
        <v>0.35</v>
      </c>
      <c r="L65" s="684">
        <f t="shared" si="10"/>
        <v>18</v>
      </c>
      <c r="M65" s="777">
        <f>$I65*(1-Input_CI!$X43-Input_CI!$Y43)</f>
        <v>0.3</v>
      </c>
      <c r="N65" s="685">
        <f t="shared" si="11"/>
        <v>15</v>
      </c>
      <c r="O65" s="778">
        <f t="shared" si="12"/>
        <v>1.5642857142857141</v>
      </c>
      <c r="P65" s="684">
        <f t="shared" si="12"/>
        <v>80</v>
      </c>
      <c r="Q65" s="777">
        <f>$I65*(Input_CI!$X43)/Input_CI!$AH$75</f>
        <v>0.2142857142857143</v>
      </c>
      <c r="R65" s="684">
        <f t="shared" si="13"/>
        <v>11</v>
      </c>
      <c r="S65" s="777">
        <f>U65*Input_CI!$Z43</f>
        <v>1.3499999999999999</v>
      </c>
      <c r="T65" s="687">
        <f t="shared" si="21"/>
        <v>69</v>
      </c>
      <c r="U65" s="748">
        <f>IF(H65="SPI",산출기준_CI!I70,IF(H65="상",산출기준_CI!J70,IF(H65="중",산출기준_CI!K70,IF(H65="하",산출기준_CI!L70,fault))))</f>
        <v>4.5</v>
      </c>
      <c r="V65" s="684">
        <f t="shared" si="22"/>
        <v>230</v>
      </c>
      <c r="W65" s="777">
        <f>$U65*(1-Input_CI!$Z43)</f>
        <v>3.15</v>
      </c>
      <c r="X65" s="684">
        <f t="shared" si="23"/>
        <v>161</v>
      </c>
      <c r="Y65" s="777">
        <f>$U65*(1-Input_CI!$Z43)+I65*Input_CI!$Y43/Input_CI!$AH$76</f>
        <v>3.2214285714285715</v>
      </c>
      <c r="Z65" s="685">
        <f t="shared" si="14"/>
        <v>164</v>
      </c>
      <c r="AA65" s="688">
        <f t="shared" si="15"/>
        <v>256</v>
      </c>
      <c r="AB65" s="689">
        <f t="shared" si="16"/>
        <v>259</v>
      </c>
      <c r="AC65" s="690">
        <f t="shared" si="17"/>
        <v>259</v>
      </c>
      <c r="AD65" s="780" t="s">
        <v>1017</v>
      </c>
    </row>
    <row r="66" spans="1:32" s="176" customFormat="1" ht="50.1" customHeight="1" x14ac:dyDescent="0.2">
      <c r="A66" s="674"/>
      <c r="B66" s="675"/>
      <c r="C66" s="675"/>
      <c r="D66" s="676" t="s">
        <v>252</v>
      </c>
      <c r="E66" s="788" t="s">
        <v>654</v>
      </c>
      <c r="F66" s="781" t="s">
        <v>156</v>
      </c>
      <c r="G66" s="776">
        <f>IF(ROUNDUP(((G8+G9)/20),0)&gt;20, ROUNDUP(((G8+G9)/20),0), 20)</f>
        <v>20</v>
      </c>
      <c r="H66" s="680" t="str">
        <f>Input_CI!$AJ$51</f>
        <v>SPI</v>
      </c>
      <c r="I66" s="748">
        <f>IF(H66="SPI",산출기준_CI!E71,IF(H66="상",산출기준_CI!F71,IF(H66="중",산출기준_CI!G71,IF(H66="하",산출기준_CI!H71,fault))))</f>
        <v>0.5</v>
      </c>
      <c r="J66" s="682">
        <f t="shared" si="9"/>
        <v>10</v>
      </c>
      <c r="K66" s="777">
        <f>$I66*(1-Input_CI!$X44)</f>
        <v>0.35</v>
      </c>
      <c r="L66" s="684">
        <f t="shared" si="10"/>
        <v>7</v>
      </c>
      <c r="M66" s="777">
        <f>$I66*(1-Input_CI!$X44-Input_CI!$Y44)</f>
        <v>0.3</v>
      </c>
      <c r="N66" s="685">
        <f t="shared" si="11"/>
        <v>6</v>
      </c>
      <c r="O66" s="778">
        <f t="shared" si="12"/>
        <v>1.5642857142857141</v>
      </c>
      <c r="P66" s="684">
        <f t="shared" si="12"/>
        <v>31</v>
      </c>
      <c r="Q66" s="777">
        <f>$I66*(Input_CI!$X44)/Input_CI!$AH$75</f>
        <v>0.2142857142857143</v>
      </c>
      <c r="R66" s="684">
        <f t="shared" si="13"/>
        <v>4</v>
      </c>
      <c r="S66" s="777">
        <f>U66*Input_CI!$Z44</f>
        <v>1.3499999999999999</v>
      </c>
      <c r="T66" s="687">
        <f t="shared" si="21"/>
        <v>27</v>
      </c>
      <c r="U66" s="748">
        <f>IF(H66="SPI",산출기준_CI!I71,IF(H66="상",산출기준_CI!J71,IF(H66="중",산출기준_CI!K71,IF(H66="하",산출기준_CI!L71,fault))))</f>
        <v>4.5</v>
      </c>
      <c r="V66" s="684">
        <f t="shared" si="22"/>
        <v>90</v>
      </c>
      <c r="W66" s="777">
        <f>$U66*(1-Input_CI!$Z44)</f>
        <v>3.15</v>
      </c>
      <c r="X66" s="684">
        <f t="shared" si="23"/>
        <v>63</v>
      </c>
      <c r="Y66" s="777">
        <f>$U66*(1-Input_CI!$Z44)+I66*Input_CI!$Y44/Input_CI!$AH$76</f>
        <v>3.2214285714285715</v>
      </c>
      <c r="Z66" s="685">
        <f t="shared" si="14"/>
        <v>64</v>
      </c>
      <c r="AA66" s="688">
        <f t="shared" si="15"/>
        <v>100</v>
      </c>
      <c r="AB66" s="689">
        <f t="shared" si="16"/>
        <v>101</v>
      </c>
      <c r="AC66" s="690">
        <f t="shared" si="17"/>
        <v>101</v>
      </c>
      <c r="AD66" s="780" t="s">
        <v>1017</v>
      </c>
    </row>
    <row r="67" spans="1:32" s="176" customFormat="1" ht="50.1" customHeight="1" x14ac:dyDescent="0.2">
      <c r="A67" s="674"/>
      <c r="B67" s="675"/>
      <c r="C67" s="675"/>
      <c r="D67" s="676" t="s">
        <v>255</v>
      </c>
      <c r="E67" s="788" t="s">
        <v>256</v>
      </c>
      <c r="F67" s="781" t="s">
        <v>156</v>
      </c>
      <c r="G67" s="776">
        <f>IF(ROUND(Input_CI!I46/20,0)&gt;20, ROUND(Input_CI!I46/20,0), 20)</f>
        <v>20</v>
      </c>
      <c r="H67" s="680" t="str">
        <f>Input_CI!$AJ$52</f>
        <v>SPI</v>
      </c>
      <c r="I67" s="748">
        <f>IF(H67="SPI",산출기준_CI!E72,IF(H67="상",산출기준_CI!F72,IF(H67="중",산출기준_CI!G72,IF(H67="하",산출기준_CI!H72,fault))))</f>
        <v>0.5</v>
      </c>
      <c r="J67" s="682">
        <f t="shared" si="9"/>
        <v>10</v>
      </c>
      <c r="K67" s="777">
        <f>$I67*(1-Input_CI!$X45)</f>
        <v>0.35</v>
      </c>
      <c r="L67" s="684">
        <f t="shared" si="10"/>
        <v>7</v>
      </c>
      <c r="M67" s="777">
        <f>$I67*(1-Input_CI!$X45-Input_CI!$Y45)</f>
        <v>0.3</v>
      </c>
      <c r="N67" s="685">
        <f t="shared" si="11"/>
        <v>6</v>
      </c>
      <c r="O67" s="778">
        <f t="shared" si="12"/>
        <v>1.5642857142857141</v>
      </c>
      <c r="P67" s="684">
        <f t="shared" si="12"/>
        <v>31</v>
      </c>
      <c r="Q67" s="777">
        <f>$I67*(Input_CI!$X45)/Input_CI!$AH$75</f>
        <v>0.2142857142857143</v>
      </c>
      <c r="R67" s="684">
        <f t="shared" si="13"/>
        <v>4</v>
      </c>
      <c r="S67" s="777">
        <f>U67*Input_CI!$Z45</f>
        <v>1.3499999999999999</v>
      </c>
      <c r="T67" s="687">
        <f t="shared" si="21"/>
        <v>27</v>
      </c>
      <c r="U67" s="748">
        <f>IF(H67="SPI",산출기준_CI!I72,IF(H67="상",산출기준_CI!J72,IF(H67="중",산출기준_CI!K72,IF(H67="하",산출기준_CI!L72,fault))))</f>
        <v>4.5</v>
      </c>
      <c r="V67" s="684">
        <f t="shared" si="22"/>
        <v>90</v>
      </c>
      <c r="W67" s="777">
        <f>$U67*(1-Input_CI!$Z45)</f>
        <v>3.15</v>
      </c>
      <c r="X67" s="684">
        <f t="shared" si="23"/>
        <v>63</v>
      </c>
      <c r="Y67" s="777">
        <f>$U67*(1-Input_CI!$Z45)+I67*Input_CI!$Y45/Input_CI!$AH$76</f>
        <v>3.2214285714285715</v>
      </c>
      <c r="Z67" s="685">
        <f t="shared" si="14"/>
        <v>64</v>
      </c>
      <c r="AA67" s="688">
        <f t="shared" si="15"/>
        <v>100</v>
      </c>
      <c r="AB67" s="689">
        <f t="shared" si="16"/>
        <v>101</v>
      </c>
      <c r="AC67" s="690">
        <f t="shared" si="17"/>
        <v>101</v>
      </c>
      <c r="AD67" s="780" t="s">
        <v>1017</v>
      </c>
    </row>
    <row r="68" spans="1:32" s="176" customFormat="1" ht="21.9" customHeight="1" x14ac:dyDescent="0.2">
      <c r="A68" s="674"/>
      <c r="B68" s="675"/>
      <c r="C68" s="675"/>
      <c r="D68" s="676" t="s">
        <v>259</v>
      </c>
      <c r="E68" s="788" t="s">
        <v>260</v>
      </c>
      <c r="F68" s="781" t="s">
        <v>156</v>
      </c>
      <c r="G68" s="776">
        <f>Input_CI!$AA$46</f>
        <v>110</v>
      </c>
      <c r="H68" s="784" t="s">
        <v>114</v>
      </c>
      <c r="I68" s="837">
        <f>산출기준_CI!G73</f>
        <v>0.5</v>
      </c>
      <c r="J68" s="682">
        <f t="shared" si="9"/>
        <v>55</v>
      </c>
      <c r="K68" s="777">
        <f>$I68*(1-Input_CI!$X46)</f>
        <v>0.35</v>
      </c>
      <c r="L68" s="684">
        <f t="shared" si="10"/>
        <v>39</v>
      </c>
      <c r="M68" s="777">
        <f>$I68*(1-Input_CI!$X46-Input_CI!$Y46)</f>
        <v>0.3</v>
      </c>
      <c r="N68" s="685">
        <f t="shared" si="11"/>
        <v>33</v>
      </c>
      <c r="O68" s="778">
        <f t="shared" si="12"/>
        <v>0.81428571428571428</v>
      </c>
      <c r="P68" s="684">
        <f t="shared" si="12"/>
        <v>90</v>
      </c>
      <c r="Q68" s="777">
        <f>$I68*(Input_CI!$X46)/Input_CI!$AH$75</f>
        <v>0.2142857142857143</v>
      </c>
      <c r="R68" s="684">
        <f t="shared" si="13"/>
        <v>24</v>
      </c>
      <c r="S68" s="777">
        <f>U68*Input_CI!$Z46</f>
        <v>0.6</v>
      </c>
      <c r="T68" s="687">
        <f t="shared" si="21"/>
        <v>66</v>
      </c>
      <c r="U68" s="837">
        <f>산출기준_CI!K73</f>
        <v>2</v>
      </c>
      <c r="V68" s="684">
        <f t="shared" si="22"/>
        <v>220</v>
      </c>
      <c r="W68" s="777">
        <f>$U68*(1-Input_CI!$Z46)</f>
        <v>1.4</v>
      </c>
      <c r="X68" s="684">
        <f t="shared" si="23"/>
        <v>154</v>
      </c>
      <c r="Y68" s="777">
        <f>$U68*(1-Input_CI!$Z46)+I68*Input_CI!$Y46/Input_CI!$AH$76</f>
        <v>1.4714285714285713</v>
      </c>
      <c r="Z68" s="685">
        <f t="shared" si="14"/>
        <v>162</v>
      </c>
      <c r="AA68" s="688">
        <f t="shared" si="15"/>
        <v>275</v>
      </c>
      <c r="AB68" s="689">
        <f t="shared" si="16"/>
        <v>283</v>
      </c>
      <c r="AC68" s="690">
        <f t="shared" si="17"/>
        <v>285</v>
      </c>
      <c r="AD68" s="780"/>
      <c r="AF68" s="73" t="s">
        <v>1033</v>
      </c>
    </row>
    <row r="69" spans="1:32" s="176" customFormat="1" ht="21.9" customHeight="1" x14ac:dyDescent="0.2">
      <c r="A69" s="674"/>
      <c r="B69" s="675"/>
      <c r="C69" s="675"/>
      <c r="D69" s="676" t="s">
        <v>263</v>
      </c>
      <c r="E69" s="788" t="s">
        <v>264</v>
      </c>
      <c r="F69" s="781" t="s">
        <v>265</v>
      </c>
      <c r="G69" s="776">
        <f>Input_CI!$AA$47</f>
        <v>95</v>
      </c>
      <c r="H69" s="784" t="s">
        <v>114</v>
      </c>
      <c r="I69" s="837">
        <f>산출기준_CI!G74</f>
        <v>2</v>
      </c>
      <c r="J69" s="682">
        <f t="shared" si="9"/>
        <v>190</v>
      </c>
      <c r="K69" s="777">
        <f>$I69*(1-Input_CI!$X47)</f>
        <v>1.4</v>
      </c>
      <c r="L69" s="684">
        <f t="shared" si="10"/>
        <v>133</v>
      </c>
      <c r="M69" s="777">
        <f>$I69*(1-Input_CI!$X47-Input_CI!$Y47)</f>
        <v>1.2</v>
      </c>
      <c r="N69" s="685">
        <f t="shared" si="11"/>
        <v>114</v>
      </c>
      <c r="O69" s="778">
        <f t="shared" si="12"/>
        <v>1.0071428571428571</v>
      </c>
      <c r="P69" s="684">
        <f t="shared" si="12"/>
        <v>95</v>
      </c>
      <c r="Q69" s="777">
        <f>$I69*(Input_CI!$X47)/Input_CI!$AH$75</f>
        <v>0.85714285714285721</v>
      </c>
      <c r="R69" s="684">
        <f t="shared" si="13"/>
        <v>81</v>
      </c>
      <c r="S69" s="777">
        <f>U69*Input_CI!$Z47</f>
        <v>0.15</v>
      </c>
      <c r="T69" s="687">
        <f t="shared" si="21"/>
        <v>14</v>
      </c>
      <c r="U69" s="837">
        <f>산출기준_CI!K74</f>
        <v>0.5</v>
      </c>
      <c r="V69" s="684">
        <f t="shared" si="22"/>
        <v>48</v>
      </c>
      <c r="W69" s="777">
        <f>$U69*(1-Input_CI!$Z47)</f>
        <v>0.35</v>
      </c>
      <c r="X69" s="684">
        <f t="shared" si="23"/>
        <v>33</v>
      </c>
      <c r="Y69" s="777">
        <f>$U69*(1-Input_CI!$Z47)+I69*Input_CI!$Y47/Input_CI!$AH$76</f>
        <v>0.63571428571428568</v>
      </c>
      <c r="Z69" s="685">
        <f t="shared" si="14"/>
        <v>60</v>
      </c>
      <c r="AA69" s="688">
        <f t="shared" si="15"/>
        <v>238</v>
      </c>
      <c r="AB69" s="689">
        <f t="shared" si="16"/>
        <v>261</v>
      </c>
      <c r="AC69" s="690">
        <f t="shared" si="17"/>
        <v>269</v>
      </c>
      <c r="AD69" s="780"/>
    </row>
    <row r="70" spans="1:32" s="176" customFormat="1" ht="50.1" customHeight="1" x14ac:dyDescent="0.2">
      <c r="A70" s="674"/>
      <c r="B70" s="675"/>
      <c r="C70" s="675"/>
      <c r="D70" s="676" t="s">
        <v>268</v>
      </c>
      <c r="E70" s="774" t="s">
        <v>1034</v>
      </c>
      <c r="F70" s="781" t="s">
        <v>156</v>
      </c>
      <c r="G70" s="835">
        <v>0</v>
      </c>
      <c r="H70" s="680" t="str">
        <f>Input_CI!$AJ$53</f>
        <v>SPI</v>
      </c>
      <c r="I70" s="748">
        <f>IF(H70="SPI",산출기준_CI!E75,산출기준_CI!G75)</f>
        <v>0.5</v>
      </c>
      <c r="J70" s="682">
        <f t="shared" si="9"/>
        <v>0</v>
      </c>
      <c r="K70" s="777">
        <f>$I70*(1-Input_CI!$X48)</f>
        <v>0.35</v>
      </c>
      <c r="L70" s="684">
        <f t="shared" si="10"/>
        <v>0</v>
      </c>
      <c r="M70" s="777">
        <f>$I70*(1-Input_CI!$X48-Input_CI!$Y48)</f>
        <v>0.3</v>
      </c>
      <c r="N70" s="685">
        <f t="shared" si="11"/>
        <v>0</v>
      </c>
      <c r="O70" s="778">
        <f t="shared" si="12"/>
        <v>0.81428571428571428</v>
      </c>
      <c r="P70" s="684">
        <f t="shared" si="12"/>
        <v>0</v>
      </c>
      <c r="Q70" s="777">
        <f>$I70*(Input_CI!$X48)/Input_CI!$AH$75</f>
        <v>0.2142857142857143</v>
      </c>
      <c r="R70" s="684">
        <f t="shared" si="13"/>
        <v>0</v>
      </c>
      <c r="S70" s="777">
        <f>U70*Input_CI!$Z48</f>
        <v>0.6</v>
      </c>
      <c r="T70" s="687">
        <f t="shared" si="21"/>
        <v>0</v>
      </c>
      <c r="U70" s="748">
        <f>IF(H70="SPI",산출기준_CI!I75,산출기준_CI!K75)</f>
        <v>2</v>
      </c>
      <c r="V70" s="684">
        <f t="shared" si="22"/>
        <v>0</v>
      </c>
      <c r="W70" s="777">
        <f>$U70*(1-Input_CI!$Z48)</f>
        <v>1.4</v>
      </c>
      <c r="X70" s="684">
        <f t="shared" si="23"/>
        <v>0</v>
      </c>
      <c r="Y70" s="777">
        <f>$U70*(1-Input_CI!$Z48)+I70*Input_CI!$Y48/Input_CI!$AH$76</f>
        <v>1.4714285714285713</v>
      </c>
      <c r="Z70" s="685">
        <f t="shared" si="14"/>
        <v>0</v>
      </c>
      <c r="AA70" s="688">
        <f t="shared" si="15"/>
        <v>0</v>
      </c>
      <c r="AB70" s="689">
        <f t="shared" si="16"/>
        <v>0</v>
      </c>
      <c r="AC70" s="690">
        <f t="shared" si="17"/>
        <v>0</v>
      </c>
      <c r="AD70" s="780" t="s">
        <v>1017</v>
      </c>
    </row>
    <row r="71" spans="1:32" s="176" customFormat="1" ht="60" customHeight="1" x14ac:dyDescent="0.2">
      <c r="A71" s="674"/>
      <c r="B71" s="675"/>
      <c r="C71" s="675"/>
      <c r="D71" s="676" t="s">
        <v>272</v>
      </c>
      <c r="E71" s="788" t="s">
        <v>1035</v>
      </c>
      <c r="F71" s="781" t="s">
        <v>152</v>
      </c>
      <c r="G71" s="835">
        <v>0</v>
      </c>
      <c r="H71" s="680" t="str">
        <f>Input_CI!$AJ$54</f>
        <v>SPI</v>
      </c>
      <c r="I71" s="748">
        <f>IF(H71="SPI",산출기준_CI!E76,산출기준_CI!G76)</f>
        <v>0.3</v>
      </c>
      <c r="J71" s="682">
        <f t="shared" si="9"/>
        <v>0</v>
      </c>
      <c r="K71" s="777">
        <f>$I71*(1-Input_CI!$X49)</f>
        <v>0.21</v>
      </c>
      <c r="L71" s="684">
        <f t="shared" si="10"/>
        <v>0</v>
      </c>
      <c r="M71" s="777">
        <f>$I71*(1-Input_CI!$X49-Input_CI!$Y49)</f>
        <v>0.18</v>
      </c>
      <c r="N71" s="685">
        <f t="shared" si="11"/>
        <v>0</v>
      </c>
      <c r="O71" s="778">
        <f t="shared" si="12"/>
        <v>0.27857142857142858</v>
      </c>
      <c r="P71" s="684">
        <f t="shared" si="12"/>
        <v>0</v>
      </c>
      <c r="Q71" s="777">
        <f>$I71*(Input_CI!$X49)/Input_CI!$AH$75</f>
        <v>0.12857142857142859</v>
      </c>
      <c r="R71" s="684">
        <f t="shared" si="13"/>
        <v>0</v>
      </c>
      <c r="S71" s="777">
        <f>U71*Input_CI!$Z49</f>
        <v>0.15</v>
      </c>
      <c r="T71" s="687">
        <f t="shared" si="21"/>
        <v>0</v>
      </c>
      <c r="U71" s="748">
        <f>IF(H71="SPI",산출기준_CI!I76,산출기준_CI!K76)</f>
        <v>0.5</v>
      </c>
      <c r="V71" s="684">
        <f t="shared" si="22"/>
        <v>0</v>
      </c>
      <c r="W71" s="777">
        <f>$U71*(1-Input_CI!$Z49)</f>
        <v>0.35</v>
      </c>
      <c r="X71" s="684">
        <f t="shared" si="23"/>
        <v>0</v>
      </c>
      <c r="Y71" s="777">
        <f>$U71*(1-Input_CI!$Z49)+I71*Input_CI!$Y49/Input_CI!$AH$76</f>
        <v>0.39285714285714285</v>
      </c>
      <c r="Z71" s="685">
        <f t="shared" si="14"/>
        <v>0</v>
      </c>
      <c r="AA71" s="688">
        <f t="shared" si="15"/>
        <v>0</v>
      </c>
      <c r="AB71" s="689">
        <f t="shared" si="16"/>
        <v>0</v>
      </c>
      <c r="AC71" s="690">
        <f t="shared" si="17"/>
        <v>0</v>
      </c>
      <c r="AD71" s="780" t="s">
        <v>1017</v>
      </c>
    </row>
    <row r="72" spans="1:32" s="176" customFormat="1" ht="35.1" customHeight="1" x14ac:dyDescent="0.2">
      <c r="A72" s="674"/>
      <c r="B72" s="713"/>
      <c r="C72" s="713"/>
      <c r="D72" s="749" t="s">
        <v>1036</v>
      </c>
      <c r="E72" s="750" t="s">
        <v>277</v>
      </c>
      <c r="F72" s="751" t="s">
        <v>265</v>
      </c>
      <c r="G72" s="838">
        <f>Input_CI!$AA$50</f>
        <v>200</v>
      </c>
      <c r="H72" s="753" t="str">
        <f>Input_CI!$AJ$55</f>
        <v>중</v>
      </c>
      <c r="I72" s="839">
        <f>IF(H72="중",산출기준_CI!G77,IF(H72="하",산출기준_CI!H77,fault))</f>
        <v>2</v>
      </c>
      <c r="J72" s="754">
        <f t="shared" si="9"/>
        <v>400</v>
      </c>
      <c r="K72" s="840">
        <f>$I72*(1-Input_CI!$X50)</f>
        <v>1.4</v>
      </c>
      <c r="L72" s="756">
        <f t="shared" si="10"/>
        <v>280</v>
      </c>
      <c r="M72" s="840">
        <f>$I72*(1-Input_CI!$X50-Input_CI!$Y50)</f>
        <v>1.2</v>
      </c>
      <c r="N72" s="757">
        <f t="shared" si="11"/>
        <v>240</v>
      </c>
      <c r="O72" s="841">
        <f t="shared" si="12"/>
        <v>2.3571428571428572</v>
      </c>
      <c r="P72" s="756">
        <f t="shared" si="12"/>
        <v>471</v>
      </c>
      <c r="Q72" s="840">
        <f>$I72*(Input_CI!$X50)/Input_CI!$AH$75</f>
        <v>0.85714285714285721</v>
      </c>
      <c r="R72" s="756">
        <f t="shared" si="13"/>
        <v>171</v>
      </c>
      <c r="S72" s="840">
        <f>U72*Input_CI!$Z50</f>
        <v>1.5</v>
      </c>
      <c r="T72" s="759">
        <f t="shared" si="21"/>
        <v>300</v>
      </c>
      <c r="U72" s="839">
        <f>IF(H72="중",산출기준_CI!K77,IF(H72="하",산출기준_CI!L77,fault))</f>
        <v>5</v>
      </c>
      <c r="V72" s="756">
        <f t="shared" si="22"/>
        <v>1000</v>
      </c>
      <c r="W72" s="840">
        <f>$U72*(1-Input_CI!$Z50)</f>
        <v>3.5</v>
      </c>
      <c r="X72" s="756">
        <f t="shared" si="23"/>
        <v>700</v>
      </c>
      <c r="Y72" s="840">
        <f>$U72*(1-Input_CI!$Z50)+I72*Input_CI!$Y50/Input_CI!$AH$76</f>
        <v>3.7857142857142856</v>
      </c>
      <c r="Z72" s="757">
        <f t="shared" si="14"/>
        <v>757</v>
      </c>
      <c r="AA72" s="762">
        <f t="shared" si="15"/>
        <v>1400</v>
      </c>
      <c r="AB72" s="763">
        <f t="shared" si="16"/>
        <v>1451</v>
      </c>
      <c r="AC72" s="764">
        <f t="shared" si="17"/>
        <v>1468</v>
      </c>
      <c r="AD72" s="815"/>
    </row>
    <row r="73" spans="1:32" s="176" customFormat="1" ht="90" customHeight="1" x14ac:dyDescent="0.2">
      <c r="A73" s="674"/>
      <c r="B73" s="842" t="s">
        <v>284</v>
      </c>
      <c r="C73" s="842" t="s">
        <v>1037</v>
      </c>
      <c r="D73" s="232" t="s">
        <v>95</v>
      </c>
      <c r="E73" s="179" t="s">
        <v>1038</v>
      </c>
      <c r="F73" s="183" t="s">
        <v>97</v>
      </c>
      <c r="G73" s="843">
        <v>1</v>
      </c>
      <c r="H73" s="844" t="s">
        <v>114</v>
      </c>
      <c r="I73" s="845">
        <f>산출기준_CI!G80</f>
        <v>400</v>
      </c>
      <c r="J73" s="846">
        <f t="shared" si="9"/>
        <v>400</v>
      </c>
      <c r="K73" s="847">
        <f>$I73*(1-Input_CI!$X51)</f>
        <v>280</v>
      </c>
      <c r="L73" s="848">
        <f t="shared" si="10"/>
        <v>280</v>
      </c>
      <c r="M73" s="847">
        <f>$I73*(1-Input_CI!$X51-Input_CI!$Y51)</f>
        <v>240</v>
      </c>
      <c r="N73" s="849">
        <f t="shared" si="11"/>
        <v>240</v>
      </c>
      <c r="O73" s="850" t="s">
        <v>98</v>
      </c>
      <c r="P73" s="848">
        <f>R73+T73</f>
        <v>441</v>
      </c>
      <c r="Q73" s="851" t="s">
        <v>98</v>
      </c>
      <c r="R73" s="848">
        <f>ROUND(($I73*(Input_CI!$X51)/Input_CI!$AH$75)*G73,0)</f>
        <v>171</v>
      </c>
      <c r="S73" s="851" t="s">
        <v>98</v>
      </c>
      <c r="T73" s="852">
        <f>ROUND((V73*Input_CI!$Z51),0)</f>
        <v>270</v>
      </c>
      <c r="U73" s="845" t="s">
        <v>1039</v>
      </c>
      <c r="V73" s="848">
        <f>IF(Input_CI!$I$44&lt;200000,400,IF(Input_CI!$I$44&lt;500000,650,IF(Input_CI!$I$44&lt;1000000,900,IF(Input_CI!$I$44&lt;2000000,1200,1500))))</f>
        <v>900</v>
      </c>
      <c r="W73" s="853" t="s">
        <v>98</v>
      </c>
      <c r="X73" s="848">
        <f>ROUND(V73-Input_CI!$Z51*V73,0)</f>
        <v>630</v>
      </c>
      <c r="Y73" s="851" t="s">
        <v>98</v>
      </c>
      <c r="Z73" s="849">
        <f>ROUND(V73-Input_CI!$Z51*V73+J73*Input_CI!Y51/Input_CI!$AH$76,0)</f>
        <v>687</v>
      </c>
      <c r="AA73" s="854">
        <f t="shared" si="15"/>
        <v>1300</v>
      </c>
      <c r="AB73" s="855">
        <f t="shared" si="16"/>
        <v>1351</v>
      </c>
      <c r="AC73" s="856">
        <f t="shared" si="17"/>
        <v>1368</v>
      </c>
      <c r="AD73" s="857"/>
    </row>
    <row r="74" spans="1:32" s="176" customFormat="1" ht="38.25" customHeight="1" x14ac:dyDescent="0.2">
      <c r="A74" s="858"/>
      <c r="B74" s="798" t="s">
        <v>1040</v>
      </c>
      <c r="C74" s="798" t="s">
        <v>1041</v>
      </c>
      <c r="D74" s="859" t="s">
        <v>289</v>
      </c>
      <c r="E74" s="860"/>
      <c r="F74" s="861"/>
      <c r="G74" s="862"/>
      <c r="H74" s="863"/>
      <c r="I74" s="864"/>
      <c r="J74" s="865"/>
      <c r="K74" s="866"/>
      <c r="L74" s="867"/>
      <c r="M74" s="867"/>
      <c r="N74" s="868"/>
      <c r="O74" s="869"/>
      <c r="P74" s="867"/>
      <c r="Q74" s="867"/>
      <c r="R74" s="867"/>
      <c r="S74" s="867"/>
      <c r="T74" s="870"/>
      <c r="U74" s="871"/>
      <c r="V74" s="866"/>
      <c r="W74" s="872"/>
      <c r="X74" s="872"/>
      <c r="Y74" s="872"/>
      <c r="Z74" s="873"/>
      <c r="AA74" s="874"/>
      <c r="AB74" s="875"/>
      <c r="AC74" s="690"/>
      <c r="AD74" s="876"/>
    </row>
    <row r="75" spans="1:32" s="176" customFormat="1" ht="21.9" customHeight="1" x14ac:dyDescent="0.2">
      <c r="A75" s="877"/>
      <c r="B75" s="678"/>
      <c r="C75" s="678"/>
      <c r="D75" s="676" t="s">
        <v>1042</v>
      </c>
      <c r="E75" s="878" t="s">
        <v>1043</v>
      </c>
      <c r="F75" s="678" t="s">
        <v>152</v>
      </c>
      <c r="G75" s="776">
        <f>ROUNDUP((G4),0)</f>
        <v>6300</v>
      </c>
      <c r="H75" s="680" t="str">
        <f>Input_CI!$AJ$57</f>
        <v>N/A</v>
      </c>
      <c r="I75" s="837">
        <f>IF(H75="적용",산출기준_CI!E84,0)</f>
        <v>0</v>
      </c>
      <c r="J75" s="682">
        <f>ROUND((G75*I75),0)</f>
        <v>0</v>
      </c>
      <c r="K75" s="777">
        <f>$I75*(1-Input_CI!$F$55)</f>
        <v>0</v>
      </c>
      <c r="L75" s="684">
        <f>ROUND(K75*G75,0)</f>
        <v>0</v>
      </c>
      <c r="M75" s="777">
        <f>$I75*(1-Input_CI!$F$55-Input_CI!$G$55)</f>
        <v>0</v>
      </c>
      <c r="N75" s="685">
        <f>ROUND(M75*G75,0)</f>
        <v>0</v>
      </c>
      <c r="O75" s="778">
        <f t="shared" ref="O75:P78" si="24">Q75+S75</f>
        <v>0</v>
      </c>
      <c r="P75" s="684">
        <f t="shared" si="24"/>
        <v>0</v>
      </c>
      <c r="Q75" s="777">
        <f>$I75*(Input_CI!$F55)/Input_CI!$AH$75</f>
        <v>0</v>
      </c>
      <c r="R75" s="684">
        <f>ROUND(Q75*G75,0)</f>
        <v>0</v>
      </c>
      <c r="S75" s="777"/>
      <c r="T75" s="687"/>
      <c r="U75" s="681"/>
      <c r="V75" s="678"/>
      <c r="W75" s="777"/>
      <c r="X75" s="684"/>
      <c r="Y75" s="777">
        <f>$U75*(1-Input_CI!$H$55)+I75*Input_CI!$G$55/Input_CI!$AH$76</f>
        <v>0</v>
      </c>
      <c r="Z75" s="685">
        <f>ROUND(Y75*G75,0)</f>
        <v>0</v>
      </c>
      <c r="AA75" s="688">
        <f>SUM(J75,V75)</f>
        <v>0</v>
      </c>
      <c r="AB75" s="689">
        <f>L75+P75+X75</f>
        <v>0</v>
      </c>
      <c r="AC75" s="690">
        <f>N75+P75+Z75</f>
        <v>0</v>
      </c>
      <c r="AD75" s="691"/>
    </row>
    <row r="76" spans="1:32" s="176" customFormat="1" ht="21.9" customHeight="1" x14ac:dyDescent="0.2">
      <c r="A76" s="877"/>
      <c r="B76" s="678"/>
      <c r="C76" s="678"/>
      <c r="D76" s="676" t="s">
        <v>1044</v>
      </c>
      <c r="E76" s="878" t="s">
        <v>739</v>
      </c>
      <c r="F76" s="678" t="s">
        <v>152</v>
      </c>
      <c r="G76" s="776">
        <f>ROUNDUP((G4),0)</f>
        <v>6300</v>
      </c>
      <c r="H76" s="680" t="str">
        <f>Input_CI!$AJ$58</f>
        <v>N/A</v>
      </c>
      <c r="I76" s="837">
        <f>IF(H76="적용",산출기준_CI!E85,0)</f>
        <v>0</v>
      </c>
      <c r="J76" s="682">
        <f>ROUND((G76*I76),0)</f>
        <v>0</v>
      </c>
      <c r="K76" s="777">
        <f>$I76*(1-Input_CI!$F$55)</f>
        <v>0</v>
      </c>
      <c r="L76" s="684">
        <f>ROUND(K76*G76,0)</f>
        <v>0</v>
      </c>
      <c r="M76" s="777">
        <f>$I76*(1-Input_CI!$F$55-Input_CI!$G$55)</f>
        <v>0</v>
      </c>
      <c r="N76" s="685">
        <f>ROUND(M76*G76,0)</f>
        <v>0</v>
      </c>
      <c r="O76" s="778">
        <f t="shared" si="24"/>
        <v>0</v>
      </c>
      <c r="P76" s="684">
        <f t="shared" si="24"/>
        <v>0</v>
      </c>
      <c r="Q76" s="777">
        <f>$I76*(Input_CI!$F56)/Input_CI!$AH$75</f>
        <v>0</v>
      </c>
      <c r="R76" s="684">
        <f>ROUND(Q76*G76,0)</f>
        <v>0</v>
      </c>
      <c r="S76" s="777"/>
      <c r="T76" s="687"/>
      <c r="U76" s="681"/>
      <c r="V76" s="678"/>
      <c r="W76" s="777"/>
      <c r="X76" s="684"/>
      <c r="Y76" s="777">
        <f>$U76*(1-Input_CI!$H$55)+I76*Input_CI!$G$55/Input_CI!$AH$76</f>
        <v>0</v>
      </c>
      <c r="Z76" s="685">
        <f>ROUND(Y76*G76,0)</f>
        <v>0</v>
      </c>
      <c r="AA76" s="688">
        <f>SUM(J76,V76)</f>
        <v>0</v>
      </c>
      <c r="AB76" s="689">
        <f>L76+P76+X76</f>
        <v>0</v>
      </c>
      <c r="AC76" s="690">
        <f>N76+P76+Z76</f>
        <v>0</v>
      </c>
      <c r="AD76" s="691"/>
    </row>
    <row r="77" spans="1:32" s="176" customFormat="1" ht="34.5" customHeight="1" x14ac:dyDescent="0.2">
      <c r="A77" s="877"/>
      <c r="B77" s="678"/>
      <c r="C77" s="678"/>
      <c r="D77" s="822" t="s">
        <v>121</v>
      </c>
      <c r="E77" s="800" t="s">
        <v>1045</v>
      </c>
      <c r="F77" s="879" t="s">
        <v>1046</v>
      </c>
      <c r="G77" s="880">
        <v>0</v>
      </c>
      <c r="H77" s="826" t="str">
        <f>Input_CI!$AJ$59</f>
        <v>SPI</v>
      </c>
      <c r="I77" s="804"/>
      <c r="J77" s="805"/>
      <c r="K77" s="827"/>
      <c r="L77" s="827"/>
      <c r="M77" s="827"/>
      <c r="N77" s="881"/>
      <c r="O77" s="778">
        <f t="shared" si="24"/>
        <v>0.09</v>
      </c>
      <c r="P77" s="684">
        <f t="shared" si="24"/>
        <v>0</v>
      </c>
      <c r="Q77" s="777"/>
      <c r="R77" s="684"/>
      <c r="S77" s="777">
        <f>U77*Input_CI!$H57</f>
        <v>0.09</v>
      </c>
      <c r="T77" s="687">
        <f>ROUND(S77*G77,0)</f>
        <v>0</v>
      </c>
      <c r="U77" s="748">
        <f>IF(H77="SPI",산출기준_CI!I86,IF(H77="N/A",0,fault))</f>
        <v>0.3</v>
      </c>
      <c r="V77" s="684">
        <f>ROUND((G77*U77),0)</f>
        <v>0</v>
      </c>
      <c r="W77" s="777">
        <f>$U77*(1-Input_CI!$H57)</f>
        <v>0.21</v>
      </c>
      <c r="X77" s="684">
        <f>ROUND(W77*G77,0)</f>
        <v>0</v>
      </c>
      <c r="Y77" s="777">
        <f>$U77*(1-Input_CI!$H$55)+I77*Input_CI!$G$55/Input_CI!$AH$76</f>
        <v>0.3</v>
      </c>
      <c r="Z77" s="685">
        <f>ROUND(Y77*G77,0)</f>
        <v>0</v>
      </c>
      <c r="AA77" s="806">
        <f>SUM(J77,V77)</f>
        <v>0</v>
      </c>
      <c r="AB77" s="807">
        <f>L77+P77+X77</f>
        <v>0</v>
      </c>
      <c r="AC77" s="808">
        <f>N77+P77+Z77</f>
        <v>0</v>
      </c>
      <c r="AD77" s="809" t="s">
        <v>1017</v>
      </c>
    </row>
    <row r="78" spans="1:32" s="176" customFormat="1" ht="21.9" customHeight="1" x14ac:dyDescent="0.2">
      <c r="A78" s="877"/>
      <c r="B78" s="678"/>
      <c r="C78" s="678"/>
      <c r="D78" s="676" t="s">
        <v>125</v>
      </c>
      <c r="E78" s="878" t="s">
        <v>753</v>
      </c>
      <c r="F78" s="678" t="s">
        <v>147</v>
      </c>
      <c r="G78" s="776">
        <f>ROUNDUP((G5+G6+G7+G8+G9+G10+G11),0)</f>
        <v>1539</v>
      </c>
      <c r="H78" s="680" t="str">
        <f>Input_CI!$AJ$60</f>
        <v>N/A</v>
      </c>
      <c r="I78" s="837">
        <f>IF(H78="적용",산출기준_CI!E87,0)</f>
        <v>0</v>
      </c>
      <c r="J78" s="682">
        <f>ROUND((G78*I78),0)</f>
        <v>0</v>
      </c>
      <c r="K78" s="777">
        <f>$I78*(1-Input_CI!$F$55)</f>
        <v>0</v>
      </c>
      <c r="L78" s="684">
        <f>ROUND(K78*G78,0)</f>
        <v>0</v>
      </c>
      <c r="M78" s="777">
        <f>$I78*(1-Input_CI!$F$55-Input_CI!$G$55)</f>
        <v>0</v>
      </c>
      <c r="N78" s="685">
        <f>ROUND(M78*G78,0)</f>
        <v>0</v>
      </c>
      <c r="O78" s="778">
        <f t="shared" si="24"/>
        <v>0</v>
      </c>
      <c r="P78" s="684">
        <f t="shared" si="24"/>
        <v>0</v>
      </c>
      <c r="Q78" s="777">
        <f>$I78*(Input_CI!$F58)/Input_CI!$AH$75</f>
        <v>0</v>
      </c>
      <c r="R78" s="684">
        <f>ROUND(Q78*G78,0)</f>
        <v>0</v>
      </c>
      <c r="S78" s="777"/>
      <c r="T78" s="687"/>
      <c r="U78" s="837"/>
      <c r="V78" s="684"/>
      <c r="W78" s="777"/>
      <c r="X78" s="684"/>
      <c r="Y78" s="777">
        <f>$U78*(1-Input_CI!$H$55)+I78*Input_CI!$G$55/Input_CI!$AH$76</f>
        <v>0</v>
      </c>
      <c r="Z78" s="685">
        <f>ROUND(Y78*G78,0)</f>
        <v>0</v>
      </c>
      <c r="AA78" s="688">
        <f>SUM(J78,V78)</f>
        <v>0</v>
      </c>
      <c r="AB78" s="689">
        <f>L78+P78+X78</f>
        <v>0</v>
      </c>
      <c r="AC78" s="690">
        <f>N78+P78+Z78</f>
        <v>0</v>
      </c>
      <c r="AD78" s="691"/>
    </row>
    <row r="79" spans="1:32" s="176" customFormat="1" ht="21.9" customHeight="1" x14ac:dyDescent="0.2">
      <c r="A79" s="858"/>
      <c r="B79" s="882"/>
      <c r="C79" s="678"/>
      <c r="D79" s="859" t="s">
        <v>1047</v>
      </c>
      <c r="E79" s="860"/>
      <c r="F79" s="883"/>
      <c r="G79" s="884"/>
      <c r="H79" s="885"/>
      <c r="I79" s="864"/>
      <c r="J79" s="865"/>
      <c r="K79" s="883"/>
      <c r="L79" s="756"/>
      <c r="M79" s="756"/>
      <c r="N79" s="757"/>
      <c r="O79" s="886"/>
      <c r="P79" s="756"/>
      <c r="Q79" s="756"/>
      <c r="R79" s="756"/>
      <c r="S79" s="756"/>
      <c r="T79" s="759"/>
      <c r="U79" s="887"/>
      <c r="V79" s="883"/>
      <c r="W79" s="753"/>
      <c r="X79" s="753"/>
      <c r="Y79" s="753"/>
      <c r="Z79" s="888"/>
      <c r="AA79" s="874"/>
      <c r="AB79" s="875"/>
      <c r="AC79" s="690"/>
      <c r="AD79" s="876"/>
    </row>
    <row r="80" spans="1:32" s="176" customFormat="1" ht="174" customHeight="1" x14ac:dyDescent="0.2">
      <c r="A80" s="877"/>
      <c r="B80" s="678"/>
      <c r="C80" s="678"/>
      <c r="D80" s="676" t="s">
        <v>1042</v>
      </c>
      <c r="E80" s="878" t="s">
        <v>760</v>
      </c>
      <c r="F80" s="781" t="s">
        <v>152</v>
      </c>
      <c r="G80" s="776">
        <f>Input_CI!AH61</f>
        <v>5300</v>
      </c>
      <c r="H80" s="784" t="s">
        <v>114</v>
      </c>
      <c r="I80" s="837" t="s">
        <v>1039</v>
      </c>
      <c r="J80" s="889">
        <f>ROUND(IF(G80&gt;15000, 200+0.04*5000+0.03*10000+0.02*(G80-15000), IF(G80&gt;5000, 200+0.04*5000+0.03*(G80-5000), 200+0.04*G80)),0)/5</f>
        <v>81.8</v>
      </c>
      <c r="K80" s="890" t="s">
        <v>98</v>
      </c>
      <c r="L80" s="684">
        <f>ROUND(J80*(1-Input_CI!$F59),0)</f>
        <v>57</v>
      </c>
      <c r="M80" s="890" t="s">
        <v>98</v>
      </c>
      <c r="N80" s="685">
        <f>ROUND(J80*(1-Input_CI!$F59-Input_CI!G59),0)</f>
        <v>49</v>
      </c>
      <c r="O80" s="891" t="s">
        <v>98</v>
      </c>
      <c r="P80" s="684">
        <f>R80+T80</f>
        <v>312</v>
      </c>
      <c r="Q80" s="890" t="s">
        <v>98</v>
      </c>
      <c r="R80" s="684">
        <f>ROUND(J80*Input_CI!$F59/Input_CI!$AH$75,0)</f>
        <v>35</v>
      </c>
      <c r="S80" s="890" t="s">
        <v>98</v>
      </c>
      <c r="T80" s="687">
        <f>ROUND(OP1_CI!V80*Input_CI!H59,0)</f>
        <v>277</v>
      </c>
      <c r="U80" s="837" t="s">
        <v>1039</v>
      </c>
      <c r="V80" s="892">
        <f>ROUND(IF(G80&gt;15000, 2000+0.5*5000+0.4*10000+0.3*(G80-15000), IF(G80&gt;5000, 2000+0.5*5000+0.4*(G80-5000), 2000+0.5*G80)),0)/5</f>
        <v>924</v>
      </c>
      <c r="W80" s="890" t="s">
        <v>98</v>
      </c>
      <c r="X80" s="684">
        <f>ROUND(V80-Input_CI!$H59*V80,0)</f>
        <v>647</v>
      </c>
      <c r="Y80" s="890" t="s">
        <v>98</v>
      </c>
      <c r="Z80" s="685">
        <f>ROUND(V80-Input_CI!$H59*V80+J80*Input_CI!G59/Input_CI!$AH$76,0)</f>
        <v>658</v>
      </c>
      <c r="AA80" s="688">
        <f>SUM(J80,V80)</f>
        <v>1005.8</v>
      </c>
      <c r="AB80" s="689">
        <f>L80+P80+X80</f>
        <v>1016</v>
      </c>
      <c r="AC80" s="690">
        <f>N80+P80+Z80</f>
        <v>1019</v>
      </c>
      <c r="AD80" s="691"/>
    </row>
    <row r="81" spans="1:30" s="176" customFormat="1" ht="21.9" customHeight="1" x14ac:dyDescent="0.2">
      <c r="A81" s="877"/>
      <c r="B81" s="678"/>
      <c r="C81" s="678"/>
      <c r="D81" s="676" t="s">
        <v>102</v>
      </c>
      <c r="E81" s="893" t="s">
        <v>767</v>
      </c>
      <c r="F81" s="801" t="s">
        <v>147</v>
      </c>
      <c r="G81" s="880">
        <v>0</v>
      </c>
      <c r="H81" s="826" t="str">
        <f>Input_CI!$AJ$62</f>
        <v>적용</v>
      </c>
      <c r="I81" s="864"/>
      <c r="J81" s="865"/>
      <c r="K81" s="861"/>
      <c r="L81" s="684"/>
      <c r="M81" s="684"/>
      <c r="N81" s="685"/>
      <c r="O81" s="891" t="s">
        <v>98</v>
      </c>
      <c r="P81" s="684">
        <f>R81+T81</f>
        <v>0</v>
      </c>
      <c r="Q81" s="756"/>
      <c r="R81" s="684"/>
      <c r="S81" s="890" t="s">
        <v>98</v>
      </c>
      <c r="T81" s="687">
        <f>ROUND(J81*Input_CI!$F60/Input_CI!$AH$75+OP1_CI!V81*Input_CI!H60,0)</f>
        <v>0</v>
      </c>
      <c r="U81" s="837">
        <f>IF(H81="적용",산출기준_CI!K90,IF(H81="N/A",0,fault))</f>
        <v>1</v>
      </c>
      <c r="V81" s="684">
        <f>ROUND((G81*U81),0)</f>
        <v>0</v>
      </c>
      <c r="W81" s="890" t="s">
        <v>98</v>
      </c>
      <c r="X81" s="684">
        <f>ROUND(V81-Input_CI!$H60*V81,0)</f>
        <v>0</v>
      </c>
      <c r="Y81" s="890" t="s">
        <v>98</v>
      </c>
      <c r="Z81" s="685">
        <f>ROUND(V81-Input_CI!$H60*V81+J81*Input_CI!G60/Input_CI!$AH$76,0)</f>
        <v>0</v>
      </c>
      <c r="AA81" s="894">
        <f>SUM(J81,V81)</f>
        <v>0</v>
      </c>
      <c r="AB81" s="689">
        <f>L81+P81+X81</f>
        <v>0</v>
      </c>
      <c r="AC81" s="690">
        <f>N81+P81+Z81</f>
        <v>0</v>
      </c>
      <c r="AD81" s="691"/>
    </row>
    <row r="82" spans="1:30" s="176" customFormat="1" ht="21.9" customHeight="1" x14ac:dyDescent="0.2">
      <c r="A82" s="858"/>
      <c r="B82" s="882"/>
      <c r="C82" s="678"/>
      <c r="D82" s="859" t="s">
        <v>1048</v>
      </c>
      <c r="E82" s="860"/>
      <c r="F82" s="861"/>
      <c r="G82" s="862"/>
      <c r="H82" s="863"/>
      <c r="I82" s="864"/>
      <c r="J82" s="865"/>
      <c r="K82" s="861"/>
      <c r="L82" s="684"/>
      <c r="M82" s="684"/>
      <c r="N82" s="685"/>
      <c r="O82" s="895"/>
      <c r="P82" s="684"/>
      <c r="Q82" s="684"/>
      <c r="R82" s="684"/>
      <c r="S82" s="684"/>
      <c r="T82" s="687"/>
      <c r="U82" s="864"/>
      <c r="V82" s="861"/>
      <c r="W82" s="680"/>
      <c r="X82" s="680"/>
      <c r="Y82" s="680"/>
      <c r="Z82" s="896"/>
      <c r="AA82" s="874"/>
      <c r="AB82" s="875"/>
      <c r="AC82" s="690"/>
      <c r="AD82" s="876"/>
    </row>
    <row r="83" spans="1:30" s="176" customFormat="1" ht="90" customHeight="1" x14ac:dyDescent="0.2">
      <c r="A83" s="877"/>
      <c r="B83" s="678"/>
      <c r="C83" s="678"/>
      <c r="D83" s="897" t="s">
        <v>288</v>
      </c>
      <c r="E83" s="677" t="s">
        <v>1049</v>
      </c>
      <c r="F83" s="678" t="s">
        <v>60</v>
      </c>
      <c r="G83" s="684">
        <f>IF(H83="상",42,IF(H83="중",28,IF(H83="하",18,IF(H83="N/A",0,fault))))</f>
        <v>0</v>
      </c>
      <c r="H83" s="680" t="str">
        <f>Input_CI!$AJ$63</f>
        <v>N/A</v>
      </c>
      <c r="I83" s="864"/>
      <c r="J83" s="865"/>
      <c r="K83" s="861"/>
      <c r="L83" s="684"/>
      <c r="M83" s="684"/>
      <c r="N83" s="685"/>
      <c r="O83" s="891" t="s">
        <v>98</v>
      </c>
      <c r="P83" s="684">
        <f>R83+T83</f>
        <v>0</v>
      </c>
      <c r="Q83" s="756"/>
      <c r="R83" s="684"/>
      <c r="S83" s="890" t="s">
        <v>98</v>
      </c>
      <c r="T83" s="687">
        <f>ROUND(J83*Input_CI!$F61/Input_CI!$AH$75+OP1_CI!V83*Input_CI!H61,0)</f>
        <v>0</v>
      </c>
      <c r="U83" s="837" t="s">
        <v>1039</v>
      </c>
      <c r="V83" s="684">
        <f>IF(H83="상",8400,IF(H83="중",6400,IF(H83="하",3600,IF(H83="N/A",0,fault))))</f>
        <v>0</v>
      </c>
      <c r="W83" s="890" t="s">
        <v>98</v>
      </c>
      <c r="X83" s="684">
        <f>ROUND(V83-Input_CI!$H61*V83,0)</f>
        <v>0</v>
      </c>
      <c r="Y83" s="890" t="s">
        <v>98</v>
      </c>
      <c r="Z83" s="685">
        <f>ROUND(V83-Input_CI!$H61*V83+J83*Input_CI!G61/Input_CI!$AH$76,0)</f>
        <v>0</v>
      </c>
      <c r="AA83" s="688">
        <f>SUM(J83,V83)</f>
        <v>0</v>
      </c>
      <c r="AB83" s="689">
        <f>L83+P83+X83</f>
        <v>0</v>
      </c>
      <c r="AC83" s="690">
        <f>N83+P83+Z83</f>
        <v>0</v>
      </c>
      <c r="AD83" s="691"/>
    </row>
    <row r="84" spans="1:30" s="176" customFormat="1" ht="90" customHeight="1" x14ac:dyDescent="0.2">
      <c r="A84" s="877"/>
      <c r="B84" s="678"/>
      <c r="C84" s="678"/>
      <c r="D84" s="897" t="s">
        <v>102</v>
      </c>
      <c r="E84" s="677" t="s">
        <v>1050</v>
      </c>
      <c r="F84" s="678" t="s">
        <v>60</v>
      </c>
      <c r="G84" s="684">
        <f>IF(H84="상",20,IF(H84="중",15,IF(H84="하",10,IF(H84="N/A",0,fault))))</f>
        <v>0</v>
      </c>
      <c r="H84" s="680" t="str">
        <f>Input_CI!$AJ$64</f>
        <v>N/A</v>
      </c>
      <c r="I84" s="864"/>
      <c r="J84" s="865"/>
      <c r="K84" s="898"/>
      <c r="L84" s="827"/>
      <c r="M84" s="827"/>
      <c r="N84" s="881"/>
      <c r="O84" s="899" t="s">
        <v>98</v>
      </c>
      <c r="P84" s="684">
        <f>R84+T84</f>
        <v>0</v>
      </c>
      <c r="Q84" s="756"/>
      <c r="R84" s="684"/>
      <c r="S84" s="890" t="s">
        <v>98</v>
      </c>
      <c r="T84" s="687">
        <f>ROUND(J84*Input_CI!$F62/Input_CI!$AH$75+OP1_CI!V84*Input_CI!H62,0)</f>
        <v>0</v>
      </c>
      <c r="U84" s="900" t="s">
        <v>1039</v>
      </c>
      <c r="V84" s="827">
        <f>IF(H84="상",4800,IF(H84="중",3600,IF(H84="하",2000,IF(H84="N/A",0,fault))))</f>
        <v>0</v>
      </c>
      <c r="W84" s="901" t="s">
        <v>98</v>
      </c>
      <c r="X84" s="867">
        <f>ROUND(V84-Input_CI!$H62*V84,0)</f>
        <v>0</v>
      </c>
      <c r="Y84" s="901" t="s">
        <v>98</v>
      </c>
      <c r="Z84" s="868">
        <f>ROUND(V84-Input_CI!$H62*V84+J84*Input_CI!G62/Input_CI!$AH$76,0)</f>
        <v>0</v>
      </c>
      <c r="AA84" s="688">
        <f>SUM(J84,V84)</f>
        <v>0</v>
      </c>
      <c r="AB84" s="689">
        <f>L84+P84+X84</f>
        <v>0</v>
      </c>
      <c r="AC84" s="690">
        <f>N84+P84+Z84</f>
        <v>0</v>
      </c>
      <c r="AD84" s="691"/>
    </row>
    <row r="85" spans="1:30" s="176" customFormat="1" ht="21.9" customHeight="1" x14ac:dyDescent="0.2">
      <c r="A85" s="858"/>
      <c r="B85" s="902"/>
      <c r="C85" s="903"/>
      <c r="D85" s="904" t="s">
        <v>1051</v>
      </c>
      <c r="E85" s="905"/>
      <c r="F85" s="906"/>
      <c r="G85" s="907"/>
      <c r="H85" s="908"/>
      <c r="I85" s="909"/>
      <c r="J85" s="910"/>
      <c r="K85" s="906"/>
      <c r="L85" s="911"/>
      <c r="M85" s="911"/>
      <c r="N85" s="912"/>
      <c r="O85" s="913"/>
      <c r="P85" s="911"/>
      <c r="Q85" s="911"/>
      <c r="R85" s="911"/>
      <c r="S85" s="911"/>
      <c r="T85" s="914"/>
      <c r="U85" s="909"/>
      <c r="V85" s="906"/>
      <c r="W85" s="915"/>
      <c r="X85" s="915"/>
      <c r="Y85" s="915"/>
      <c r="Z85" s="916"/>
      <c r="AA85" s="917"/>
      <c r="AB85" s="918"/>
      <c r="AC85" s="919"/>
      <c r="AD85" s="920" t="s">
        <v>772</v>
      </c>
    </row>
    <row r="86" spans="1:30" s="176" customFormat="1" ht="21.9" customHeight="1" x14ac:dyDescent="0.2">
      <c r="A86" s="877"/>
      <c r="B86" s="903"/>
      <c r="C86" s="903"/>
      <c r="D86" s="921" t="s">
        <v>288</v>
      </c>
      <c r="E86" s="922" t="s">
        <v>1052</v>
      </c>
      <c r="F86" s="903" t="s">
        <v>60</v>
      </c>
      <c r="G86" s="923">
        <f>Input_CI!$AH$65</f>
        <v>0</v>
      </c>
      <c r="H86" s="924" t="s">
        <v>114</v>
      </c>
      <c r="I86" s="925"/>
      <c r="J86" s="926"/>
      <c r="K86" s="911"/>
      <c r="L86" s="911"/>
      <c r="M86" s="911"/>
      <c r="N86" s="912"/>
      <c r="O86" s="927">
        <f>Q86+S86</f>
        <v>0</v>
      </c>
      <c r="P86" s="911">
        <f>ROUND(O86*G86,0)</f>
        <v>0</v>
      </c>
      <c r="Q86" s="928"/>
      <c r="R86" s="911"/>
      <c r="S86" s="929">
        <f>$I86*(Input_CI!$F$63)/Input_CI!$AH$75+U86*Input_CI!$H$63</f>
        <v>0</v>
      </c>
      <c r="T86" s="914">
        <f>ROUND(S86*G86,0)</f>
        <v>0</v>
      </c>
      <c r="U86" s="925">
        <f>산출기준_CI!K95</f>
        <v>200</v>
      </c>
      <c r="V86" s="911">
        <f>SUM(G86*U86)</f>
        <v>0</v>
      </c>
      <c r="W86" s="929">
        <f>$U86*(1-Input_CI!$H63)</f>
        <v>200</v>
      </c>
      <c r="X86" s="911">
        <f>ROUND(W86*G86,0)</f>
        <v>0</v>
      </c>
      <c r="Y86" s="929">
        <f>$U86*(1-Input_CI!$H$63)+I86*Input_CI!$G$55/Input_CI!$AH$76</f>
        <v>200</v>
      </c>
      <c r="Z86" s="912">
        <f>ROUND(Y86*G86,0)</f>
        <v>0</v>
      </c>
      <c r="AA86" s="930">
        <f t="shared" ref="AA86:AA91" si="25">SUM(J86,V86)</f>
        <v>0</v>
      </c>
      <c r="AB86" s="931">
        <f t="shared" ref="AB86:AB91" si="26">L86+P86+X86</f>
        <v>0</v>
      </c>
      <c r="AC86" s="919">
        <f t="shared" ref="AC86:AC91" si="27">N86+P86+Z86</f>
        <v>0</v>
      </c>
      <c r="AD86" s="920" t="s">
        <v>772</v>
      </c>
    </row>
    <row r="87" spans="1:30" s="176" customFormat="1" ht="21.9" customHeight="1" x14ac:dyDescent="0.2">
      <c r="A87" s="877"/>
      <c r="B87" s="903"/>
      <c r="C87" s="903"/>
      <c r="D87" s="921" t="s">
        <v>525</v>
      </c>
      <c r="E87" s="922" t="s">
        <v>1053</v>
      </c>
      <c r="F87" s="903" t="s">
        <v>60</v>
      </c>
      <c r="G87" s="923">
        <f>Input_CI!$AH$66</f>
        <v>0</v>
      </c>
      <c r="H87" s="924" t="s">
        <v>114</v>
      </c>
      <c r="I87" s="925"/>
      <c r="J87" s="926"/>
      <c r="K87" s="911"/>
      <c r="L87" s="911"/>
      <c r="M87" s="911"/>
      <c r="N87" s="912"/>
      <c r="O87" s="927">
        <f>Q87+S87</f>
        <v>0</v>
      </c>
      <c r="P87" s="911">
        <f>ROUND(O87*G87,0)</f>
        <v>0</v>
      </c>
      <c r="Q87" s="928"/>
      <c r="R87" s="911"/>
      <c r="S87" s="929">
        <f>$I87*(Input_CI!$F$63)/Input_CI!$AH$75+U87*Input_CI!$H$63</f>
        <v>0</v>
      </c>
      <c r="T87" s="914">
        <f>ROUND(S87*G87,0)</f>
        <v>0</v>
      </c>
      <c r="U87" s="925">
        <f>산출기준_CI!K96</f>
        <v>250</v>
      </c>
      <c r="V87" s="911">
        <f>SUM(G87*U87)</f>
        <v>0</v>
      </c>
      <c r="W87" s="929">
        <f>$U87*(1-Input_CI!$H64)</f>
        <v>250</v>
      </c>
      <c r="X87" s="911">
        <f>ROUND(W87*G87,0)</f>
        <v>0</v>
      </c>
      <c r="Y87" s="929">
        <f>$U87*(1-Input_CI!$H$63)+I87*Input_CI!$G$55/Input_CI!$AH$76</f>
        <v>250</v>
      </c>
      <c r="Z87" s="912">
        <f>ROUND(Y87*G87,0)</f>
        <v>0</v>
      </c>
      <c r="AA87" s="930">
        <f t="shared" si="25"/>
        <v>0</v>
      </c>
      <c r="AB87" s="931">
        <f t="shared" si="26"/>
        <v>0</v>
      </c>
      <c r="AC87" s="919">
        <f t="shared" si="27"/>
        <v>0</v>
      </c>
      <c r="AD87" s="920" t="s">
        <v>772</v>
      </c>
    </row>
    <row r="88" spans="1:30" s="176" customFormat="1" ht="21.9" customHeight="1" x14ac:dyDescent="0.2">
      <c r="A88" s="877"/>
      <c r="B88" s="903"/>
      <c r="C88" s="903"/>
      <c r="D88" s="921" t="s">
        <v>941</v>
      </c>
      <c r="E88" s="922" t="s">
        <v>1054</v>
      </c>
      <c r="F88" s="903" t="s">
        <v>60</v>
      </c>
      <c r="G88" s="923">
        <f>Input_CI!$AH$67</f>
        <v>0</v>
      </c>
      <c r="H88" s="924" t="s">
        <v>114</v>
      </c>
      <c r="I88" s="925"/>
      <c r="J88" s="926"/>
      <c r="K88" s="911"/>
      <c r="L88" s="911"/>
      <c r="M88" s="911"/>
      <c r="N88" s="912"/>
      <c r="O88" s="927">
        <f>Q88+S88</f>
        <v>0</v>
      </c>
      <c r="P88" s="911">
        <f>ROUND(O88*G88,0)</f>
        <v>0</v>
      </c>
      <c r="Q88" s="928"/>
      <c r="R88" s="911"/>
      <c r="S88" s="929">
        <f>$I88*(Input_CI!$F$63)/Input_CI!$AH$75+U88*Input_CI!$H$63</f>
        <v>0</v>
      </c>
      <c r="T88" s="914">
        <f>ROUND(S88*G88,0)</f>
        <v>0</v>
      </c>
      <c r="U88" s="925">
        <f>산출기준_CI!K97</f>
        <v>300</v>
      </c>
      <c r="V88" s="911">
        <f>SUM(G88*U88)</f>
        <v>0</v>
      </c>
      <c r="W88" s="929">
        <f>$U88*(1-Input_CI!$H65)</f>
        <v>300</v>
      </c>
      <c r="X88" s="911">
        <f>ROUND(W88*G88,0)</f>
        <v>0</v>
      </c>
      <c r="Y88" s="929">
        <f>$U88*(1-Input_CI!$H$63)+I88*Input_CI!$G$55/Input_CI!$AH$76</f>
        <v>300</v>
      </c>
      <c r="Z88" s="912">
        <f>ROUND(Y88*G88,0)</f>
        <v>0</v>
      </c>
      <c r="AA88" s="930">
        <f t="shared" si="25"/>
        <v>0</v>
      </c>
      <c r="AB88" s="931">
        <f t="shared" si="26"/>
        <v>0</v>
      </c>
      <c r="AC88" s="919">
        <f t="shared" si="27"/>
        <v>0</v>
      </c>
      <c r="AD88" s="920" t="s">
        <v>772</v>
      </c>
    </row>
    <row r="89" spans="1:30" s="176" customFormat="1" ht="21.9" customHeight="1" x14ac:dyDescent="0.2">
      <c r="A89" s="877"/>
      <c r="B89" s="932"/>
      <c r="C89" s="932"/>
      <c r="D89" s="933" t="s">
        <v>160</v>
      </c>
      <c r="E89" s="934" t="s">
        <v>1055</v>
      </c>
      <c r="F89" s="932" t="s">
        <v>60</v>
      </c>
      <c r="G89" s="935">
        <f>Input_CI!$AH$68</f>
        <v>0</v>
      </c>
      <c r="H89" s="936" t="s">
        <v>114</v>
      </c>
      <c r="I89" s="937"/>
      <c r="J89" s="938"/>
      <c r="K89" s="939"/>
      <c r="L89" s="939"/>
      <c r="M89" s="939"/>
      <c r="N89" s="940"/>
      <c r="O89" s="927">
        <f>Q89+S89</f>
        <v>0</v>
      </c>
      <c r="P89" s="911">
        <f>ROUND(O89*G89,0)</f>
        <v>0</v>
      </c>
      <c r="Q89" s="928"/>
      <c r="R89" s="911"/>
      <c r="S89" s="929">
        <f>$I89*(Input_CI!$F$63)/Input_CI!$AH$75+U89*Input_CI!$H$63</f>
        <v>0</v>
      </c>
      <c r="T89" s="914">
        <f>ROUND(S89*G89,0)</f>
        <v>0</v>
      </c>
      <c r="U89" s="937">
        <f>산출기준_CI!K98</f>
        <v>360</v>
      </c>
      <c r="V89" s="939">
        <f>SUM(G89*U89)</f>
        <v>0</v>
      </c>
      <c r="W89" s="929">
        <f>$U89*(1-Input_CI!$H66)</f>
        <v>360</v>
      </c>
      <c r="X89" s="911">
        <f>ROUND(W89*G89,0)</f>
        <v>0</v>
      </c>
      <c r="Y89" s="929">
        <f>$U89*(1-Input_CI!$H$63)+I89*Input_CI!$G$55/Input_CI!$AH$76</f>
        <v>360</v>
      </c>
      <c r="Z89" s="912">
        <f>ROUND(Y89*G89,0)</f>
        <v>0</v>
      </c>
      <c r="AA89" s="941">
        <f t="shared" si="25"/>
        <v>0</v>
      </c>
      <c r="AB89" s="942">
        <f t="shared" si="26"/>
        <v>0</v>
      </c>
      <c r="AC89" s="943">
        <f t="shared" si="27"/>
        <v>0</v>
      </c>
      <c r="AD89" s="920" t="s">
        <v>772</v>
      </c>
    </row>
    <row r="90" spans="1:30" s="176" customFormat="1" ht="39.75" customHeight="1" x14ac:dyDescent="0.2">
      <c r="A90" s="877"/>
      <c r="B90" s="842" t="s">
        <v>901</v>
      </c>
      <c r="C90" s="842" t="s">
        <v>1056</v>
      </c>
      <c r="D90" s="944" t="s">
        <v>1057</v>
      </c>
      <c r="E90" s="190"/>
      <c r="F90" s="140" t="s">
        <v>60</v>
      </c>
      <c r="G90" s="945">
        <f>Input_CI!AA83</f>
        <v>0</v>
      </c>
      <c r="H90" s="844" t="s">
        <v>114</v>
      </c>
      <c r="I90" s="946" t="s">
        <v>1058</v>
      </c>
      <c r="J90" s="846"/>
      <c r="K90" s="848">
        <f>Input_CI!AH77</f>
        <v>165</v>
      </c>
      <c r="L90" s="848">
        <f>G90*K90</f>
        <v>0</v>
      </c>
      <c r="M90" s="848">
        <f>K90</f>
        <v>165</v>
      </c>
      <c r="N90" s="849">
        <f>L90</f>
        <v>0</v>
      </c>
      <c r="O90" s="947"/>
      <c r="P90" s="848"/>
      <c r="Q90" s="848"/>
      <c r="R90" s="848"/>
      <c r="S90" s="848"/>
      <c r="T90" s="852"/>
      <c r="U90" s="946"/>
      <c r="V90" s="848"/>
      <c r="W90" s="852"/>
      <c r="X90" s="852"/>
      <c r="Y90" s="948"/>
      <c r="Z90" s="949"/>
      <c r="AA90" s="854">
        <f t="shared" si="25"/>
        <v>0</v>
      </c>
      <c r="AB90" s="855">
        <f t="shared" si="26"/>
        <v>0</v>
      </c>
      <c r="AC90" s="856">
        <f t="shared" si="27"/>
        <v>0</v>
      </c>
      <c r="AD90" s="950"/>
    </row>
    <row r="91" spans="1:30" ht="21.9" customHeight="1" x14ac:dyDescent="0.15">
      <c r="A91" s="674"/>
      <c r="B91" s="716" t="s">
        <v>1059</v>
      </c>
      <c r="C91" s="716"/>
      <c r="D91" s="717"/>
      <c r="E91" s="718"/>
      <c r="F91" s="719"/>
      <c r="G91" s="720"/>
      <c r="H91" s="721"/>
      <c r="I91" s="722"/>
      <c r="J91" s="723">
        <f>SUM(J30:J90)</f>
        <v>5227.8</v>
      </c>
      <c r="K91" s="725"/>
      <c r="L91" s="725">
        <f>SUM(L30:L90)</f>
        <v>3658</v>
      </c>
      <c r="M91" s="725"/>
      <c r="N91" s="726">
        <f t="shared" ref="N91" si="28">SUM(N30:N90)</f>
        <v>3136</v>
      </c>
      <c r="O91" s="951"/>
      <c r="P91" s="725">
        <f t="shared" ref="P91:T91" si="29">SUM(P30:P90)</f>
        <v>4559</v>
      </c>
      <c r="Q91" s="725"/>
      <c r="R91" s="725">
        <f t="shared" si="29"/>
        <v>2237</v>
      </c>
      <c r="S91" s="725"/>
      <c r="T91" s="728">
        <f t="shared" si="29"/>
        <v>2322</v>
      </c>
      <c r="U91" s="722"/>
      <c r="V91" s="725">
        <f>SUM(V30:V90)</f>
        <v>7742</v>
      </c>
      <c r="W91" s="725"/>
      <c r="X91" s="725">
        <f t="shared" ref="X91" si="30">SUM(X30:X90)</f>
        <v>5418</v>
      </c>
      <c r="Y91" s="952"/>
      <c r="Z91" s="731">
        <f>SUM(Z30:Z90)</f>
        <v>6163</v>
      </c>
      <c r="AA91" s="732">
        <f t="shared" si="25"/>
        <v>12969.8</v>
      </c>
      <c r="AB91" s="733">
        <f t="shared" si="26"/>
        <v>13635</v>
      </c>
      <c r="AC91" s="734">
        <f t="shared" si="27"/>
        <v>13858</v>
      </c>
      <c r="AD91" s="735"/>
    </row>
    <row r="92" spans="1:30" ht="21.9" customHeight="1" x14ac:dyDescent="0.15">
      <c r="A92" s="656" t="s">
        <v>1060</v>
      </c>
      <c r="B92" s="657" t="s">
        <v>1061</v>
      </c>
      <c r="C92" s="657" t="s">
        <v>1062</v>
      </c>
      <c r="D92" s="658" t="s">
        <v>95</v>
      </c>
      <c r="E92" s="817" t="s">
        <v>704</v>
      </c>
      <c r="F92" s="767"/>
      <c r="G92" s="768"/>
      <c r="H92" s="662"/>
      <c r="I92" s="819"/>
      <c r="J92" s="664"/>
      <c r="K92" s="666"/>
      <c r="L92" s="666"/>
      <c r="M92" s="666"/>
      <c r="N92" s="667"/>
      <c r="O92" s="953"/>
      <c r="P92" s="666"/>
      <c r="Q92" s="666"/>
      <c r="R92" s="666"/>
      <c r="S92" s="666"/>
      <c r="T92" s="669"/>
      <c r="U92" s="819"/>
      <c r="V92" s="666"/>
      <c r="W92" s="669"/>
      <c r="X92" s="669"/>
      <c r="Y92" s="669"/>
      <c r="Z92" s="954"/>
      <c r="AA92" s="955"/>
      <c r="AB92" s="956"/>
      <c r="AC92" s="672"/>
      <c r="AD92" s="773"/>
    </row>
    <row r="93" spans="1:30" s="176" customFormat="1" ht="21.9" customHeight="1" x14ac:dyDescent="0.2">
      <c r="A93" s="674"/>
      <c r="B93" s="675"/>
      <c r="C93" s="675"/>
      <c r="D93" s="676"/>
      <c r="E93" s="957" t="s">
        <v>1014</v>
      </c>
      <c r="F93" s="781" t="s">
        <v>1046</v>
      </c>
      <c r="G93" s="776">
        <f>Input_CI!$AA$52</f>
        <v>21</v>
      </c>
      <c r="H93" s="680" t="str">
        <f>Input_CI!$AJ$69</f>
        <v>SPI-내부</v>
      </c>
      <c r="I93" s="748">
        <f>IF(H93="SPI-내부",산출기준_CI!E106,산출기준_CI!G106)</f>
        <v>7</v>
      </c>
      <c r="J93" s="682">
        <f>ROUND((G93*I93),0)</f>
        <v>147</v>
      </c>
      <c r="K93" s="777">
        <f>$I93*(1-Input_CI!$X52)</f>
        <v>4.8999999999999995</v>
      </c>
      <c r="L93" s="684">
        <f>ROUND(K93*G93,0)</f>
        <v>103</v>
      </c>
      <c r="M93" s="777">
        <f>$I93*(1-Input_CI!$X52-Input_CI!$Y52)</f>
        <v>4.2</v>
      </c>
      <c r="N93" s="685">
        <f>ROUND(M93*G93,0)</f>
        <v>88</v>
      </c>
      <c r="O93" s="778">
        <f t="shared" ref="O93:P95" si="31">Q93+S93</f>
        <v>3.0000000000000004</v>
      </c>
      <c r="P93" s="684">
        <f t="shared" si="31"/>
        <v>63</v>
      </c>
      <c r="Q93" s="777">
        <f>$I93*(Input_CI!$X52)/Input_CI!$AH$75</f>
        <v>3.0000000000000004</v>
      </c>
      <c r="R93" s="684">
        <f>ROUND(Q93*G93,0)</f>
        <v>63</v>
      </c>
      <c r="S93" s="777">
        <f>U93*Input_CI!$Z52</f>
        <v>0</v>
      </c>
      <c r="T93" s="687">
        <f>ROUND(S93*G93,0)</f>
        <v>0</v>
      </c>
      <c r="U93" s="748">
        <f>IF(H93="SPI-외부",산출기준_CI!I106,0)</f>
        <v>0</v>
      </c>
      <c r="V93" s="684">
        <f>ROUND((G93*U93),0)</f>
        <v>0</v>
      </c>
      <c r="W93" s="777">
        <f>$U93*(1-Input_CI!$Z52)</f>
        <v>0</v>
      </c>
      <c r="X93" s="684">
        <f>ROUND(W93*G93,0)</f>
        <v>0</v>
      </c>
      <c r="Y93" s="777">
        <f>$U93*(1-Input_CI!$Z52)+I93*Input_CI!$Y52/Input_CI!$AH$76</f>
        <v>1.0000000000000002</v>
      </c>
      <c r="Z93" s="685">
        <f>ROUND(Y93*G93,0)</f>
        <v>21</v>
      </c>
      <c r="AA93" s="688">
        <f>SUM(J93,V93)</f>
        <v>147</v>
      </c>
      <c r="AB93" s="689">
        <f>L93+P93+X93</f>
        <v>166</v>
      </c>
      <c r="AC93" s="690">
        <f>N93+P93+Z93</f>
        <v>172</v>
      </c>
      <c r="AD93" s="780" t="s">
        <v>1017</v>
      </c>
    </row>
    <row r="94" spans="1:30" s="176" customFormat="1" ht="21.9" customHeight="1" x14ac:dyDescent="0.2">
      <c r="A94" s="674"/>
      <c r="B94" s="675"/>
      <c r="C94" s="675"/>
      <c r="D94" s="676"/>
      <c r="E94" s="957" t="s">
        <v>351</v>
      </c>
      <c r="F94" s="781" t="s">
        <v>1046</v>
      </c>
      <c r="G94" s="776">
        <f>SUM(G8,G9,G10,G11)</f>
        <v>356</v>
      </c>
      <c r="H94" s="680" t="str">
        <f>Input_CI!$AJ$69</f>
        <v>SPI-내부</v>
      </c>
      <c r="I94" s="748">
        <f>IF(H94="SPI-내부",산출기준_CI!E107,산출기준_CI!G107)</f>
        <v>3.5</v>
      </c>
      <c r="J94" s="682">
        <f>ROUND((G94*I94),0)</f>
        <v>1246</v>
      </c>
      <c r="K94" s="777">
        <f>$I94*(1-Input_CI!$X53)</f>
        <v>2.4499999999999997</v>
      </c>
      <c r="L94" s="684">
        <f>ROUND(K94*G94,0)</f>
        <v>872</v>
      </c>
      <c r="M94" s="777">
        <f>$I94*(1-Input_CI!$X53-Input_CI!$Y53)</f>
        <v>2.1</v>
      </c>
      <c r="N94" s="685">
        <f>ROUND(M94*G94,0)</f>
        <v>748</v>
      </c>
      <c r="O94" s="778">
        <f t="shared" si="31"/>
        <v>1.5000000000000002</v>
      </c>
      <c r="P94" s="684">
        <f t="shared" si="31"/>
        <v>534</v>
      </c>
      <c r="Q94" s="777">
        <f>$I94*(Input_CI!$X53)/Input_CI!$AH$75</f>
        <v>1.5000000000000002</v>
      </c>
      <c r="R94" s="684">
        <f>ROUND(Q94*G94,0)</f>
        <v>534</v>
      </c>
      <c r="S94" s="777">
        <f>U94*Input_CI!$Z53</f>
        <v>0</v>
      </c>
      <c r="T94" s="687">
        <f>ROUND(S94*G94,0)</f>
        <v>0</v>
      </c>
      <c r="U94" s="748">
        <f>IF(H94="SPI-외부",산출기준_CI!I107,0)</f>
        <v>0</v>
      </c>
      <c r="V94" s="684">
        <f>ROUND((G94*U94),0)</f>
        <v>0</v>
      </c>
      <c r="W94" s="777">
        <f>$U94*(1-Input_CI!$Z53)</f>
        <v>0</v>
      </c>
      <c r="X94" s="684">
        <f>ROUND(W94*G94,0)</f>
        <v>0</v>
      </c>
      <c r="Y94" s="777">
        <f>$U94*(1-Input_CI!$Z53)+I94*Input_CI!$Y53/Input_CI!$AH$76</f>
        <v>0.50000000000000011</v>
      </c>
      <c r="Z94" s="685">
        <f>ROUND(Y94*G94,0)</f>
        <v>178</v>
      </c>
      <c r="AA94" s="688">
        <f>SUM(J94,V94)</f>
        <v>1246</v>
      </c>
      <c r="AB94" s="689">
        <f>L94+P94+X94</f>
        <v>1406</v>
      </c>
      <c r="AC94" s="690">
        <f>N94+P94+Z94</f>
        <v>1460</v>
      </c>
      <c r="AD94" s="780" t="s">
        <v>1017</v>
      </c>
    </row>
    <row r="95" spans="1:30" s="176" customFormat="1" ht="21.9" customHeight="1" x14ac:dyDescent="0.2">
      <c r="A95" s="674"/>
      <c r="B95" s="692"/>
      <c r="C95" s="692"/>
      <c r="D95" s="693"/>
      <c r="E95" s="958" t="s">
        <v>352</v>
      </c>
      <c r="F95" s="792" t="s">
        <v>1046</v>
      </c>
      <c r="G95" s="793">
        <f>SUM(G6,G7)</f>
        <v>751</v>
      </c>
      <c r="H95" s="697" t="str">
        <f>Input_CI!$AJ$69</f>
        <v>SPI-내부</v>
      </c>
      <c r="I95" s="821">
        <f>IF(H95="SPI-내부",산출기준_CI!E108,산출기준_CI!G108)</f>
        <v>1.5</v>
      </c>
      <c r="J95" s="699">
        <f>ROUND((G95*I95),0)</f>
        <v>1127</v>
      </c>
      <c r="K95" s="812">
        <f>$I95*(1-Input_CI!$X54)</f>
        <v>1.0499999999999998</v>
      </c>
      <c r="L95" s="701">
        <f>ROUND(K95*G95,0)</f>
        <v>789</v>
      </c>
      <c r="M95" s="812">
        <f>$I95*(1-Input_CI!$X54-Input_CI!$Y54)</f>
        <v>0.89999999999999991</v>
      </c>
      <c r="N95" s="702">
        <f>ROUND(M95*G95,0)</f>
        <v>676</v>
      </c>
      <c r="O95" s="778">
        <f t="shared" si="31"/>
        <v>0.64285714285714279</v>
      </c>
      <c r="P95" s="684">
        <f t="shared" si="31"/>
        <v>483</v>
      </c>
      <c r="Q95" s="777">
        <f>$I95*(Input_CI!$X54)/Input_CI!$AH$75</f>
        <v>0.64285714285714279</v>
      </c>
      <c r="R95" s="684">
        <f>ROUND(Q95*G95,0)</f>
        <v>483</v>
      </c>
      <c r="S95" s="777">
        <f>U95*Input_CI!$Z54</f>
        <v>0</v>
      </c>
      <c r="T95" s="687">
        <f>ROUND(S95*G95,0)</f>
        <v>0</v>
      </c>
      <c r="U95" s="821">
        <f>IF(H95="SPI-외부",산출기준_CI!I108,0)</f>
        <v>0</v>
      </c>
      <c r="V95" s="701">
        <f>ROUND((G95*U95),0)</f>
        <v>0</v>
      </c>
      <c r="W95" s="812">
        <f>$U95*(1-Input_CI!$Z54)</f>
        <v>0</v>
      </c>
      <c r="X95" s="701">
        <f>ROUND(W95*G95,0)</f>
        <v>0</v>
      </c>
      <c r="Y95" s="812">
        <f>$U95*(1-Input_CI!$Z54)+I95*Input_CI!$Y54/Input_CI!$AH$76</f>
        <v>0.21428571428571433</v>
      </c>
      <c r="Z95" s="702">
        <f>ROUND(Y95*G95,0)</f>
        <v>161</v>
      </c>
      <c r="AA95" s="705">
        <f>SUM(J95,V95)</f>
        <v>1127</v>
      </c>
      <c r="AB95" s="706">
        <f>L95+P95+X95</f>
        <v>1272</v>
      </c>
      <c r="AC95" s="707">
        <f>N95+P95+Z95</f>
        <v>1320</v>
      </c>
      <c r="AD95" s="797" t="s">
        <v>1017</v>
      </c>
    </row>
    <row r="96" spans="1:30" s="176" customFormat="1" ht="21.9" customHeight="1" x14ac:dyDescent="0.2">
      <c r="A96" s="674"/>
      <c r="B96" s="798" t="s">
        <v>346</v>
      </c>
      <c r="C96" s="798" t="s">
        <v>1063</v>
      </c>
      <c r="D96" s="822" t="s">
        <v>95</v>
      </c>
      <c r="E96" s="800" t="s">
        <v>347</v>
      </c>
      <c r="F96" s="879"/>
      <c r="G96" s="802"/>
      <c r="H96" s="959"/>
      <c r="I96" s="804"/>
      <c r="J96" s="805"/>
      <c r="K96" s="666"/>
      <c r="L96" s="666"/>
      <c r="M96" s="666"/>
      <c r="N96" s="667"/>
      <c r="O96" s="953"/>
      <c r="P96" s="666"/>
      <c r="Q96" s="666"/>
      <c r="R96" s="666"/>
      <c r="S96" s="666"/>
      <c r="T96" s="669"/>
      <c r="U96" s="819"/>
      <c r="V96" s="666"/>
      <c r="W96" s="669"/>
      <c r="X96" s="669"/>
      <c r="Y96" s="669"/>
      <c r="Z96" s="954"/>
      <c r="AA96" s="960"/>
      <c r="AB96" s="961"/>
      <c r="AC96" s="808"/>
      <c r="AD96" s="809"/>
    </row>
    <row r="97" spans="1:30" s="176" customFormat="1" ht="44.25" customHeight="1" x14ac:dyDescent="0.2">
      <c r="A97" s="674"/>
      <c r="B97" s="675"/>
      <c r="C97" s="675"/>
      <c r="D97" s="676"/>
      <c r="E97" s="957" t="s">
        <v>137</v>
      </c>
      <c r="F97" s="678" t="s">
        <v>138</v>
      </c>
      <c r="G97" s="776">
        <f>Input_CI!$AA$55</f>
        <v>5</v>
      </c>
      <c r="H97" s="784" t="s">
        <v>114</v>
      </c>
      <c r="I97" s="837" t="s">
        <v>1064</v>
      </c>
      <c r="J97" s="682">
        <f>SUM(Input_CI!$N$8:$N$11)</f>
        <v>600</v>
      </c>
      <c r="K97" s="890" t="s">
        <v>98</v>
      </c>
      <c r="L97" s="684">
        <f>ROUND(J97*(1-Input_CI!$X55),0)</f>
        <v>420</v>
      </c>
      <c r="M97" s="890" t="s">
        <v>98</v>
      </c>
      <c r="N97" s="685">
        <f>ROUND(J97*(1-Input_CI!$X55-Input_CI!Y55),0)</f>
        <v>360</v>
      </c>
      <c r="O97" s="891" t="s">
        <v>98</v>
      </c>
      <c r="P97" s="684">
        <f>R97+T97</f>
        <v>257</v>
      </c>
      <c r="Q97" s="890" t="s">
        <v>98</v>
      </c>
      <c r="R97" s="684">
        <f>ROUND(J97*Input_CI!$X55/Input_CI!$AH$75,0)</f>
        <v>257</v>
      </c>
      <c r="S97" s="890"/>
      <c r="T97" s="687"/>
      <c r="U97" s="748"/>
      <c r="V97" s="684"/>
      <c r="W97" s="890"/>
      <c r="X97" s="684"/>
      <c r="Y97" s="890" t="s">
        <v>98</v>
      </c>
      <c r="Z97" s="685">
        <f>ROUND(V97-Input_CI!$Z55*V97+J97*Input_CI!Y55/Input_CI!$AH$76,0)</f>
        <v>86</v>
      </c>
      <c r="AA97" s="688">
        <f>SUM(J97,V97)</f>
        <v>600</v>
      </c>
      <c r="AB97" s="689">
        <f>L97+P97+X97</f>
        <v>677</v>
      </c>
      <c r="AC97" s="690">
        <f>N97+P97+Z97</f>
        <v>703</v>
      </c>
      <c r="AD97" s="780"/>
    </row>
    <row r="98" spans="1:30" s="176" customFormat="1" ht="21.9" customHeight="1" x14ac:dyDescent="0.2">
      <c r="A98" s="674"/>
      <c r="B98" s="675"/>
      <c r="C98" s="675"/>
      <c r="D98" s="676"/>
      <c r="E98" s="957" t="s">
        <v>1014</v>
      </c>
      <c r="F98" s="678" t="s">
        <v>138</v>
      </c>
      <c r="G98" s="776">
        <f>Input_CI!$AA$56</f>
        <v>3</v>
      </c>
      <c r="H98" s="784" t="s">
        <v>114</v>
      </c>
      <c r="I98" s="837">
        <f>산출기준_CI!G113</f>
        <v>85</v>
      </c>
      <c r="J98" s="682">
        <f>SUM(Input_CI!$N$12:$N$20)</f>
        <v>255</v>
      </c>
      <c r="K98" s="683">
        <f>$I98*(1-Input_CI!$X56)</f>
        <v>59.499999999999993</v>
      </c>
      <c r="L98" s="684">
        <f>ROUND(K98*G98,0)</f>
        <v>179</v>
      </c>
      <c r="M98" s="683">
        <f>$I98*(1-Input_CI!$X56-Input_CI!$Y56)</f>
        <v>51</v>
      </c>
      <c r="N98" s="685">
        <f>ROUND(M98*G98,0)</f>
        <v>153</v>
      </c>
      <c r="O98" s="686">
        <f>Q98+S98</f>
        <v>36.428571428571431</v>
      </c>
      <c r="P98" s="684">
        <f t="shared" ref="P98:P101" si="32">ROUND(O98*G98,0)</f>
        <v>109</v>
      </c>
      <c r="Q98" s="683">
        <f>$I98*(Input_CI!$X56)/Input_CI!$AH$75</f>
        <v>36.428571428571431</v>
      </c>
      <c r="R98" s="684">
        <f>ROUND(Q98*G98,0)</f>
        <v>109</v>
      </c>
      <c r="S98" s="683"/>
      <c r="T98" s="687"/>
      <c r="U98" s="748"/>
      <c r="V98" s="684"/>
      <c r="W98" s="777"/>
      <c r="X98" s="684"/>
      <c r="Y98" s="683">
        <f>$U98*(1-Input_CI!$Z56)+I98*Input_CI!$Y56/Input_CI!$AH$76</f>
        <v>12.142857142857144</v>
      </c>
      <c r="Z98" s="685">
        <f>ROUND(Y98*G98,0)</f>
        <v>36</v>
      </c>
      <c r="AA98" s="688">
        <f>SUM(J98,V98)</f>
        <v>255</v>
      </c>
      <c r="AB98" s="689">
        <f>L98+P98+X98</f>
        <v>288</v>
      </c>
      <c r="AC98" s="690">
        <f>N98+P98+Z98</f>
        <v>298</v>
      </c>
      <c r="AD98" s="780"/>
    </row>
    <row r="99" spans="1:30" s="176" customFormat="1" ht="21.9" customHeight="1" x14ac:dyDescent="0.2">
      <c r="A99" s="674"/>
      <c r="B99" s="675"/>
      <c r="C99" s="675"/>
      <c r="D99" s="676"/>
      <c r="E99" s="957" t="s">
        <v>351</v>
      </c>
      <c r="F99" s="678" t="s">
        <v>138</v>
      </c>
      <c r="G99" s="776">
        <f>Input_CI!$AA$57</f>
        <v>5</v>
      </c>
      <c r="H99" s="784" t="s">
        <v>114</v>
      </c>
      <c r="I99" s="837">
        <f>산출기준_CI!G114</f>
        <v>60</v>
      </c>
      <c r="J99" s="682">
        <f>SUM(Input_CI!$N$21:$N$29)</f>
        <v>300</v>
      </c>
      <c r="K99" s="683">
        <f>$I99*(1-Input_CI!$X57)</f>
        <v>42</v>
      </c>
      <c r="L99" s="684">
        <f>ROUND(K99*G99,0)</f>
        <v>210</v>
      </c>
      <c r="M99" s="683">
        <f>$I99*(1-Input_CI!$X57-Input_CI!$Y57)</f>
        <v>36</v>
      </c>
      <c r="N99" s="685">
        <f>ROUND(M99*G99,0)</f>
        <v>180</v>
      </c>
      <c r="O99" s="686">
        <f>Q99+S99</f>
        <v>25.714285714285715</v>
      </c>
      <c r="P99" s="684">
        <f t="shared" si="32"/>
        <v>129</v>
      </c>
      <c r="Q99" s="683">
        <f>$I99*(Input_CI!$X57)/Input_CI!$AH$75</f>
        <v>25.714285714285715</v>
      </c>
      <c r="R99" s="684">
        <f>ROUND(Q99*G99,0)</f>
        <v>129</v>
      </c>
      <c r="S99" s="683"/>
      <c r="T99" s="687"/>
      <c r="U99" s="748"/>
      <c r="V99" s="684"/>
      <c r="W99" s="777"/>
      <c r="X99" s="684"/>
      <c r="Y99" s="683">
        <f>$U99*(1-Input_CI!$Z57)+I99*Input_CI!$Y57/Input_CI!$AH$76</f>
        <v>8.5714285714285712</v>
      </c>
      <c r="Z99" s="685">
        <f>ROUND(Y99*G99,0)</f>
        <v>43</v>
      </c>
      <c r="AA99" s="688">
        <f>SUM(J99,V99)</f>
        <v>300</v>
      </c>
      <c r="AB99" s="689">
        <f>L99+P99+X99</f>
        <v>339</v>
      </c>
      <c r="AC99" s="690">
        <f>N99+P99+Z99</f>
        <v>352</v>
      </c>
      <c r="AD99" s="780"/>
    </row>
    <row r="100" spans="1:30" s="176" customFormat="1" ht="21.9" customHeight="1" x14ac:dyDescent="0.2">
      <c r="A100" s="674"/>
      <c r="B100" s="675"/>
      <c r="C100" s="675"/>
      <c r="D100" s="676"/>
      <c r="E100" s="957" t="s">
        <v>352</v>
      </c>
      <c r="F100" s="678" t="s">
        <v>138</v>
      </c>
      <c r="G100" s="776">
        <f>Input_CI!$AA$58</f>
        <v>8</v>
      </c>
      <c r="H100" s="784" t="s">
        <v>114</v>
      </c>
      <c r="I100" s="837">
        <f>산출기준_CI!G115</f>
        <v>60</v>
      </c>
      <c r="J100" s="682">
        <f>SUM(Input_CI!$N$30:$N$42)</f>
        <v>480</v>
      </c>
      <c r="K100" s="683">
        <f>$I100*(1-Input_CI!$X58)</f>
        <v>42</v>
      </c>
      <c r="L100" s="684">
        <f>ROUND(K100*G100,0)</f>
        <v>336</v>
      </c>
      <c r="M100" s="683">
        <f>$I100*(1-Input_CI!$X58-Input_CI!$Y58)</f>
        <v>36</v>
      </c>
      <c r="N100" s="685">
        <f>ROUND(M100*G100,0)</f>
        <v>288</v>
      </c>
      <c r="O100" s="686">
        <f>Q100+S100</f>
        <v>25.714285714285715</v>
      </c>
      <c r="P100" s="684">
        <f t="shared" si="32"/>
        <v>206</v>
      </c>
      <c r="Q100" s="683">
        <f>$I100*(Input_CI!$X58)/Input_CI!$AH$75</f>
        <v>25.714285714285715</v>
      </c>
      <c r="R100" s="684">
        <f>ROUND(Q100*G100,0)</f>
        <v>206</v>
      </c>
      <c r="S100" s="683"/>
      <c r="T100" s="687"/>
      <c r="U100" s="748"/>
      <c r="V100" s="684"/>
      <c r="W100" s="777"/>
      <c r="X100" s="684"/>
      <c r="Y100" s="683">
        <f>$U100*(1-Input_CI!$Z58)+I100*Input_CI!$Y58/Input_CI!$AH$76</f>
        <v>8.5714285714285712</v>
      </c>
      <c r="Z100" s="685">
        <f>ROUND(Y100*G100,0)</f>
        <v>69</v>
      </c>
      <c r="AA100" s="688">
        <f>SUM(J100,V100)</f>
        <v>480</v>
      </c>
      <c r="AB100" s="689">
        <f>L100+P100+X100</f>
        <v>542</v>
      </c>
      <c r="AC100" s="690">
        <f>N100+P100+Z100</f>
        <v>563</v>
      </c>
      <c r="AD100" s="780"/>
    </row>
    <row r="101" spans="1:30" s="176" customFormat="1" ht="21.9" customHeight="1" x14ac:dyDescent="0.2">
      <c r="A101" s="674"/>
      <c r="B101" s="713"/>
      <c r="C101" s="713"/>
      <c r="D101" s="749"/>
      <c r="E101" s="962" t="s">
        <v>353</v>
      </c>
      <c r="F101" s="761" t="s">
        <v>138</v>
      </c>
      <c r="G101" s="838">
        <f>Input_CI!$AA$59</f>
        <v>10</v>
      </c>
      <c r="H101" s="963" t="s">
        <v>114</v>
      </c>
      <c r="I101" s="837">
        <f>산출기준_CI!G116</f>
        <v>60</v>
      </c>
      <c r="J101" s="754">
        <f>ROUND((G101*I101),0)</f>
        <v>600</v>
      </c>
      <c r="K101" s="700">
        <f>$I101*(1-Input_CI!$X59)</f>
        <v>42</v>
      </c>
      <c r="L101" s="701">
        <f>ROUND(K101*G101,0)</f>
        <v>420</v>
      </c>
      <c r="M101" s="700">
        <f>$I101*(1-Input_CI!$X59-Input_CI!$Y59)</f>
        <v>36</v>
      </c>
      <c r="N101" s="702">
        <f>ROUND(M101*G101,0)</f>
        <v>360</v>
      </c>
      <c r="O101" s="686">
        <f>Q101+S101</f>
        <v>25.714285714285715</v>
      </c>
      <c r="P101" s="684">
        <f t="shared" si="32"/>
        <v>257</v>
      </c>
      <c r="Q101" s="683">
        <f>$I101*(Input_CI!$X59)/Input_CI!$AH$75</f>
        <v>25.714285714285715</v>
      </c>
      <c r="R101" s="684">
        <f>ROUND(Q101*G101,0)</f>
        <v>257</v>
      </c>
      <c r="S101" s="683"/>
      <c r="T101" s="687"/>
      <c r="U101" s="821"/>
      <c r="V101" s="701"/>
      <c r="W101" s="812"/>
      <c r="X101" s="701"/>
      <c r="Y101" s="700">
        <f>$U101*(1-Input_CI!$Z59)+I101*Input_CI!$Y59/Input_CI!$AH$76</f>
        <v>8.5714285714285712</v>
      </c>
      <c r="Z101" s="702">
        <f>ROUND(Y101*G101,0)</f>
        <v>86</v>
      </c>
      <c r="AA101" s="762">
        <f>SUM(J101,V101)</f>
        <v>600</v>
      </c>
      <c r="AB101" s="763">
        <f>L101+P101+X101</f>
        <v>677</v>
      </c>
      <c r="AC101" s="764">
        <f>N101+P101+Z101</f>
        <v>703</v>
      </c>
      <c r="AD101" s="815"/>
    </row>
    <row r="102" spans="1:30" s="176" customFormat="1" ht="21.9" customHeight="1" x14ac:dyDescent="0.2">
      <c r="A102" s="674"/>
      <c r="B102" s="657" t="s">
        <v>354</v>
      </c>
      <c r="C102" s="657" t="s">
        <v>1065</v>
      </c>
      <c r="D102" s="658" t="s">
        <v>95</v>
      </c>
      <c r="E102" s="817" t="s">
        <v>355</v>
      </c>
      <c r="F102" s="767"/>
      <c r="G102" s="661"/>
      <c r="H102" s="737"/>
      <c r="I102" s="819"/>
      <c r="J102" s="664"/>
      <c r="K102" s="666"/>
      <c r="L102" s="666"/>
      <c r="M102" s="666"/>
      <c r="N102" s="667"/>
      <c r="O102" s="953"/>
      <c r="P102" s="666"/>
      <c r="Q102" s="666"/>
      <c r="R102" s="666"/>
      <c r="S102" s="666"/>
      <c r="T102" s="669"/>
      <c r="U102" s="819"/>
      <c r="V102" s="666"/>
      <c r="W102" s="669"/>
      <c r="X102" s="669"/>
      <c r="Y102" s="669"/>
      <c r="Z102" s="954"/>
      <c r="AA102" s="955"/>
      <c r="AB102" s="956"/>
      <c r="AC102" s="672"/>
      <c r="AD102" s="773"/>
    </row>
    <row r="103" spans="1:30" s="176" customFormat="1" ht="60" customHeight="1" x14ac:dyDescent="0.2">
      <c r="A103" s="674"/>
      <c r="B103" s="675"/>
      <c r="C103" s="675"/>
      <c r="D103" s="676"/>
      <c r="E103" s="957" t="s">
        <v>137</v>
      </c>
      <c r="F103" s="678" t="s">
        <v>138</v>
      </c>
      <c r="G103" s="782">
        <v>0</v>
      </c>
      <c r="H103" s="784" t="s">
        <v>114</v>
      </c>
      <c r="I103" s="837" t="s">
        <v>1064</v>
      </c>
      <c r="J103" s="964">
        <v>0</v>
      </c>
      <c r="K103" s="890" t="s">
        <v>98</v>
      </c>
      <c r="L103" s="684">
        <f>ROUND(J103*(1-Input_CI!$X55),0)</f>
        <v>0</v>
      </c>
      <c r="M103" s="890" t="s">
        <v>98</v>
      </c>
      <c r="N103" s="685">
        <f>ROUND(J103*(1-Input_CI!$X55-Input_CI!Y55),0)</f>
        <v>0</v>
      </c>
      <c r="O103" s="891" t="s">
        <v>98</v>
      </c>
      <c r="P103" s="684">
        <f>R103+T103</f>
        <v>0</v>
      </c>
      <c r="Q103" s="890" t="s">
        <v>98</v>
      </c>
      <c r="R103" s="684">
        <f>ROUND(J103*Input_CI!$X55/Input_CI!$AH$75,0)</f>
        <v>0</v>
      </c>
      <c r="S103" s="890"/>
      <c r="T103" s="687"/>
      <c r="U103" s="748"/>
      <c r="V103" s="684"/>
      <c r="W103" s="890"/>
      <c r="X103" s="684"/>
      <c r="Y103" s="890" t="s">
        <v>98</v>
      </c>
      <c r="Z103" s="685">
        <f>ROUND(V103-Input_CI!$Z55*V103+J103*Input_CI!Y55/Input_CI!$AH$76,0)</f>
        <v>0</v>
      </c>
      <c r="AA103" s="688">
        <f>SUM(J103,V103)</f>
        <v>0</v>
      </c>
      <c r="AB103" s="689">
        <f>L103+P103+X103</f>
        <v>0</v>
      </c>
      <c r="AC103" s="690">
        <f>N103+P103+Z103</f>
        <v>0</v>
      </c>
      <c r="AD103" s="780"/>
    </row>
    <row r="104" spans="1:30" s="176" customFormat="1" ht="45.75" customHeight="1" x14ac:dyDescent="0.2">
      <c r="A104" s="674"/>
      <c r="B104" s="675"/>
      <c r="C104" s="675"/>
      <c r="D104" s="676"/>
      <c r="E104" s="957" t="s">
        <v>1014</v>
      </c>
      <c r="F104" s="678" t="s">
        <v>138</v>
      </c>
      <c r="G104" s="782">
        <v>0</v>
      </c>
      <c r="H104" s="784" t="s">
        <v>114</v>
      </c>
      <c r="I104" s="837" t="s">
        <v>1064</v>
      </c>
      <c r="J104" s="964">
        <v>0</v>
      </c>
      <c r="K104" s="890" t="s">
        <v>98</v>
      </c>
      <c r="L104" s="684">
        <f>ROUND(J104*(1-Input_CI!$X56),0)</f>
        <v>0</v>
      </c>
      <c r="M104" s="890" t="s">
        <v>98</v>
      </c>
      <c r="N104" s="685">
        <f>ROUND(J104*(1-Input_CI!$X56-Input_CI!Y56),0)</f>
        <v>0</v>
      </c>
      <c r="O104" s="891" t="s">
        <v>98</v>
      </c>
      <c r="P104" s="684">
        <f>R104+T104</f>
        <v>0</v>
      </c>
      <c r="Q104" s="890" t="s">
        <v>98</v>
      </c>
      <c r="R104" s="684">
        <f>ROUND(J104*Input_CI!$X56/Input_CI!$AH$75,0)</f>
        <v>0</v>
      </c>
      <c r="S104" s="890"/>
      <c r="T104" s="687"/>
      <c r="U104" s="748"/>
      <c r="V104" s="684"/>
      <c r="W104" s="890"/>
      <c r="X104" s="684"/>
      <c r="Y104" s="890" t="s">
        <v>98</v>
      </c>
      <c r="Z104" s="685">
        <f>ROUND(V104-Input_CI!$Z56*V104+J104*Input_CI!Y56/Input_CI!$AH$76,0)</f>
        <v>0</v>
      </c>
      <c r="AA104" s="688">
        <f>SUM(J104,V104)</f>
        <v>0</v>
      </c>
      <c r="AB104" s="689">
        <f>L104+P104+X104</f>
        <v>0</v>
      </c>
      <c r="AC104" s="690">
        <f>N104+P104+Z104</f>
        <v>0</v>
      </c>
      <c r="AD104" s="780"/>
    </row>
    <row r="105" spans="1:30" s="176" customFormat="1" ht="45.75" customHeight="1" x14ac:dyDescent="0.2">
      <c r="A105" s="674"/>
      <c r="B105" s="675"/>
      <c r="C105" s="675"/>
      <c r="D105" s="676"/>
      <c r="E105" s="957" t="s">
        <v>351</v>
      </c>
      <c r="F105" s="678" t="s">
        <v>138</v>
      </c>
      <c r="G105" s="782">
        <v>0</v>
      </c>
      <c r="H105" s="784" t="s">
        <v>114</v>
      </c>
      <c r="I105" s="837" t="s">
        <v>1064</v>
      </c>
      <c r="J105" s="964">
        <v>0</v>
      </c>
      <c r="K105" s="890" t="s">
        <v>98</v>
      </c>
      <c r="L105" s="684">
        <f>ROUND(J105*(1-Input_CI!$X57),0)</f>
        <v>0</v>
      </c>
      <c r="M105" s="890" t="s">
        <v>98</v>
      </c>
      <c r="N105" s="685">
        <f>ROUND(J105*(1-Input_CI!$X57-Input_CI!Y57),0)</f>
        <v>0</v>
      </c>
      <c r="O105" s="891" t="s">
        <v>98</v>
      </c>
      <c r="P105" s="684">
        <f>R105+T105</f>
        <v>0</v>
      </c>
      <c r="Q105" s="890" t="s">
        <v>98</v>
      </c>
      <c r="R105" s="684">
        <f>ROUND(J105*Input_CI!$X57/Input_CI!$AH$75,0)</f>
        <v>0</v>
      </c>
      <c r="S105" s="890"/>
      <c r="T105" s="687"/>
      <c r="U105" s="748"/>
      <c r="V105" s="684"/>
      <c r="W105" s="890"/>
      <c r="X105" s="684"/>
      <c r="Y105" s="890" t="s">
        <v>98</v>
      </c>
      <c r="Z105" s="685">
        <f>ROUND(V105-Input_CI!$Z57*V105+J105*Input_CI!Y57/Input_CI!$AH$76,0)</f>
        <v>0</v>
      </c>
      <c r="AA105" s="688">
        <f>SUM(J105,V105)</f>
        <v>0</v>
      </c>
      <c r="AB105" s="689">
        <f>L105+P105+X105</f>
        <v>0</v>
      </c>
      <c r="AC105" s="690">
        <f>N105+P105+Z105</f>
        <v>0</v>
      </c>
      <c r="AD105" s="780"/>
    </row>
    <row r="106" spans="1:30" s="176" customFormat="1" ht="85.5" customHeight="1" x14ac:dyDescent="0.2">
      <c r="A106" s="674"/>
      <c r="B106" s="675"/>
      <c r="C106" s="675"/>
      <c r="D106" s="676"/>
      <c r="E106" s="957" t="s">
        <v>352</v>
      </c>
      <c r="F106" s="678" t="s">
        <v>138</v>
      </c>
      <c r="G106" s="782">
        <v>0</v>
      </c>
      <c r="H106" s="784" t="s">
        <v>114</v>
      </c>
      <c r="I106" s="837" t="s">
        <v>1064</v>
      </c>
      <c r="J106" s="964">
        <v>0</v>
      </c>
      <c r="K106" s="890" t="s">
        <v>98</v>
      </c>
      <c r="L106" s="684">
        <f>ROUND(J106*(1-Input_CI!$X58),0)</f>
        <v>0</v>
      </c>
      <c r="M106" s="890" t="s">
        <v>98</v>
      </c>
      <c r="N106" s="685">
        <f>ROUND(J106*(1-Input_CI!$X58-Input_CI!Y58),0)</f>
        <v>0</v>
      </c>
      <c r="O106" s="891" t="s">
        <v>98</v>
      </c>
      <c r="P106" s="684">
        <f>R106+T106</f>
        <v>0</v>
      </c>
      <c r="Q106" s="890" t="s">
        <v>98</v>
      </c>
      <c r="R106" s="684">
        <f>ROUND(J106*Input_CI!$X58/Input_CI!$AH$75,0)</f>
        <v>0</v>
      </c>
      <c r="S106" s="890"/>
      <c r="T106" s="687"/>
      <c r="U106" s="748"/>
      <c r="V106" s="684"/>
      <c r="W106" s="890"/>
      <c r="X106" s="684"/>
      <c r="Y106" s="890" t="s">
        <v>98</v>
      </c>
      <c r="Z106" s="685">
        <f>ROUND(V106-Input_CI!$Z58*V106+J106*Input_CI!Y58/Input_CI!$AH$76,0)</f>
        <v>0</v>
      </c>
      <c r="AA106" s="688">
        <f>SUM(J106,V106)</f>
        <v>0</v>
      </c>
      <c r="AB106" s="689">
        <f>L106+P106+X106</f>
        <v>0</v>
      </c>
      <c r="AC106" s="690">
        <f>N106+P106+Z106</f>
        <v>0</v>
      </c>
      <c r="AD106" s="780"/>
    </row>
    <row r="107" spans="1:30" s="176" customFormat="1" ht="21.9" customHeight="1" x14ac:dyDescent="0.2">
      <c r="A107" s="674"/>
      <c r="B107" s="675"/>
      <c r="C107" s="675"/>
      <c r="D107" s="676"/>
      <c r="E107" s="957" t="s">
        <v>353</v>
      </c>
      <c r="F107" s="678" t="s">
        <v>138</v>
      </c>
      <c r="G107" s="782">
        <v>0</v>
      </c>
      <c r="H107" s="784" t="s">
        <v>114</v>
      </c>
      <c r="I107" s="837">
        <f>산출기준_CI!G124</f>
        <v>90</v>
      </c>
      <c r="J107" s="682">
        <f>ROUND((G107*I107),0)</f>
        <v>0</v>
      </c>
      <c r="K107" s="683">
        <f>$I107*(1-Input_CI!$X59)</f>
        <v>62.999999999999993</v>
      </c>
      <c r="L107" s="684">
        <f>ROUND(K107*G107,0)</f>
        <v>0</v>
      </c>
      <c r="M107" s="683">
        <f>$I107*(1-Input_CI!$X59-Input_CI!$Y59)</f>
        <v>54</v>
      </c>
      <c r="N107" s="685">
        <f>ROUND(M107*G107,0)</f>
        <v>0</v>
      </c>
      <c r="O107" s="686">
        <f>Q107+S107</f>
        <v>38.571428571428577</v>
      </c>
      <c r="P107" s="684">
        <f>R107+T107</f>
        <v>0</v>
      </c>
      <c r="Q107" s="683">
        <f>$I107*(Input_CI!$X59)/Input_CI!$AH$75</f>
        <v>38.571428571428577</v>
      </c>
      <c r="R107" s="684">
        <f>ROUND(Q107*G107,0)</f>
        <v>0</v>
      </c>
      <c r="S107" s="683"/>
      <c r="T107" s="687"/>
      <c r="U107" s="748"/>
      <c r="V107" s="684"/>
      <c r="W107" s="777"/>
      <c r="X107" s="684"/>
      <c r="Y107" s="683">
        <f>$U107*(1-Input_CI!$Z59)+I107*Input_CI!$Y59/Input_CI!$AH$76</f>
        <v>12.857142857142858</v>
      </c>
      <c r="Z107" s="685">
        <f>ROUND(Y107*G107,0)</f>
        <v>0</v>
      </c>
      <c r="AA107" s="688">
        <f>SUM(J107,V107)</f>
        <v>0</v>
      </c>
      <c r="AB107" s="689">
        <f>L107+P107+X107</f>
        <v>0</v>
      </c>
      <c r="AC107" s="690">
        <f>N107+P107+Z107</f>
        <v>0</v>
      </c>
      <c r="AD107" s="780"/>
    </row>
    <row r="108" spans="1:30" ht="21.9" customHeight="1" x14ac:dyDescent="0.15">
      <c r="A108" s="674"/>
      <c r="B108" s="675"/>
      <c r="C108" s="675"/>
      <c r="D108" s="676" t="s">
        <v>102</v>
      </c>
      <c r="E108" s="677" t="s">
        <v>365</v>
      </c>
      <c r="F108" s="781"/>
      <c r="G108" s="679"/>
      <c r="H108" s="965"/>
      <c r="I108" s="837"/>
      <c r="J108" s="682"/>
      <c r="K108" s="684"/>
      <c r="L108" s="684"/>
      <c r="M108" s="684"/>
      <c r="N108" s="685"/>
      <c r="O108" s="895"/>
      <c r="P108" s="684"/>
      <c r="Q108" s="683"/>
      <c r="R108" s="684"/>
      <c r="S108" s="683"/>
      <c r="T108" s="687"/>
      <c r="U108" s="748"/>
      <c r="V108" s="684"/>
      <c r="W108" s="687"/>
      <c r="X108" s="687"/>
      <c r="Y108" s="687"/>
      <c r="Z108" s="966"/>
      <c r="AA108" s="967"/>
      <c r="AB108" s="968"/>
      <c r="AC108" s="690"/>
      <c r="AD108" s="780"/>
    </row>
    <row r="109" spans="1:30" ht="21.9" customHeight="1" x14ac:dyDescent="0.15">
      <c r="A109" s="674"/>
      <c r="B109" s="675"/>
      <c r="C109" s="675"/>
      <c r="D109" s="676"/>
      <c r="E109" s="746" t="s">
        <v>366</v>
      </c>
      <c r="F109" s="781" t="s">
        <v>138</v>
      </c>
      <c r="G109" s="782">
        <v>0</v>
      </c>
      <c r="H109" s="784" t="s">
        <v>114</v>
      </c>
      <c r="I109" s="837">
        <f>산출기준_CI!G126</f>
        <v>25</v>
      </c>
      <c r="J109" s="682">
        <f>ROUND((G109*I109),0)</f>
        <v>0</v>
      </c>
      <c r="K109" s="683">
        <f>$I109*(1-Input_CI!$X60)</f>
        <v>17.5</v>
      </c>
      <c r="L109" s="684">
        <f>ROUND(K109*G109,0)</f>
        <v>0</v>
      </c>
      <c r="M109" s="683">
        <f>$I109*(1-Input_CI!$X60-Input_CI!$Y60)</f>
        <v>15</v>
      </c>
      <c r="N109" s="685">
        <f>ROUND(M109*G109,0)</f>
        <v>0</v>
      </c>
      <c r="O109" s="686">
        <f>Q109+S109</f>
        <v>10.714285714285715</v>
      </c>
      <c r="P109" s="684">
        <f>R109+T109</f>
        <v>0</v>
      </c>
      <c r="Q109" s="683">
        <f>$I109*(Input_CI!$X60)/Input_CI!$AH$75</f>
        <v>10.714285714285715</v>
      </c>
      <c r="R109" s="684">
        <f>ROUND(Q109*G109,0)</f>
        <v>0</v>
      </c>
      <c r="S109" s="683"/>
      <c r="T109" s="687"/>
      <c r="U109" s="748"/>
      <c r="V109" s="684"/>
      <c r="W109" s="777"/>
      <c r="X109" s="684"/>
      <c r="Y109" s="683">
        <f>$U109*(1-Input_CI!$Z60)+I109*Input_CI!$Y60/Input_CI!$AH$76</f>
        <v>3.5714285714285716</v>
      </c>
      <c r="Z109" s="685">
        <f>ROUND(Y109*G109,0)</f>
        <v>0</v>
      </c>
      <c r="AA109" s="688">
        <f>SUM(J109,V109)</f>
        <v>0</v>
      </c>
      <c r="AB109" s="689">
        <f>L109+P109+X109</f>
        <v>0</v>
      </c>
      <c r="AC109" s="690">
        <f>N109+P109+Z109</f>
        <v>0</v>
      </c>
      <c r="AD109" s="780"/>
    </row>
    <row r="110" spans="1:30" ht="21.9" customHeight="1" x14ac:dyDescent="0.15">
      <c r="A110" s="674"/>
      <c r="B110" s="692"/>
      <c r="C110" s="692"/>
      <c r="D110" s="693"/>
      <c r="E110" s="969" t="s">
        <v>369</v>
      </c>
      <c r="F110" s="792" t="s">
        <v>138</v>
      </c>
      <c r="G110" s="970">
        <v>0</v>
      </c>
      <c r="H110" s="794" t="s">
        <v>114</v>
      </c>
      <c r="I110" s="971">
        <f>산출기준_CI!G127</f>
        <v>10</v>
      </c>
      <c r="J110" s="699">
        <f>ROUND((G110*I110),0)</f>
        <v>0</v>
      </c>
      <c r="K110" s="700">
        <f>$I110*(1-Input_CI!$X70)</f>
        <v>7</v>
      </c>
      <c r="L110" s="701">
        <f>ROUND(K110*G110,0)</f>
        <v>0</v>
      </c>
      <c r="M110" s="700">
        <f>$I110*(1-Input_CI!$X70-Input_CI!$Y70)</f>
        <v>6</v>
      </c>
      <c r="N110" s="702">
        <f>ROUND(M110*G110,0)</f>
        <v>0</v>
      </c>
      <c r="O110" s="703">
        <f>Q110+S110</f>
        <v>4.2857142857142856</v>
      </c>
      <c r="P110" s="701">
        <f>R110+T110</f>
        <v>0</v>
      </c>
      <c r="Q110" s="700">
        <f>$I110*(Input_CI!$X70)/Input_CI!$AH$75</f>
        <v>4.2857142857142856</v>
      </c>
      <c r="R110" s="701">
        <f>ROUND(Q110*G110,0)</f>
        <v>0</v>
      </c>
      <c r="S110" s="700"/>
      <c r="T110" s="704"/>
      <c r="U110" s="821"/>
      <c r="V110" s="701"/>
      <c r="W110" s="812"/>
      <c r="X110" s="701"/>
      <c r="Y110" s="700">
        <f>$U110*(1-Input_CI!$Z70)+I110*Input_CI!$Y70/Input_CI!$AH$76</f>
        <v>1.4285714285714286</v>
      </c>
      <c r="Z110" s="702">
        <f>ROUND(Y110*G110,0)</f>
        <v>0</v>
      </c>
      <c r="AA110" s="705">
        <f>SUM(J110,V110)</f>
        <v>0</v>
      </c>
      <c r="AB110" s="706">
        <f>L110+P110+X110</f>
        <v>0</v>
      </c>
      <c r="AC110" s="707">
        <f>N110+P110+Z110</f>
        <v>0</v>
      </c>
      <c r="AD110" s="797"/>
    </row>
    <row r="111" spans="1:30" s="176" customFormat="1" ht="21.9" customHeight="1" x14ac:dyDescent="0.2">
      <c r="A111" s="674"/>
      <c r="B111" s="798" t="s">
        <v>371</v>
      </c>
      <c r="C111" s="798" t="s">
        <v>1066</v>
      </c>
      <c r="D111" s="822" t="s">
        <v>95</v>
      </c>
      <c r="E111" s="800" t="s">
        <v>372</v>
      </c>
      <c r="F111" s="879"/>
      <c r="G111" s="802"/>
      <c r="H111" s="959"/>
      <c r="I111" s="804"/>
      <c r="J111" s="805"/>
      <c r="K111" s="827"/>
      <c r="L111" s="827"/>
      <c r="M111" s="827"/>
      <c r="N111" s="881"/>
      <c r="O111" s="972"/>
      <c r="P111" s="827"/>
      <c r="Q111" s="827"/>
      <c r="R111" s="827"/>
      <c r="S111" s="827"/>
      <c r="T111" s="973"/>
      <c r="U111" s="804"/>
      <c r="V111" s="827"/>
      <c r="W111" s="973"/>
      <c r="X111" s="973"/>
      <c r="Y111" s="973"/>
      <c r="Z111" s="974"/>
      <c r="AA111" s="960"/>
      <c r="AB111" s="961"/>
      <c r="AC111" s="808"/>
      <c r="AD111" s="809"/>
    </row>
    <row r="112" spans="1:30" s="176" customFormat="1" ht="59.25" customHeight="1" x14ac:dyDescent="0.2">
      <c r="A112" s="674"/>
      <c r="B112" s="675"/>
      <c r="C112" s="675"/>
      <c r="D112" s="676"/>
      <c r="E112" s="957" t="s">
        <v>137</v>
      </c>
      <c r="F112" s="678" t="s">
        <v>138</v>
      </c>
      <c r="G112" s="782">
        <v>0</v>
      </c>
      <c r="H112" s="784" t="s">
        <v>114</v>
      </c>
      <c r="I112" s="837" t="s">
        <v>1064</v>
      </c>
      <c r="J112" s="964">
        <v>0</v>
      </c>
      <c r="K112" s="890" t="s">
        <v>98</v>
      </c>
      <c r="L112" s="684">
        <f>ROUND(J112*(1-Input_CI!$X55),0)</f>
        <v>0</v>
      </c>
      <c r="M112" s="890" t="s">
        <v>98</v>
      </c>
      <c r="N112" s="685">
        <f>ROUND(J112*(1-Input_CI!$X55-Input_CI!Y55),0)</f>
        <v>0</v>
      </c>
      <c r="O112" s="891" t="s">
        <v>98</v>
      </c>
      <c r="P112" s="684">
        <f>R112+T112</f>
        <v>0</v>
      </c>
      <c r="Q112" s="890" t="s">
        <v>98</v>
      </c>
      <c r="R112" s="684">
        <f>ROUND(J112*Input_CI!$X55/Input_CI!$AH$75,0)</f>
        <v>0</v>
      </c>
      <c r="S112" s="890"/>
      <c r="T112" s="687"/>
      <c r="U112" s="748"/>
      <c r="V112" s="684"/>
      <c r="W112" s="890"/>
      <c r="X112" s="684"/>
      <c r="Y112" s="890" t="s">
        <v>98</v>
      </c>
      <c r="Z112" s="685">
        <f>ROUND(V112-Input_CI!$Z55*V112+J112*Input_CI!Y55/Input_CI!$AH$76,0)</f>
        <v>0</v>
      </c>
      <c r="AA112" s="688">
        <f>SUM(J112,V112)</f>
        <v>0</v>
      </c>
      <c r="AB112" s="689">
        <f>L112+P112+X112</f>
        <v>0</v>
      </c>
      <c r="AC112" s="690">
        <f>N112+P112+Z112</f>
        <v>0</v>
      </c>
      <c r="AD112" s="780"/>
    </row>
    <row r="113" spans="1:31" s="176" customFormat="1" ht="44.25" customHeight="1" x14ac:dyDescent="0.2">
      <c r="A113" s="674"/>
      <c r="B113" s="675"/>
      <c r="C113" s="675"/>
      <c r="D113" s="676"/>
      <c r="E113" s="957" t="s">
        <v>1014</v>
      </c>
      <c r="F113" s="678" t="s">
        <v>138</v>
      </c>
      <c r="G113" s="782">
        <v>0</v>
      </c>
      <c r="H113" s="784" t="s">
        <v>114</v>
      </c>
      <c r="I113" s="837" t="s">
        <v>1064</v>
      </c>
      <c r="J113" s="964">
        <v>0</v>
      </c>
      <c r="K113" s="890" t="s">
        <v>98</v>
      </c>
      <c r="L113" s="684">
        <f>ROUND(J113*(1-Input_CI!$X56),0)</f>
        <v>0</v>
      </c>
      <c r="M113" s="890" t="s">
        <v>98</v>
      </c>
      <c r="N113" s="685">
        <f>ROUND(J113*(1-Input_CI!$X56-Input_CI!Y56),0)</f>
        <v>0</v>
      </c>
      <c r="O113" s="891" t="s">
        <v>98</v>
      </c>
      <c r="P113" s="684">
        <f>R113+T113</f>
        <v>0</v>
      </c>
      <c r="Q113" s="890" t="s">
        <v>98</v>
      </c>
      <c r="R113" s="684">
        <f>ROUND(J113*Input_CI!$X56/Input_CI!$AH$75,0)</f>
        <v>0</v>
      </c>
      <c r="S113" s="890"/>
      <c r="T113" s="687"/>
      <c r="U113" s="748"/>
      <c r="V113" s="684"/>
      <c r="W113" s="890"/>
      <c r="X113" s="684"/>
      <c r="Y113" s="890" t="s">
        <v>98</v>
      </c>
      <c r="Z113" s="685">
        <f>ROUND(V113-Input_CI!$Z56*V113+J113*Input_CI!Y56/Input_CI!$AH$76,0)</f>
        <v>0</v>
      </c>
      <c r="AA113" s="688">
        <f>SUM(J113,V113)</f>
        <v>0</v>
      </c>
      <c r="AB113" s="689">
        <f>L113+P113+X113</f>
        <v>0</v>
      </c>
      <c r="AC113" s="690">
        <f>N113+P113+Z113</f>
        <v>0</v>
      </c>
      <c r="AD113" s="780"/>
    </row>
    <row r="114" spans="1:31" s="176" customFormat="1" ht="44.25" customHeight="1" x14ac:dyDescent="0.2">
      <c r="A114" s="674"/>
      <c r="B114" s="675"/>
      <c r="C114" s="675"/>
      <c r="D114" s="676"/>
      <c r="E114" s="957" t="s">
        <v>351</v>
      </c>
      <c r="F114" s="678" t="s">
        <v>138</v>
      </c>
      <c r="G114" s="782">
        <v>0</v>
      </c>
      <c r="H114" s="784" t="s">
        <v>114</v>
      </c>
      <c r="I114" s="837" t="s">
        <v>1064</v>
      </c>
      <c r="J114" s="964">
        <v>0</v>
      </c>
      <c r="K114" s="890" t="s">
        <v>98</v>
      </c>
      <c r="L114" s="684">
        <f>ROUND(J114*(1-Input_CI!$X57),0)</f>
        <v>0</v>
      </c>
      <c r="M114" s="890" t="s">
        <v>98</v>
      </c>
      <c r="N114" s="685">
        <f>ROUND(J114*(1-Input_CI!$X57-Input_CI!Y57),0)</f>
        <v>0</v>
      </c>
      <c r="O114" s="891" t="s">
        <v>98</v>
      </c>
      <c r="P114" s="684">
        <f>R114+T114</f>
        <v>0</v>
      </c>
      <c r="Q114" s="890" t="s">
        <v>98</v>
      </c>
      <c r="R114" s="684">
        <f>ROUND(J114*Input_CI!$X57/Input_CI!$AH$75,0)</f>
        <v>0</v>
      </c>
      <c r="S114" s="890"/>
      <c r="T114" s="687"/>
      <c r="U114" s="748"/>
      <c r="V114" s="684"/>
      <c r="W114" s="890"/>
      <c r="X114" s="684"/>
      <c r="Y114" s="890" t="s">
        <v>98</v>
      </c>
      <c r="Z114" s="685">
        <f>ROUND(V114-Input_CI!$Z57*V114+J114*Input_CI!Y57/Input_CI!$AH$76,0)</f>
        <v>0</v>
      </c>
      <c r="AA114" s="688">
        <f>SUM(J114,V114)</f>
        <v>0</v>
      </c>
      <c r="AB114" s="689">
        <f>L114+P114+X114</f>
        <v>0</v>
      </c>
      <c r="AC114" s="690">
        <f>N114+P114+Z114</f>
        <v>0</v>
      </c>
      <c r="AD114" s="780"/>
    </row>
    <row r="115" spans="1:31" s="176" customFormat="1" ht="76.5" customHeight="1" x14ac:dyDescent="0.2">
      <c r="A115" s="674"/>
      <c r="B115" s="675"/>
      <c r="C115" s="675"/>
      <c r="D115" s="676"/>
      <c r="E115" s="957" t="s">
        <v>352</v>
      </c>
      <c r="F115" s="678" t="s">
        <v>138</v>
      </c>
      <c r="G115" s="782">
        <v>0</v>
      </c>
      <c r="H115" s="784" t="s">
        <v>114</v>
      </c>
      <c r="I115" s="837" t="s">
        <v>1064</v>
      </c>
      <c r="J115" s="964">
        <v>0</v>
      </c>
      <c r="K115" s="890" t="s">
        <v>98</v>
      </c>
      <c r="L115" s="684">
        <f>ROUND(J115*(1-Input_CI!$X58),0)</f>
        <v>0</v>
      </c>
      <c r="M115" s="890" t="s">
        <v>98</v>
      </c>
      <c r="N115" s="685">
        <f>ROUND(J115*(1-Input_CI!$X58-Input_CI!Y58),0)</f>
        <v>0</v>
      </c>
      <c r="O115" s="891" t="s">
        <v>98</v>
      </c>
      <c r="P115" s="684">
        <f>R115+T115</f>
        <v>0</v>
      </c>
      <c r="Q115" s="890" t="s">
        <v>98</v>
      </c>
      <c r="R115" s="684">
        <f>ROUND(J115*Input_CI!$X58/Input_CI!$AH$75,0)</f>
        <v>0</v>
      </c>
      <c r="S115" s="890"/>
      <c r="T115" s="687"/>
      <c r="U115" s="748"/>
      <c r="V115" s="684"/>
      <c r="W115" s="890"/>
      <c r="X115" s="684"/>
      <c r="Y115" s="890" t="s">
        <v>98</v>
      </c>
      <c r="Z115" s="685">
        <f>ROUND(V115-Input_CI!$Z58*V115+J115*Input_CI!Y58/Input_CI!$AH$76,0)</f>
        <v>0</v>
      </c>
      <c r="AA115" s="688">
        <f>SUM(J115,V115)</f>
        <v>0</v>
      </c>
      <c r="AB115" s="689">
        <f>L115+P115+X115</f>
        <v>0</v>
      </c>
      <c r="AC115" s="690">
        <f>N115+P115+Z115</f>
        <v>0</v>
      </c>
      <c r="AD115" s="780"/>
    </row>
    <row r="116" spans="1:31" s="176" customFormat="1" ht="21.9" customHeight="1" x14ac:dyDescent="0.2">
      <c r="A116" s="674"/>
      <c r="B116" s="675"/>
      <c r="C116" s="675"/>
      <c r="D116" s="676"/>
      <c r="E116" s="957" t="s">
        <v>353</v>
      </c>
      <c r="F116" s="678" t="s">
        <v>138</v>
      </c>
      <c r="G116" s="782">
        <v>0</v>
      </c>
      <c r="H116" s="784" t="s">
        <v>114</v>
      </c>
      <c r="I116" s="748">
        <f>산출기준_CI!G135</f>
        <v>50</v>
      </c>
      <c r="J116" s="682">
        <f>ROUND((G116*I116),0)</f>
        <v>0</v>
      </c>
      <c r="K116" s="683">
        <f>$I116*(1-Input_CI!$X59)</f>
        <v>35</v>
      </c>
      <c r="L116" s="684">
        <f>ROUND(K116*G116,0)</f>
        <v>0</v>
      </c>
      <c r="M116" s="683">
        <f>$I116*(1-Input_CI!$X59-Input_CI!$Y59)</f>
        <v>30</v>
      </c>
      <c r="N116" s="685">
        <f>ROUND(M116*G116,0)</f>
        <v>0</v>
      </c>
      <c r="O116" s="686">
        <f>Q116+S116</f>
        <v>21.428571428571431</v>
      </c>
      <c r="P116" s="684">
        <f>R116+T116</f>
        <v>0</v>
      </c>
      <c r="Q116" s="683">
        <f>$I116*(Input_CI!$X59)/Input_CI!$AH$75</f>
        <v>21.428571428571431</v>
      </c>
      <c r="R116" s="684">
        <f>ROUND(Q116*G116,0)</f>
        <v>0</v>
      </c>
      <c r="S116" s="683"/>
      <c r="T116" s="687"/>
      <c r="U116" s="748"/>
      <c r="V116" s="684"/>
      <c r="W116" s="777"/>
      <c r="X116" s="684"/>
      <c r="Y116" s="683">
        <f>$U116*(1-Input_CI!$Z59)+I116*Input_CI!$Y59/Input_CI!$AH$76</f>
        <v>7.1428571428571432</v>
      </c>
      <c r="Z116" s="685">
        <f>ROUND(Y116*G116,0)</f>
        <v>0</v>
      </c>
      <c r="AA116" s="688">
        <f>SUM(J116,V116)</f>
        <v>0</v>
      </c>
      <c r="AB116" s="689">
        <f>L116+P116+X116</f>
        <v>0</v>
      </c>
      <c r="AC116" s="690">
        <f>N116+P116+Z116</f>
        <v>0</v>
      </c>
      <c r="AD116" s="780"/>
    </row>
    <row r="117" spans="1:31" s="176" customFormat="1" ht="21.9" customHeight="1" x14ac:dyDescent="0.2">
      <c r="A117" s="674"/>
      <c r="B117" s="675"/>
      <c r="C117" s="675"/>
      <c r="D117" s="676" t="s">
        <v>102</v>
      </c>
      <c r="E117" s="788" t="s">
        <v>378</v>
      </c>
      <c r="F117" s="781"/>
      <c r="G117" s="679"/>
      <c r="H117" s="965"/>
      <c r="I117" s="748"/>
      <c r="J117" s="682"/>
      <c r="K117" s="684"/>
      <c r="L117" s="684"/>
      <c r="M117" s="684"/>
      <c r="N117" s="685"/>
      <c r="O117" s="895"/>
      <c r="P117" s="684"/>
      <c r="Q117" s="684"/>
      <c r="R117" s="684"/>
      <c r="S117" s="684"/>
      <c r="T117" s="687"/>
      <c r="U117" s="748"/>
      <c r="V117" s="684"/>
      <c r="W117" s="684"/>
      <c r="X117" s="684"/>
      <c r="Y117" s="684"/>
      <c r="Z117" s="966"/>
      <c r="AA117" s="967"/>
      <c r="AB117" s="968"/>
      <c r="AC117" s="690"/>
      <c r="AD117" s="780"/>
    </row>
    <row r="118" spans="1:31" s="176" customFormat="1" ht="21.9" customHeight="1" x14ac:dyDescent="0.2">
      <c r="A118" s="674"/>
      <c r="B118" s="675"/>
      <c r="C118" s="675"/>
      <c r="D118" s="676"/>
      <c r="E118" s="746" t="s">
        <v>366</v>
      </c>
      <c r="F118" s="781" t="s">
        <v>138</v>
      </c>
      <c r="G118" s="782">
        <v>0</v>
      </c>
      <c r="H118" s="784" t="s">
        <v>114</v>
      </c>
      <c r="I118" s="748">
        <f>산출기준_CI!G137</f>
        <v>50</v>
      </c>
      <c r="J118" s="682">
        <f>ROUND((G118*I118),0)</f>
        <v>0</v>
      </c>
      <c r="K118" s="683">
        <f>$I118*(1-Input_CI!$X61)</f>
        <v>35</v>
      </c>
      <c r="L118" s="684">
        <f>ROUND(K118*G118,0)</f>
        <v>0</v>
      </c>
      <c r="M118" s="683">
        <f>$I118*(1-Input_CI!$X61-Input_CI!$Y61)</f>
        <v>30</v>
      </c>
      <c r="N118" s="685">
        <f>ROUND(M118*G118,0)</f>
        <v>0</v>
      </c>
      <c r="O118" s="686">
        <f>Q118+S118</f>
        <v>27.428571428571431</v>
      </c>
      <c r="P118" s="684">
        <f>R118+T118</f>
        <v>0</v>
      </c>
      <c r="Q118" s="683">
        <f>$I118*(Input_CI!$X61)/Input_CI!$AH$75</f>
        <v>21.428571428571431</v>
      </c>
      <c r="R118" s="684">
        <f>ROUND(Q118*G118,0)</f>
        <v>0</v>
      </c>
      <c r="S118" s="683">
        <f>U118*Input_CI!$Z61</f>
        <v>6</v>
      </c>
      <c r="T118" s="687">
        <f>ROUND(S118*G118,0)</f>
        <v>0</v>
      </c>
      <c r="U118" s="748">
        <f>산출기준_CI!K137</f>
        <v>20</v>
      </c>
      <c r="V118" s="684">
        <f>ROUND((G118*U118),0)</f>
        <v>0</v>
      </c>
      <c r="W118" s="787">
        <f>$U118*(1-Input_CI!Z61)</f>
        <v>14</v>
      </c>
      <c r="X118" s="684">
        <f>ROUND(W118*G118,0)</f>
        <v>0</v>
      </c>
      <c r="Y118" s="683">
        <f>$U118*(1-Input_CI!$Z61)+I118*Input_CI!$Y61/Input_CI!$AH$76</f>
        <v>21.142857142857142</v>
      </c>
      <c r="Z118" s="685">
        <f>ROUND(Y118*G118,0)</f>
        <v>0</v>
      </c>
      <c r="AA118" s="688">
        <f>SUM(J118,V118)</f>
        <v>0</v>
      </c>
      <c r="AB118" s="689">
        <f>L118+P118+X118</f>
        <v>0</v>
      </c>
      <c r="AC118" s="690">
        <f>N118+P118+Z118</f>
        <v>0</v>
      </c>
      <c r="AD118" s="780"/>
    </row>
    <row r="119" spans="1:31" s="176" customFormat="1" ht="21.9" customHeight="1" x14ac:dyDescent="0.2">
      <c r="A119" s="674"/>
      <c r="B119" s="713"/>
      <c r="C119" s="713"/>
      <c r="D119" s="749"/>
      <c r="E119" s="975" t="s">
        <v>369</v>
      </c>
      <c r="F119" s="751" t="s">
        <v>138</v>
      </c>
      <c r="G119" s="976">
        <v>0</v>
      </c>
      <c r="H119" s="963" t="s">
        <v>114</v>
      </c>
      <c r="I119" s="748">
        <f>산출기준_CI!G138</f>
        <v>20</v>
      </c>
      <c r="J119" s="754">
        <f>ROUND((G119*I119),0)</f>
        <v>0</v>
      </c>
      <c r="K119" s="700">
        <f>$I119*(1-Input_CI!$X71)</f>
        <v>14</v>
      </c>
      <c r="L119" s="701">
        <f>ROUND(K119*G119,0)</f>
        <v>0</v>
      </c>
      <c r="M119" s="700">
        <f>$I119*(1-Input_CI!$X71-Input_CI!$Y71)</f>
        <v>12</v>
      </c>
      <c r="N119" s="702">
        <f>ROUND(M119*G119,0)</f>
        <v>0</v>
      </c>
      <c r="O119" s="686">
        <f>Q119+S119</f>
        <v>11.571428571428571</v>
      </c>
      <c r="P119" s="684">
        <f>R119+T119</f>
        <v>0</v>
      </c>
      <c r="Q119" s="700">
        <f>$I119*(Input_CI!$X71)/Input_CI!$AH$75</f>
        <v>8.5714285714285712</v>
      </c>
      <c r="R119" s="684">
        <f>ROUND(Q119*G119,0)</f>
        <v>0</v>
      </c>
      <c r="S119" s="700">
        <f>U119*Input_CI!$Z71</f>
        <v>3</v>
      </c>
      <c r="T119" s="687">
        <f>ROUND(S119*G119,0)</f>
        <v>0</v>
      </c>
      <c r="U119" s="821">
        <f>산출기준_CI!K138</f>
        <v>10</v>
      </c>
      <c r="V119" s="684">
        <f>ROUND((G119*U119),0)</f>
        <v>0</v>
      </c>
      <c r="W119" s="787">
        <f>$U119*(1-Input_CI!Z71)</f>
        <v>7</v>
      </c>
      <c r="X119" s="684">
        <f>ROUND(W119*G119,0)</f>
        <v>0</v>
      </c>
      <c r="Y119" s="700">
        <f>$U119*(1-Input_CI!$Z71)+I119*Input_CI!$Y71/Input_CI!$AH$76</f>
        <v>9.8571428571428577</v>
      </c>
      <c r="Z119" s="702">
        <f>ROUND(Y119*G119,0)</f>
        <v>0</v>
      </c>
      <c r="AA119" s="762">
        <f>SUM(J119,V119)</f>
        <v>0</v>
      </c>
      <c r="AB119" s="763">
        <f>L119+P119+X119</f>
        <v>0</v>
      </c>
      <c r="AC119" s="764">
        <f>N119+P119+Z119</f>
        <v>0</v>
      </c>
      <c r="AD119" s="815"/>
    </row>
    <row r="120" spans="1:31" s="176" customFormat="1" ht="21.9" customHeight="1" x14ac:dyDescent="0.2">
      <c r="A120" s="858"/>
      <c r="B120" s="977" t="s">
        <v>829</v>
      </c>
      <c r="C120" s="977" t="s">
        <v>1067</v>
      </c>
      <c r="D120" s="978" t="s">
        <v>380</v>
      </c>
      <c r="E120" s="979"/>
      <c r="F120" s="980"/>
      <c r="G120" s="981"/>
      <c r="H120" s="982"/>
      <c r="I120" s="983"/>
      <c r="J120" s="984"/>
      <c r="K120" s="980"/>
      <c r="L120" s="666"/>
      <c r="M120" s="666"/>
      <c r="N120" s="667"/>
      <c r="O120" s="953"/>
      <c r="P120" s="666"/>
      <c r="Q120" s="666"/>
      <c r="R120" s="666"/>
      <c r="S120" s="666"/>
      <c r="T120" s="669"/>
      <c r="U120" s="983"/>
      <c r="V120" s="980"/>
      <c r="W120" s="662"/>
      <c r="X120" s="662"/>
      <c r="Y120" s="662"/>
      <c r="Z120" s="985"/>
      <c r="AA120" s="742"/>
      <c r="AB120" s="743"/>
      <c r="AC120" s="672"/>
      <c r="AD120" s="986"/>
    </row>
    <row r="121" spans="1:31" s="176" customFormat="1" ht="130.5" customHeight="1" x14ac:dyDescent="0.2">
      <c r="A121" s="877"/>
      <c r="B121" s="678"/>
      <c r="C121" s="678"/>
      <c r="D121" s="897" t="s">
        <v>288</v>
      </c>
      <c r="E121" s="987" t="s">
        <v>1068</v>
      </c>
      <c r="F121" s="781" t="s">
        <v>152</v>
      </c>
      <c r="G121" s="988">
        <f>ROUNDUP((G4),0)</f>
        <v>6300</v>
      </c>
      <c r="H121" s="784" t="str">
        <f>Input_CI!$AJ$8</f>
        <v>상</v>
      </c>
      <c r="I121" s="837" t="s">
        <v>1064</v>
      </c>
      <c r="J121" s="989">
        <v>0</v>
      </c>
      <c r="K121" s="890" t="s">
        <v>98</v>
      </c>
      <c r="L121" s="684">
        <f>ROUND(J121*(1-Input_CI!$X80),0)</f>
        <v>0</v>
      </c>
      <c r="M121" s="890" t="s">
        <v>98</v>
      </c>
      <c r="N121" s="685">
        <f>ROUND(J121*(1-Input_CI!$X80-Input_CI!Y80),0)</f>
        <v>0</v>
      </c>
      <c r="O121" s="891" t="s">
        <v>98</v>
      </c>
      <c r="P121" s="684">
        <f>R121+T121</f>
        <v>0</v>
      </c>
      <c r="Q121" s="890" t="s">
        <v>98</v>
      </c>
      <c r="R121" s="684">
        <f>ROUND(J121*Input_CI!$X80/Input_CI!$AH$75,0)</f>
        <v>0</v>
      </c>
      <c r="S121" s="890"/>
      <c r="T121" s="687"/>
      <c r="U121" s="748"/>
      <c r="V121" s="684"/>
      <c r="W121" s="890"/>
      <c r="X121" s="684"/>
      <c r="Y121" s="890" t="s">
        <v>98</v>
      </c>
      <c r="Z121" s="685">
        <f>ROUND(V121-Input_CI!$Z80*V121+J121*Input_CI!Y80/Input_CI!$AH$76,0)</f>
        <v>0</v>
      </c>
      <c r="AA121" s="688">
        <f>SUM(J121,V121)</f>
        <v>0</v>
      </c>
      <c r="AB121" s="689">
        <f>L121+P121+X121</f>
        <v>0</v>
      </c>
      <c r="AC121" s="690">
        <f>N121+P121+Z121</f>
        <v>0</v>
      </c>
      <c r="AD121" s="691"/>
    </row>
    <row r="122" spans="1:31" s="176" customFormat="1" ht="21.9" customHeight="1" x14ac:dyDescent="0.2">
      <c r="A122" s="877"/>
      <c r="B122" s="695"/>
      <c r="C122" s="695"/>
      <c r="D122" s="990" t="s">
        <v>303</v>
      </c>
      <c r="E122" s="991" t="s">
        <v>1069</v>
      </c>
      <c r="F122" s="695" t="s">
        <v>1070</v>
      </c>
      <c r="G122" s="992">
        <v>0</v>
      </c>
      <c r="H122" s="794" t="s">
        <v>114</v>
      </c>
      <c r="I122" s="993">
        <f>산출기준_CI!G142</f>
        <v>40</v>
      </c>
      <c r="J122" s="699">
        <f>ROUND((G122*I122),0)</f>
        <v>0</v>
      </c>
      <c r="K122" s="700">
        <f>$I122*(1-Input_CI!$X81)</f>
        <v>28</v>
      </c>
      <c r="L122" s="701">
        <f>ROUND(K122*G122,0)</f>
        <v>0</v>
      </c>
      <c r="M122" s="700">
        <f>$I122*(1-Input_CI!$X81-Input_CI!$Y81)</f>
        <v>24</v>
      </c>
      <c r="N122" s="702">
        <f>ROUND(M122*G122,0)</f>
        <v>0</v>
      </c>
      <c r="O122" s="703">
        <f>Q122+S122</f>
        <v>17.142857142857142</v>
      </c>
      <c r="P122" s="701">
        <f>R122+T122</f>
        <v>0</v>
      </c>
      <c r="Q122" s="700">
        <f>$I122*(Input_CI!$X81)/Input_CI!$AH$75</f>
        <v>17.142857142857142</v>
      </c>
      <c r="R122" s="701">
        <f>ROUND(Q122*G122,0)</f>
        <v>0</v>
      </c>
      <c r="S122" s="700"/>
      <c r="T122" s="704"/>
      <c r="U122" s="821"/>
      <c r="V122" s="701"/>
      <c r="W122" s="812"/>
      <c r="X122" s="701"/>
      <c r="Y122" s="700">
        <f>$U122*(1-Input_CI!$Z81)+I122*Input_CI!$Y81/Input_CI!$AH$76</f>
        <v>5.7142857142857144</v>
      </c>
      <c r="Z122" s="702">
        <f>ROUND(Y122*G122,0)</f>
        <v>0</v>
      </c>
      <c r="AA122" s="705">
        <f>SUM(J122,V122)</f>
        <v>0</v>
      </c>
      <c r="AB122" s="706">
        <f>L122+P122+X122</f>
        <v>0</v>
      </c>
      <c r="AC122" s="707">
        <f>N122+P122+Z122</f>
        <v>0</v>
      </c>
      <c r="AD122" s="708"/>
    </row>
    <row r="123" spans="1:31" ht="21.9" customHeight="1" x14ac:dyDescent="0.15">
      <c r="A123" s="168"/>
      <c r="B123" s="994" t="s">
        <v>1071</v>
      </c>
      <c r="C123" s="994"/>
      <c r="D123" s="995"/>
      <c r="E123" s="996"/>
      <c r="F123" s="997"/>
      <c r="G123" s="998"/>
      <c r="H123" s="999"/>
      <c r="I123" s="1000"/>
      <c r="J123" s="1001">
        <f>SUM(J92:J122)</f>
        <v>4755</v>
      </c>
      <c r="K123" s="1002"/>
      <c r="L123" s="1002">
        <f>SUM(L92:L122)</f>
        <v>3329</v>
      </c>
      <c r="M123" s="1002"/>
      <c r="N123" s="1003">
        <f t="shared" ref="N123" si="33">SUM(N92:N122)</f>
        <v>2853</v>
      </c>
      <c r="O123" s="1004"/>
      <c r="P123" s="1002">
        <f t="shared" ref="P123:T123" si="34">SUM(P92:P122)</f>
        <v>2038</v>
      </c>
      <c r="Q123" s="1002"/>
      <c r="R123" s="1002">
        <f t="shared" si="34"/>
        <v>2038</v>
      </c>
      <c r="S123" s="1002"/>
      <c r="T123" s="1005">
        <f t="shared" si="34"/>
        <v>0</v>
      </c>
      <c r="U123" s="1000"/>
      <c r="V123" s="1002">
        <f>SUM(V92:V122)</f>
        <v>0</v>
      </c>
      <c r="W123" s="1002"/>
      <c r="X123" s="1002">
        <f t="shared" ref="X123" si="35">SUM(X92:X122)</f>
        <v>0</v>
      </c>
      <c r="Y123" s="1006"/>
      <c r="Z123" s="1003">
        <f>SUM(Z92:Z122)</f>
        <v>680</v>
      </c>
      <c r="AA123" s="1007">
        <f>SUM(J123,V123)</f>
        <v>4755</v>
      </c>
      <c r="AB123" s="1008">
        <f>L123+P123+X123</f>
        <v>5367</v>
      </c>
      <c r="AC123" s="1009">
        <f>N123+P123+Z123</f>
        <v>5571</v>
      </c>
      <c r="AD123" s="1010"/>
    </row>
    <row r="124" spans="1:31" s="176" customFormat="1" ht="60" customHeight="1" x14ac:dyDescent="0.2">
      <c r="A124" s="1011" t="s">
        <v>1072</v>
      </c>
      <c r="B124" s="1012" t="s">
        <v>1073</v>
      </c>
      <c r="C124" s="1012" t="s">
        <v>1074</v>
      </c>
      <c r="D124" s="182" t="s">
        <v>95</v>
      </c>
      <c r="E124" s="1013" t="s">
        <v>389</v>
      </c>
      <c r="F124" s="180" t="s">
        <v>97</v>
      </c>
      <c r="G124" s="1014">
        <v>0</v>
      </c>
      <c r="H124" s="1015" t="str">
        <f>Input_CI!$AJ$74</f>
        <v>N/A</v>
      </c>
      <c r="I124" s="1016">
        <f>IF(H124="SPI",산출기준_CI!E146,IF(H124="N/A",산출기준_CI!G146,fault))</f>
        <v>400</v>
      </c>
      <c r="J124" s="1017">
        <f>ROUND((G124*I124),0)</f>
        <v>0</v>
      </c>
      <c r="K124" s="700">
        <f>$I124*(1-Input_CI!$X82)</f>
        <v>280</v>
      </c>
      <c r="L124" s="701">
        <f>ROUND(K124*G124,0)</f>
        <v>0</v>
      </c>
      <c r="M124" s="700">
        <f>$I124*(1-Input_CI!$X82-Input_CI!$Y82)</f>
        <v>240</v>
      </c>
      <c r="N124" s="702">
        <f>ROUND(M124*G124,0)</f>
        <v>0</v>
      </c>
      <c r="O124" s="1018" t="s">
        <v>98</v>
      </c>
      <c r="P124" s="701">
        <f>R124+T124</f>
        <v>0</v>
      </c>
      <c r="Q124" s="853" t="s">
        <v>98</v>
      </c>
      <c r="R124" s="701">
        <f>ROUND(J124*Input_CI!$X82/Input_CI!$AH$75,0)</f>
        <v>0</v>
      </c>
      <c r="S124" s="853" t="s">
        <v>98</v>
      </c>
      <c r="T124" s="704">
        <f>ROUND(OP1_CI!V124*Input_CI!Z82,0)</f>
        <v>0</v>
      </c>
      <c r="U124" s="1019">
        <f>IF(SUM(AA54:AA72)&lt;50000,0.05,IF(SUM(AA54:AA72)&gt;=50000,0.04,fault))</f>
        <v>0.05</v>
      </c>
      <c r="V124" s="1020">
        <v>0</v>
      </c>
      <c r="W124" s="853" t="s">
        <v>98</v>
      </c>
      <c r="X124" s="848">
        <f>ROUND(V124-Input_CI!$Z82*V124,0)</f>
        <v>0</v>
      </c>
      <c r="Y124" s="853" t="s">
        <v>98</v>
      </c>
      <c r="Z124" s="849">
        <f>ROUND(V124-Input_CI!$Z82*V124+J124*Input_CI!Y82/Input_CI!$AH$76,0)</f>
        <v>0</v>
      </c>
      <c r="AA124" s="1021">
        <f>SUM(J124,V124)</f>
        <v>0</v>
      </c>
      <c r="AB124" s="1022">
        <f>L124+P124+X124</f>
        <v>0</v>
      </c>
      <c r="AC124" s="1023">
        <f>N124+P124+Z124</f>
        <v>0</v>
      </c>
      <c r="AD124" s="1024" t="s">
        <v>1075</v>
      </c>
      <c r="AE124" s="176" t="s">
        <v>1076</v>
      </c>
    </row>
    <row r="125" spans="1:31" ht="21.9" customHeight="1" x14ac:dyDescent="0.15">
      <c r="A125" s="1025"/>
      <c r="B125" s="994" t="s">
        <v>1077</v>
      </c>
      <c r="C125" s="994"/>
      <c r="D125" s="995"/>
      <c r="E125" s="996"/>
      <c r="F125" s="997"/>
      <c r="G125" s="998"/>
      <c r="H125" s="999"/>
      <c r="I125" s="1000"/>
      <c r="J125" s="1001">
        <f>J124</f>
        <v>0</v>
      </c>
      <c r="K125" s="1002"/>
      <c r="L125" s="1002">
        <f>L124</f>
        <v>0</v>
      </c>
      <c r="M125" s="1002"/>
      <c r="N125" s="1003">
        <f t="shared" ref="N125" si="36">N124</f>
        <v>0</v>
      </c>
      <c r="O125" s="1004"/>
      <c r="P125" s="1002">
        <f t="shared" ref="P125:T125" si="37">P124</f>
        <v>0</v>
      </c>
      <c r="Q125" s="1002"/>
      <c r="R125" s="1002">
        <f t="shared" si="37"/>
        <v>0</v>
      </c>
      <c r="S125" s="1002"/>
      <c r="T125" s="1005">
        <f t="shared" si="37"/>
        <v>0</v>
      </c>
      <c r="U125" s="1000"/>
      <c r="V125" s="1002">
        <f>V124</f>
        <v>0</v>
      </c>
      <c r="W125" s="1002"/>
      <c r="X125" s="1002">
        <f t="shared" ref="X125" si="38">X124</f>
        <v>0</v>
      </c>
      <c r="Y125" s="1006"/>
      <c r="Z125" s="1003">
        <f>Z124</f>
        <v>0</v>
      </c>
      <c r="AA125" s="1007">
        <f>SUM(J125,V125)</f>
        <v>0</v>
      </c>
      <c r="AB125" s="1008">
        <f>L125+P125+X125</f>
        <v>0</v>
      </c>
      <c r="AC125" s="1009">
        <f>N125+P125+Z125</f>
        <v>0</v>
      </c>
      <c r="AD125" s="1010"/>
    </row>
    <row r="126" spans="1:31" ht="49.5" customHeight="1" x14ac:dyDescent="0.15">
      <c r="A126" s="1026"/>
      <c r="B126" s="1027"/>
      <c r="C126" s="1027"/>
      <c r="D126" s="1028"/>
      <c r="E126" s="1029"/>
      <c r="F126" s="1030"/>
      <c r="G126" s="1031"/>
      <c r="H126" s="1032"/>
      <c r="I126" s="613" t="s">
        <v>989</v>
      </c>
      <c r="J126" s="614"/>
      <c r="K126" s="615" t="s">
        <v>990</v>
      </c>
      <c r="L126" s="614"/>
      <c r="M126" s="615" t="s">
        <v>991</v>
      </c>
      <c r="N126" s="616"/>
      <c r="O126" s="101" t="s">
        <v>992</v>
      </c>
      <c r="P126" s="102"/>
      <c r="Q126" s="1033" t="s">
        <v>1078</v>
      </c>
      <c r="R126" s="1034" t="s">
        <v>1079</v>
      </c>
      <c r="S126" s="1033" t="s">
        <v>1080</v>
      </c>
      <c r="T126" s="1034" t="s">
        <v>1081</v>
      </c>
      <c r="U126" s="617" t="s">
        <v>989</v>
      </c>
      <c r="V126" s="618"/>
      <c r="W126" s="619" t="s">
        <v>990</v>
      </c>
      <c r="X126" s="618"/>
      <c r="Y126" s="619" t="s">
        <v>991</v>
      </c>
      <c r="Z126" s="620"/>
      <c r="AA126" s="621" t="s">
        <v>989</v>
      </c>
      <c r="AB126" s="621" t="s">
        <v>990</v>
      </c>
      <c r="AC126" s="622" t="s">
        <v>991</v>
      </c>
      <c r="AD126" s="1035"/>
    </row>
    <row r="127" spans="1:31" s="176" customFormat="1" ht="47.25" customHeight="1" x14ac:dyDescent="0.2">
      <c r="A127" s="1036"/>
      <c r="B127" s="1037"/>
      <c r="C127" s="1037"/>
      <c r="D127" s="1038"/>
      <c r="E127" s="1039"/>
      <c r="F127" s="1040"/>
      <c r="G127" s="1041"/>
      <c r="H127" s="1042"/>
      <c r="I127" s="1043"/>
      <c r="J127" s="1044" t="s">
        <v>1082</v>
      </c>
      <c r="K127" s="1045"/>
      <c r="L127" s="1045" t="s">
        <v>1083</v>
      </c>
      <c r="M127" s="1045"/>
      <c r="N127" s="1046" t="s">
        <v>1084</v>
      </c>
      <c r="O127" s="1047"/>
      <c r="P127" s="1048" t="s">
        <v>1085</v>
      </c>
      <c r="Q127" s="1049">
        <f>(J128-L128)+L90</f>
        <v>3451.7999999999993</v>
      </c>
      <c r="R127" s="1050">
        <f>Q127/R128</f>
        <v>0.70087309644670037</v>
      </c>
      <c r="S127" s="1051">
        <f>(V128-X128)</f>
        <v>2324</v>
      </c>
      <c r="T127" s="1050">
        <f>S127/T128</f>
        <v>1.0008613264427217</v>
      </c>
      <c r="U127" s="1052"/>
      <c r="V127" s="1053" t="s">
        <v>1086</v>
      </c>
      <c r="W127" s="1054"/>
      <c r="X127" s="1054" t="s">
        <v>1087</v>
      </c>
      <c r="Y127" s="1054"/>
      <c r="Z127" s="1055" t="s">
        <v>1088</v>
      </c>
      <c r="AA127" s="1056" t="s">
        <v>1089</v>
      </c>
      <c r="AB127" s="1057" t="s">
        <v>1090</v>
      </c>
      <c r="AC127" s="1058" t="s">
        <v>1091</v>
      </c>
      <c r="AD127" s="1059"/>
    </row>
    <row r="128" spans="1:31" s="176" customFormat="1" ht="21.9" customHeight="1" x14ac:dyDescent="0.2">
      <c r="A128" s="137"/>
      <c r="B128" s="1060" t="s">
        <v>1092</v>
      </c>
      <c r="C128" s="1060"/>
      <c r="D128" s="1061"/>
      <c r="E128" s="1062" t="s">
        <v>1093</v>
      </c>
      <c r="F128" s="1063">
        <f>Input_CI!$AH$77</f>
        <v>165</v>
      </c>
      <c r="G128" s="1064" t="s">
        <v>59</v>
      </c>
      <c r="H128" s="1065" t="s">
        <v>1094</v>
      </c>
      <c r="I128" s="1066"/>
      <c r="J128" s="1067">
        <f>SUM(J29,J91,J123,J125)</f>
        <v>11582.8</v>
      </c>
      <c r="K128" s="1067"/>
      <c r="L128" s="1067">
        <f>SUM(L29,L91,L123,L125)</f>
        <v>8131</v>
      </c>
      <c r="M128" s="1067"/>
      <c r="N128" s="1068">
        <f>SUM(N29,N91,N123,N125)</f>
        <v>6981</v>
      </c>
      <c r="O128" s="1069"/>
      <c r="P128" s="1067">
        <f t="shared" ref="P128:T128" si="39">SUM(P29,P91,P123,P125)</f>
        <v>7247</v>
      </c>
      <c r="Q128" s="1067"/>
      <c r="R128" s="1067">
        <f t="shared" si="39"/>
        <v>4925</v>
      </c>
      <c r="S128" s="1067"/>
      <c r="T128" s="1068">
        <f t="shared" si="39"/>
        <v>2322</v>
      </c>
      <c r="U128" s="1070"/>
      <c r="V128" s="1067">
        <f>SUM(V29,V91,V123,V125)</f>
        <v>7742</v>
      </c>
      <c r="W128" s="1067"/>
      <c r="X128" s="1067">
        <f t="shared" ref="X128" si="40">SUM(X29,X91,X123,X125)</f>
        <v>5418</v>
      </c>
      <c r="Y128" s="1067"/>
      <c r="Z128" s="1068">
        <f>SUM(Z29,Z91,Z123,Z125)</f>
        <v>7071</v>
      </c>
      <c r="AA128" s="1069">
        <f>SUM(AA29,AA91,AA123,AA125)</f>
        <v>19324.8</v>
      </c>
      <c r="AB128" s="1067">
        <f>SUM(AB29,AB91,AB123,AB125)</f>
        <v>20796</v>
      </c>
      <c r="AC128" s="1068">
        <f>SUM(AC29,AC91,AC123,AC125)</f>
        <v>21299</v>
      </c>
      <c r="AD128" s="1071" t="s">
        <v>59</v>
      </c>
    </row>
    <row r="129" spans="1:35" s="176" customFormat="1" ht="21.9" customHeight="1" x14ac:dyDescent="0.2">
      <c r="A129" s="137"/>
      <c r="B129" s="140"/>
      <c r="C129" s="140"/>
      <c r="D129" s="1072"/>
      <c r="E129" s="1073" t="s">
        <v>1095</v>
      </c>
      <c r="F129" s="1074">
        <f>Input_CI!$AH$78</f>
        <v>12</v>
      </c>
      <c r="G129" s="1075" t="s">
        <v>1096</v>
      </c>
      <c r="H129" s="1076" t="s">
        <v>1097</v>
      </c>
      <c r="I129" s="1077"/>
      <c r="J129" s="1078">
        <f>J128/$F$128</f>
        <v>70.198787878787869</v>
      </c>
      <c r="K129" s="1078"/>
      <c r="L129" s="1078">
        <f>L128/$F$128</f>
        <v>49.278787878787881</v>
      </c>
      <c r="M129" s="1079"/>
      <c r="N129" s="1080">
        <f>N128/$F$128</f>
        <v>42.309090909090912</v>
      </c>
      <c r="O129" s="1081"/>
      <c r="P129" s="1082">
        <f>P128/$F$128</f>
        <v>43.921212121212122</v>
      </c>
      <c r="Q129" s="1082"/>
      <c r="R129" s="1082"/>
      <c r="S129" s="1082"/>
      <c r="T129" s="1080"/>
      <c r="U129" s="1083"/>
      <c r="V129" s="1082">
        <f>V128/$F$128</f>
        <v>46.921212121212122</v>
      </c>
      <c r="W129" s="1082"/>
      <c r="X129" s="1082">
        <f t="shared" ref="X129" si="41">X128/$F$128</f>
        <v>32.836363636363636</v>
      </c>
      <c r="Y129" s="1082"/>
      <c r="Z129" s="1080">
        <f>Z128/$F$128</f>
        <v>42.854545454545452</v>
      </c>
      <c r="AA129" s="1081">
        <f t="shared" ref="AA129:AC129" si="42">AA128/$F$128</f>
        <v>117.11999999999999</v>
      </c>
      <c r="AB129" s="1082">
        <f t="shared" si="42"/>
        <v>126.03636363636363</v>
      </c>
      <c r="AC129" s="1080">
        <f t="shared" si="42"/>
        <v>129.08484848484849</v>
      </c>
      <c r="AD129" s="1084" t="s">
        <v>60</v>
      </c>
    </row>
    <row r="130" spans="1:35" s="176" customFormat="1" ht="21.9" customHeight="1" x14ac:dyDescent="0.2">
      <c r="A130" s="137"/>
      <c r="B130" s="140"/>
      <c r="C130" s="140"/>
      <c r="D130" s="1072"/>
      <c r="E130" s="1073" t="s">
        <v>1098</v>
      </c>
      <c r="F130" s="1074">
        <f>Input_CI!$AH$79</f>
        <v>32000</v>
      </c>
      <c r="G130" s="1075" t="s">
        <v>1099</v>
      </c>
      <c r="H130" s="1076" t="s">
        <v>1100</v>
      </c>
      <c r="I130" s="1077"/>
      <c r="J130" s="1078">
        <f>J129/$F$129</f>
        <v>5.849898989898989</v>
      </c>
      <c r="K130" s="1078"/>
      <c r="L130" s="1078">
        <f>L129/$F$129</f>
        <v>4.1065656565656568</v>
      </c>
      <c r="M130" s="1078"/>
      <c r="N130" s="1085">
        <f>N129/$F$129</f>
        <v>3.5257575757575759</v>
      </c>
      <c r="O130" s="1086"/>
      <c r="P130" s="1078">
        <f>P129/$F$129</f>
        <v>3.6601010101010103</v>
      </c>
      <c r="Q130" s="1078"/>
      <c r="R130" s="1078"/>
      <c r="S130" s="1078"/>
      <c r="T130" s="1085"/>
      <c r="U130" s="1087"/>
      <c r="V130" s="1078">
        <f>V129/$F$129</f>
        <v>3.9101010101010103</v>
      </c>
      <c r="W130" s="1078"/>
      <c r="X130" s="1078">
        <f>X129/$F$129</f>
        <v>2.7363636363636363</v>
      </c>
      <c r="Y130" s="1075"/>
      <c r="Z130" s="1085">
        <f>Z129/$F$129</f>
        <v>3.5712121212121208</v>
      </c>
      <c r="AA130" s="1086">
        <f t="shared" ref="AA130:AC130" si="43">AA129/$F$129</f>
        <v>9.76</v>
      </c>
      <c r="AB130" s="1078">
        <f t="shared" si="43"/>
        <v>10.503030303030302</v>
      </c>
      <c r="AC130" s="1085">
        <f t="shared" si="43"/>
        <v>10.757070707070708</v>
      </c>
      <c r="AD130" s="579" t="s">
        <v>1101</v>
      </c>
    </row>
    <row r="131" spans="1:35" s="176" customFormat="1" ht="21.9" customHeight="1" x14ac:dyDescent="0.2">
      <c r="A131" s="246"/>
      <c r="B131" s="249"/>
      <c r="C131" s="249"/>
      <c r="D131" s="1088"/>
      <c r="E131" s="1073" t="s">
        <v>1102</v>
      </c>
      <c r="F131" s="1074">
        <f>Input_CI!$AH$80</f>
        <v>39000</v>
      </c>
      <c r="G131" s="1075" t="s">
        <v>1099</v>
      </c>
      <c r="H131" s="1089"/>
      <c r="I131" s="1090"/>
      <c r="J131" s="1091"/>
      <c r="K131" s="1092"/>
      <c r="L131" s="1092"/>
      <c r="M131" s="1092"/>
      <c r="N131" s="1092"/>
      <c r="O131" s="1093" t="s">
        <v>1103</v>
      </c>
      <c r="P131" s="1094"/>
      <c r="Q131" s="1095"/>
      <c r="R131" s="1095"/>
      <c r="S131" s="1095"/>
      <c r="T131" s="1095"/>
      <c r="U131" s="1096" t="s">
        <v>1104</v>
      </c>
      <c r="V131" s="1097"/>
      <c r="W131" s="1096" t="s">
        <v>1105</v>
      </c>
      <c r="X131" s="1097"/>
      <c r="Y131" s="1096" t="s">
        <v>1106</v>
      </c>
      <c r="Z131" s="1097"/>
      <c r="AA131" s="1091"/>
      <c r="AB131" s="1091"/>
      <c r="AC131" s="1091"/>
      <c r="AD131" s="1098"/>
    </row>
    <row r="132" spans="1:35" s="176" customFormat="1" ht="21.9" customHeight="1" thickBot="1" x14ac:dyDescent="0.25">
      <c r="A132" s="1099"/>
      <c r="B132" s="1100"/>
      <c r="C132" s="1100"/>
      <c r="D132" s="1101"/>
      <c r="E132" s="1102" t="s">
        <v>1107</v>
      </c>
      <c r="F132" s="1103">
        <f>Input_CI!$AH$81</f>
        <v>57000</v>
      </c>
      <c r="G132" s="1104" t="s">
        <v>1099</v>
      </c>
      <c r="H132" s="1105" t="s">
        <v>1108</v>
      </c>
      <c r="I132" s="1106"/>
      <c r="J132" s="1107"/>
      <c r="K132" s="1108"/>
      <c r="L132" s="1108"/>
      <c r="M132" s="1108"/>
      <c r="N132" s="1108"/>
      <c r="O132" s="1109">
        <f>P128*F132</f>
        <v>413079000</v>
      </c>
      <c r="P132" s="1110">
        <f>P128*F132</f>
        <v>413079000</v>
      </c>
      <c r="Q132" s="1111"/>
      <c r="R132" s="1111"/>
      <c r="S132" s="1111"/>
      <c r="T132" s="1111"/>
      <c r="U132" s="1109">
        <f>V128*F130</f>
        <v>247744000</v>
      </c>
      <c r="V132" s="1110"/>
      <c r="W132" s="1109">
        <f>X128*F130</f>
        <v>173376000</v>
      </c>
      <c r="X132" s="1110"/>
      <c r="Y132" s="1112">
        <f>Z128*F131</f>
        <v>275769000</v>
      </c>
      <c r="Z132" s="1110"/>
      <c r="AA132" s="1113" t="s">
        <v>1099</v>
      </c>
      <c r="AB132" s="1114"/>
      <c r="AC132" s="1114"/>
      <c r="AD132" s="1113"/>
    </row>
    <row r="133" spans="1:35" ht="5.25" customHeight="1" x14ac:dyDescent="0.2">
      <c r="AF133" s="176"/>
      <c r="AG133" s="176"/>
      <c r="AH133" s="176"/>
      <c r="AI133" s="176"/>
    </row>
    <row r="134" spans="1:35" ht="13.2" x14ac:dyDescent="0.2">
      <c r="AF134" s="176"/>
      <c r="AG134" s="176"/>
      <c r="AH134" s="176"/>
      <c r="AI134" s="176"/>
    </row>
  </sheetData>
  <autoFilter ref="A20:AI133" xr:uid="{0B71B2E3-CE0A-4992-AE82-1ACC033C86F7}">
    <filterColumn colId="3" showButton="0"/>
  </autoFilter>
  <mergeCells count="72">
    <mergeCell ref="H132:I132"/>
    <mergeCell ref="O132:P132"/>
    <mergeCell ref="U132:V132"/>
    <mergeCell ref="W132:X132"/>
    <mergeCell ref="Y132:Z132"/>
    <mergeCell ref="U126:V126"/>
    <mergeCell ref="W126:X126"/>
    <mergeCell ref="Y126:Z126"/>
    <mergeCell ref="O131:P131"/>
    <mergeCell ref="U131:V131"/>
    <mergeCell ref="W131:X131"/>
    <mergeCell ref="Y131:Z131"/>
    <mergeCell ref="D120:E120"/>
    <mergeCell ref="A124:A125"/>
    <mergeCell ref="I126:J126"/>
    <mergeCell ref="K126:L126"/>
    <mergeCell ref="M126:N126"/>
    <mergeCell ref="O126:P126"/>
    <mergeCell ref="Y19:Z19"/>
    <mergeCell ref="D74:E74"/>
    <mergeCell ref="D79:E79"/>
    <mergeCell ref="D82:E82"/>
    <mergeCell ref="D85:E85"/>
    <mergeCell ref="D90:E90"/>
    <mergeCell ref="W18:X18"/>
    <mergeCell ref="Y18:Z18"/>
    <mergeCell ref="I19:J19"/>
    <mergeCell ref="K19:L19"/>
    <mergeCell ref="M19:N19"/>
    <mergeCell ref="O19:P19"/>
    <mergeCell ref="Q19:R19"/>
    <mergeCell ref="S19:T19"/>
    <mergeCell ref="U19:V19"/>
    <mergeCell ref="W19:X19"/>
    <mergeCell ref="U17:Z17"/>
    <mergeCell ref="AA17:AC17"/>
    <mergeCell ref="AD17:AD20"/>
    <mergeCell ref="I18:J18"/>
    <mergeCell ref="K18:L18"/>
    <mergeCell ref="M18:N18"/>
    <mergeCell ref="O18:P18"/>
    <mergeCell ref="Q18:R18"/>
    <mergeCell ref="S18:T18"/>
    <mergeCell ref="U18:V18"/>
    <mergeCell ref="G17:G20"/>
    <mergeCell ref="H17:H20"/>
    <mergeCell ref="I17:N17"/>
    <mergeCell ref="O17:P17"/>
    <mergeCell ref="Q17:R17"/>
    <mergeCell ref="S17:T17"/>
    <mergeCell ref="O15:P15"/>
    <mergeCell ref="U15:V15"/>
    <mergeCell ref="W15:X15"/>
    <mergeCell ref="Y15:Z15"/>
    <mergeCell ref="A16:AD16"/>
    <mergeCell ref="A17:A20"/>
    <mergeCell ref="B17:B20"/>
    <mergeCell ref="C17:C20"/>
    <mergeCell ref="D17:E20"/>
    <mergeCell ref="F17:F20"/>
    <mergeCell ref="E10:F10"/>
    <mergeCell ref="E11:F11"/>
    <mergeCell ref="E12:F12"/>
    <mergeCell ref="I15:J15"/>
    <mergeCell ref="K15:L15"/>
    <mergeCell ref="M15:N15"/>
    <mergeCell ref="E4:F4"/>
    <mergeCell ref="E5:F5"/>
    <mergeCell ref="E6:F6"/>
    <mergeCell ref="E7:F7"/>
    <mergeCell ref="E8:F8"/>
    <mergeCell ref="E9:F9"/>
  </mergeCells>
  <printOptions horizontalCentered="1"/>
  <pageMargins left="0.39370078740157483" right="0.39370078740157483" top="0.39370078740157483" bottom="0.39370078740157483" header="0" footer="0"/>
  <pageSetup paperSize="8" scale="46" fitToHeight="0" orientation="landscape" r:id="rId1"/>
  <headerFooter alignWithMargins="0">
    <oddFooter>&amp;L&amp;9&amp;F&amp;C&amp;9&amp;P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AFB7-9484-4D83-8E84-6A5A43CF6F4E}">
  <sheetPr>
    <tabColor rgb="FFFFC000"/>
    <pageSetUpPr fitToPage="1"/>
  </sheetPr>
  <dimension ref="B1:N163"/>
  <sheetViews>
    <sheetView showGridLines="0" showZeros="0" view="pageBreakPreview" zoomScale="85" zoomScaleNormal="85" zoomScaleSheetLayoutView="85" workbookViewId="0">
      <pane xSplit="2" ySplit="5" topLeftCell="C38" activePane="bottomRight" state="frozen"/>
      <selection activeCell="J114" sqref="J114"/>
      <selection pane="topRight" activeCell="J114" sqref="J114"/>
      <selection pane="bottomLeft" activeCell="J114" sqref="J114"/>
      <selection pane="bottomRight" activeCell="J114" sqref="J114"/>
    </sheetView>
  </sheetViews>
  <sheetFormatPr defaultColWidth="8" defaultRowHeight="14.4" x14ac:dyDescent="0.25"/>
  <cols>
    <col min="1" max="1" width="1.796875" style="1120" customWidth="1"/>
    <col min="2" max="2" width="8.796875" style="1120" customWidth="1"/>
    <col min="3" max="3" width="40.796875" style="1120" customWidth="1"/>
    <col min="4" max="4" width="8.59765625" style="1120" customWidth="1"/>
    <col min="5" max="6" width="9.796875" style="1120" customWidth="1"/>
    <col min="7" max="7" width="10.59765625" style="1285" customWidth="1"/>
    <col min="8" max="8" width="9.796875" style="1285" customWidth="1"/>
    <col min="9" max="9" width="9.796875" style="1286" customWidth="1"/>
    <col min="10" max="10" width="10.59765625" style="1286" customWidth="1"/>
    <col min="11" max="11" width="16.69921875" style="1286" customWidth="1"/>
    <col min="12" max="12" width="30.796875" style="1285" customWidth="1"/>
    <col min="13" max="13" width="1.796875" style="1120" customWidth="1"/>
    <col min="14" max="16384" width="8" style="1120"/>
  </cols>
  <sheetData>
    <row r="1" spans="2:14" ht="35.1" customHeight="1" x14ac:dyDescent="0.25">
      <c r="B1" s="1115" t="s">
        <v>1109</v>
      </c>
      <c r="C1" s="1116"/>
      <c r="D1" s="1116"/>
      <c r="E1" s="1117"/>
      <c r="F1" s="1117"/>
      <c r="G1" s="1117"/>
      <c r="H1" s="1117"/>
      <c r="I1" s="1117"/>
      <c r="J1" s="1117"/>
      <c r="K1" s="1116"/>
      <c r="L1" s="1116"/>
      <c r="M1" s="1118"/>
      <c r="N1" s="1119" t="s">
        <v>1110</v>
      </c>
    </row>
    <row r="2" spans="2:14" ht="35.1" customHeight="1" x14ac:dyDescent="0.25">
      <c r="B2" s="1121" t="str">
        <f>CONCATENATE("외주-단종 Case [",산출기준_CI!A5,"]")</f>
        <v>외주-단종 Case [일반 Ver.]</v>
      </c>
      <c r="C2" s="1116"/>
      <c r="D2" s="1116"/>
      <c r="E2" s="1117"/>
      <c r="F2" s="1117"/>
      <c r="G2" s="1117"/>
      <c r="H2" s="1117"/>
      <c r="I2" s="1117"/>
      <c r="J2" s="1117"/>
      <c r="K2" s="1116"/>
      <c r="L2" s="1116"/>
      <c r="M2" s="1118"/>
      <c r="N2" s="1122" t="s">
        <v>989</v>
      </c>
    </row>
    <row r="3" spans="2:14" s="1128" customFormat="1" ht="20.100000000000001" customHeight="1" thickBot="1" x14ac:dyDescent="0.3">
      <c r="B3" s="1123" t="str">
        <f>OP1_CI!A15</f>
        <v>PROJECT: Promigas CPF Project</v>
      </c>
      <c r="C3" s="1124"/>
      <c r="D3" s="1125"/>
      <c r="E3" s="1126"/>
      <c r="F3" s="1126"/>
      <c r="G3" s="1126"/>
      <c r="H3" s="1126"/>
      <c r="I3" s="1126"/>
      <c r="J3" s="1126"/>
      <c r="K3" s="1125"/>
      <c r="L3" s="1127">
        <f>Input_CI!AK5</f>
        <v>46255</v>
      </c>
      <c r="M3" s="1123"/>
      <c r="N3" s="1122" t="s">
        <v>1111</v>
      </c>
    </row>
    <row r="4" spans="2:14" s="1139" customFormat="1" ht="21.9" customHeight="1" x14ac:dyDescent="0.25">
      <c r="B4" s="1129" t="s">
        <v>1112</v>
      </c>
      <c r="C4" s="1130" t="s">
        <v>1113</v>
      </c>
      <c r="D4" s="1131" t="s">
        <v>1114</v>
      </c>
      <c r="E4" s="1132" t="s">
        <v>1115</v>
      </c>
      <c r="F4" s="1133"/>
      <c r="G4" s="1134"/>
      <c r="H4" s="1135" t="s">
        <v>1116</v>
      </c>
      <c r="I4" s="1135"/>
      <c r="J4" s="1134"/>
      <c r="K4" s="1136" t="s">
        <v>987</v>
      </c>
      <c r="L4" s="1137" t="s">
        <v>1117</v>
      </c>
      <c r="M4" s="1138"/>
    </row>
    <row r="5" spans="2:14" s="1139" customFormat="1" ht="21.9" customHeight="1" thickBot="1" x14ac:dyDescent="0.3">
      <c r="B5" s="1140" t="s">
        <v>1118</v>
      </c>
      <c r="C5" s="1141"/>
      <c r="D5" s="1142"/>
      <c r="E5" s="1143" t="s">
        <v>1003</v>
      </c>
      <c r="F5" s="1144" t="s">
        <v>1119</v>
      </c>
      <c r="G5" s="1145" t="s">
        <v>1120</v>
      </c>
      <c r="H5" s="1143" t="s">
        <v>1003</v>
      </c>
      <c r="I5" s="1144" t="s">
        <v>1119</v>
      </c>
      <c r="J5" s="1145" t="s">
        <v>1120</v>
      </c>
      <c r="K5" s="1146"/>
      <c r="L5" s="1147"/>
      <c r="M5" s="1138"/>
    </row>
    <row r="6" spans="2:14" s="1123" customFormat="1" ht="21.9" customHeight="1" thickTop="1" x14ac:dyDescent="0.25">
      <c r="B6" s="1148"/>
      <c r="C6" s="1149"/>
      <c r="D6" s="1150"/>
      <c r="E6" s="1151"/>
      <c r="F6" s="1152"/>
      <c r="G6" s="1153"/>
      <c r="H6" s="1154"/>
      <c r="I6" s="1152"/>
      <c r="J6" s="1153"/>
      <c r="K6" s="1155"/>
      <c r="L6" s="1156"/>
    </row>
    <row r="7" spans="2:14" s="1138" customFormat="1" ht="21.9" customHeight="1" x14ac:dyDescent="0.25">
      <c r="B7" s="1157" t="s">
        <v>1121</v>
      </c>
      <c r="C7" s="1158" t="s">
        <v>1122</v>
      </c>
      <c r="D7" s="1159"/>
      <c r="E7" s="1160"/>
      <c r="F7" s="1161"/>
      <c r="G7" s="1162"/>
      <c r="H7" s="1163"/>
      <c r="I7" s="1161"/>
      <c r="J7" s="1162"/>
      <c r="K7" s="1164"/>
      <c r="L7" s="1165"/>
    </row>
    <row r="8" spans="2:14" s="1138" customFormat="1" ht="21.9" customHeight="1" x14ac:dyDescent="0.25">
      <c r="B8" s="1157">
        <v>1</v>
      </c>
      <c r="C8" s="1166" t="s">
        <v>672</v>
      </c>
      <c r="D8" s="1159"/>
      <c r="E8" s="1160"/>
      <c r="F8" s="1161"/>
      <c r="G8" s="1167"/>
      <c r="H8" s="1163"/>
      <c r="I8" s="1168"/>
      <c r="J8" s="1167"/>
      <c r="K8" s="1169"/>
      <c r="L8" s="1165"/>
    </row>
    <row r="9" spans="2:14" s="1123" customFormat="1" ht="21.9" customHeight="1" x14ac:dyDescent="0.25">
      <c r="B9" s="1170">
        <v>1.1000000000000001</v>
      </c>
      <c r="C9" s="1171" t="s">
        <v>1123</v>
      </c>
      <c r="D9" s="1172" t="s">
        <v>1124</v>
      </c>
      <c r="E9" s="1173">
        <f>OP1_CI!I21</f>
        <v>120</v>
      </c>
      <c r="F9" s="1174">
        <f>OP1_CI!$G21</f>
        <v>1</v>
      </c>
      <c r="G9" s="1175">
        <f>OP1_CI!J21</f>
        <v>120</v>
      </c>
      <c r="H9" s="1176"/>
      <c r="I9" s="1174"/>
      <c r="J9" s="1175">
        <f>OP1_CI!V21</f>
        <v>0</v>
      </c>
      <c r="K9" s="1177">
        <f>G9+J9</f>
        <v>120</v>
      </c>
      <c r="L9" s="1178"/>
    </row>
    <row r="10" spans="2:14" s="1123" customFormat="1" ht="21.9" customHeight="1" x14ac:dyDescent="0.25">
      <c r="B10" s="1170">
        <v>1.2</v>
      </c>
      <c r="C10" s="1171" t="s">
        <v>103</v>
      </c>
      <c r="D10" s="1172" t="s">
        <v>1124</v>
      </c>
      <c r="E10" s="1173">
        <f>OP1_CI!I22</f>
        <v>180</v>
      </c>
      <c r="F10" s="1174">
        <f>OP1_CI!$G22</f>
        <v>1</v>
      </c>
      <c r="G10" s="1175">
        <f>OP1_CI!J22</f>
        <v>180</v>
      </c>
      <c r="H10" s="1176"/>
      <c r="I10" s="1174"/>
      <c r="J10" s="1175">
        <f>OP1_CI!V22</f>
        <v>0</v>
      </c>
      <c r="K10" s="1177">
        <f>G10+J10</f>
        <v>180</v>
      </c>
      <c r="L10" s="1178"/>
    </row>
    <row r="11" spans="2:14" s="1123" customFormat="1" ht="21.9" customHeight="1" x14ac:dyDescent="0.25">
      <c r="B11" s="1170">
        <v>1.3</v>
      </c>
      <c r="C11" s="1171" t="s">
        <v>682</v>
      </c>
      <c r="D11" s="1172" t="s">
        <v>1124</v>
      </c>
      <c r="E11" s="1173">
        <f>OP1_CI!I23</f>
        <v>80</v>
      </c>
      <c r="F11" s="1174">
        <f>OP1_CI!$G23</f>
        <v>1</v>
      </c>
      <c r="G11" s="1175">
        <f>OP1_CI!J23</f>
        <v>80</v>
      </c>
      <c r="H11" s="1176"/>
      <c r="I11" s="1174"/>
      <c r="J11" s="1175">
        <f>OP1_CI!V23</f>
        <v>0</v>
      </c>
      <c r="K11" s="1177">
        <f>G11+J11</f>
        <v>80</v>
      </c>
      <c r="L11" s="1178"/>
    </row>
    <row r="12" spans="2:14" s="1123" customFormat="1" ht="21.9" customHeight="1" x14ac:dyDescent="0.25">
      <c r="B12" s="1170"/>
      <c r="C12" s="1171"/>
      <c r="D12" s="1172"/>
      <c r="E12" s="1173"/>
      <c r="F12" s="1174"/>
      <c r="G12" s="1175"/>
      <c r="H12" s="1176"/>
      <c r="I12" s="1174"/>
      <c r="J12" s="1175"/>
      <c r="K12" s="1177"/>
      <c r="L12" s="1178"/>
    </row>
    <row r="13" spans="2:14" s="1123" customFormat="1" ht="21.9" customHeight="1" x14ac:dyDescent="0.25">
      <c r="B13" s="1157">
        <v>2</v>
      </c>
      <c r="C13" s="1166" t="s">
        <v>688</v>
      </c>
      <c r="D13" s="1179"/>
      <c r="E13" s="1180"/>
      <c r="F13" s="1181"/>
      <c r="G13" s="1182"/>
      <c r="H13" s="1183"/>
      <c r="I13" s="1181"/>
      <c r="J13" s="1182"/>
      <c r="K13" s="1184"/>
      <c r="L13" s="1185"/>
    </row>
    <row r="14" spans="2:14" s="1123" customFormat="1" ht="21.9" customHeight="1" x14ac:dyDescent="0.25">
      <c r="B14" s="1170">
        <v>2.1</v>
      </c>
      <c r="C14" s="1171" t="s">
        <v>1125</v>
      </c>
      <c r="D14" s="1172" t="s">
        <v>1124</v>
      </c>
      <c r="E14" s="1173">
        <f>OP1_CI!I24</f>
        <v>340</v>
      </c>
      <c r="F14" s="1174">
        <f>OP1_CI!$G24</f>
        <v>1</v>
      </c>
      <c r="G14" s="1175">
        <f>OP1_CI!J24</f>
        <v>340</v>
      </c>
      <c r="H14" s="1176">
        <v>0</v>
      </c>
      <c r="I14" s="1174">
        <v>0</v>
      </c>
      <c r="J14" s="1175">
        <f>OP1_CI!V24</f>
        <v>0</v>
      </c>
      <c r="K14" s="1177">
        <f>G14+J14</f>
        <v>340</v>
      </c>
      <c r="L14" s="1178"/>
    </row>
    <row r="15" spans="2:14" s="1123" customFormat="1" ht="21.9" customHeight="1" x14ac:dyDescent="0.25">
      <c r="B15" s="1170">
        <v>2.2000000000000002</v>
      </c>
      <c r="C15" s="1171" t="s">
        <v>117</v>
      </c>
      <c r="D15" s="1172" t="s">
        <v>1126</v>
      </c>
      <c r="E15" s="1173">
        <f>OP1_CI!I25</f>
        <v>80</v>
      </c>
      <c r="F15" s="1174">
        <f>OP1_CI!$G25</f>
        <v>5</v>
      </c>
      <c r="G15" s="1175">
        <f>OP1_CI!J25</f>
        <v>400</v>
      </c>
      <c r="H15" s="1176"/>
      <c r="I15" s="1174"/>
      <c r="J15" s="1175">
        <f>OP1_CI!V25</f>
        <v>0</v>
      </c>
      <c r="K15" s="1177">
        <f>G15+J15</f>
        <v>400</v>
      </c>
      <c r="L15" s="1178"/>
    </row>
    <row r="16" spans="2:14" s="1123" customFormat="1" ht="21.9" customHeight="1" x14ac:dyDescent="0.25">
      <c r="B16" s="1170">
        <v>2.2999999999999998</v>
      </c>
      <c r="C16" s="1171" t="s">
        <v>1127</v>
      </c>
      <c r="D16" s="1172" t="s">
        <v>1126</v>
      </c>
      <c r="E16" s="1173">
        <f>OP1_CI!I26</f>
        <v>80</v>
      </c>
      <c r="F16" s="1174">
        <f>OP1_CI!$G26</f>
        <v>5</v>
      </c>
      <c r="G16" s="1175">
        <f>OP1_CI!J26</f>
        <v>400</v>
      </c>
      <c r="H16" s="1176"/>
      <c r="I16" s="1174"/>
      <c r="J16" s="1175">
        <f>OP1_CI!V26</f>
        <v>0</v>
      </c>
      <c r="K16" s="1177">
        <f>G16+J16</f>
        <v>400</v>
      </c>
      <c r="L16" s="1178"/>
    </row>
    <row r="17" spans="2:13" s="1123" customFormat="1" ht="21.9" customHeight="1" x14ac:dyDescent="0.25">
      <c r="B17" s="1170">
        <v>2.4</v>
      </c>
      <c r="C17" s="1171" t="s">
        <v>1128</v>
      </c>
      <c r="D17" s="1172" t="s">
        <v>1126</v>
      </c>
      <c r="E17" s="1173">
        <f>OP1_CI!I27</f>
        <v>400</v>
      </c>
      <c r="F17" s="1174">
        <f>OP1_CI!$G27</f>
        <v>0</v>
      </c>
      <c r="G17" s="1175">
        <f>OP1_CI!J27</f>
        <v>0</v>
      </c>
      <c r="H17" s="1176"/>
      <c r="I17" s="1174"/>
      <c r="J17" s="1175">
        <f>OP1_CI!V27</f>
        <v>0</v>
      </c>
      <c r="K17" s="1177">
        <f>G17+J17</f>
        <v>0</v>
      </c>
      <c r="L17" s="1178"/>
    </row>
    <row r="18" spans="2:13" s="1123" customFormat="1" ht="21.9" customHeight="1" x14ac:dyDescent="0.25">
      <c r="B18" s="1170">
        <v>2.5</v>
      </c>
      <c r="C18" s="1171" t="s">
        <v>712</v>
      </c>
      <c r="D18" s="1172" t="s">
        <v>1126</v>
      </c>
      <c r="E18" s="1173">
        <f>OP1_CI!I28</f>
        <v>16</v>
      </c>
      <c r="F18" s="1174">
        <f>OP1_CI!$G28</f>
        <v>5</v>
      </c>
      <c r="G18" s="1175">
        <f>OP1_CI!J28</f>
        <v>80</v>
      </c>
      <c r="H18" s="1176"/>
      <c r="I18" s="1174"/>
      <c r="J18" s="1175">
        <f>OP1_CI!V28</f>
        <v>0</v>
      </c>
      <c r="K18" s="1177">
        <f>G18+J18</f>
        <v>80</v>
      </c>
      <c r="L18" s="1178"/>
    </row>
    <row r="19" spans="2:13" s="1123" customFormat="1" ht="21.9" customHeight="1" x14ac:dyDescent="0.25">
      <c r="B19" s="1186"/>
      <c r="C19" s="1187"/>
      <c r="D19" s="1172"/>
      <c r="E19" s="1173"/>
      <c r="F19" s="1188"/>
      <c r="G19" s="1175"/>
      <c r="H19" s="1176"/>
      <c r="I19" s="1174"/>
      <c r="J19" s="1175"/>
      <c r="K19" s="1189"/>
      <c r="L19" s="1178"/>
    </row>
    <row r="20" spans="2:13" s="1139" customFormat="1" ht="21.9" customHeight="1" thickBot="1" x14ac:dyDescent="0.3">
      <c r="B20" s="1190" t="s">
        <v>1129</v>
      </c>
      <c r="C20" s="1191"/>
      <c r="D20" s="1192"/>
      <c r="E20" s="1193"/>
      <c r="F20" s="1194"/>
      <c r="G20" s="1195">
        <f>SUM(G7:G19)</f>
        <v>1600</v>
      </c>
      <c r="H20" s="1196"/>
      <c r="I20" s="1197"/>
      <c r="J20" s="1195">
        <f>SUM(J7:J19)</f>
        <v>0</v>
      </c>
      <c r="K20" s="1195">
        <f>SUM(K7:K19)</f>
        <v>1600</v>
      </c>
      <c r="L20" s="1198"/>
      <c r="M20" s="1138"/>
    </row>
    <row r="21" spans="2:13" s="1139" customFormat="1" ht="21.9" customHeight="1" x14ac:dyDescent="0.25">
      <c r="B21" s="1170"/>
      <c r="C21" s="1199"/>
      <c r="D21" s="1172"/>
      <c r="E21" s="1173"/>
      <c r="F21" s="1188"/>
      <c r="G21" s="1175"/>
      <c r="H21" s="1176"/>
      <c r="I21" s="1174"/>
      <c r="J21" s="1175"/>
      <c r="K21" s="1177"/>
      <c r="L21" s="1178"/>
      <c r="M21" s="1138"/>
    </row>
    <row r="22" spans="2:13" s="1139" customFormat="1" ht="21.9" customHeight="1" x14ac:dyDescent="0.25">
      <c r="B22" s="1157" t="s">
        <v>1130</v>
      </c>
      <c r="C22" s="1158" t="s">
        <v>1131</v>
      </c>
      <c r="D22" s="1172"/>
      <c r="E22" s="1173"/>
      <c r="F22" s="1188"/>
      <c r="G22" s="1175"/>
      <c r="H22" s="1176"/>
      <c r="I22" s="1174"/>
      <c r="J22" s="1175"/>
      <c r="K22" s="1189"/>
      <c r="L22" s="1178"/>
      <c r="M22" s="1138"/>
    </row>
    <row r="23" spans="2:13" s="1138" customFormat="1" ht="21.9" customHeight="1" x14ac:dyDescent="0.25">
      <c r="B23" s="1157">
        <v>1</v>
      </c>
      <c r="C23" s="1166" t="s">
        <v>1132</v>
      </c>
      <c r="D23" s="1159"/>
      <c r="E23" s="1200"/>
      <c r="F23" s="1201"/>
      <c r="G23" s="1202"/>
      <c r="H23" s="1203"/>
      <c r="I23" s="1204"/>
      <c r="J23" s="1202"/>
      <c r="K23" s="1205"/>
      <c r="L23" s="1165"/>
    </row>
    <row r="24" spans="2:13" s="1123" customFormat="1" ht="21.9" customHeight="1" x14ac:dyDescent="0.25">
      <c r="B24" s="1170">
        <v>1.1000000000000001</v>
      </c>
      <c r="C24" s="1199" t="s">
        <v>1133</v>
      </c>
      <c r="D24" s="1172"/>
      <c r="E24" s="1173"/>
      <c r="F24" s="1188"/>
      <c r="G24" s="1175"/>
      <c r="H24" s="1176">
        <v>0</v>
      </c>
      <c r="I24" s="1174">
        <v>0</v>
      </c>
      <c r="J24" s="1175"/>
      <c r="K24" s="1177"/>
      <c r="L24" s="1178"/>
    </row>
    <row r="25" spans="2:13" s="1123" customFormat="1" ht="21.9" customHeight="1" x14ac:dyDescent="0.25">
      <c r="B25" s="1170"/>
      <c r="C25" s="1206" t="s">
        <v>137</v>
      </c>
      <c r="D25" s="1172" t="s">
        <v>1134</v>
      </c>
      <c r="E25" s="1173">
        <f>OP1_CI!I31</f>
        <v>120</v>
      </c>
      <c r="F25" s="1174">
        <f>OP1_CI!$G31</f>
        <v>0</v>
      </c>
      <c r="G25" s="1175">
        <f>OP1_CI!J31</f>
        <v>0</v>
      </c>
      <c r="H25" s="1176">
        <v>0</v>
      </c>
      <c r="I25" s="1174">
        <v>0</v>
      </c>
      <c r="J25" s="1175"/>
      <c r="K25" s="1177">
        <f>G25+J25</f>
        <v>0</v>
      </c>
      <c r="L25" s="1178"/>
    </row>
    <row r="26" spans="2:13" s="1123" customFormat="1" ht="21.9" customHeight="1" x14ac:dyDescent="0.25">
      <c r="B26" s="1170"/>
      <c r="C26" s="1206" t="s">
        <v>1014</v>
      </c>
      <c r="D26" s="1172" t="s">
        <v>1134</v>
      </c>
      <c r="E26" s="1173">
        <f>OP1_CI!I32</f>
        <v>70</v>
      </c>
      <c r="F26" s="1174">
        <f>OP1_CI!$G32</f>
        <v>0</v>
      </c>
      <c r="G26" s="1175">
        <f>OP1_CI!J32</f>
        <v>0</v>
      </c>
      <c r="H26" s="1176">
        <v>0</v>
      </c>
      <c r="I26" s="1174">
        <v>0</v>
      </c>
      <c r="J26" s="1175"/>
      <c r="K26" s="1177">
        <f>G26+J26</f>
        <v>0</v>
      </c>
      <c r="L26" s="1178"/>
    </row>
    <row r="27" spans="2:13" s="1123" customFormat="1" ht="21.9" customHeight="1" x14ac:dyDescent="0.25">
      <c r="B27" s="1170"/>
      <c r="C27" s="1206" t="s">
        <v>141</v>
      </c>
      <c r="D27" s="1172" t="s">
        <v>1134</v>
      </c>
      <c r="E27" s="1173">
        <f>OP1_CI!I33</f>
        <v>35</v>
      </c>
      <c r="F27" s="1174">
        <f>OP1_CI!$G33</f>
        <v>0</v>
      </c>
      <c r="G27" s="1175">
        <f>OP1_CI!J33</f>
        <v>0</v>
      </c>
      <c r="H27" s="1176">
        <v>0</v>
      </c>
      <c r="I27" s="1174">
        <v>0</v>
      </c>
      <c r="J27" s="1175"/>
      <c r="K27" s="1177">
        <f>G27+J27</f>
        <v>0</v>
      </c>
      <c r="L27" s="1178"/>
    </row>
    <row r="28" spans="2:13" s="1123" customFormat="1" ht="21.9" customHeight="1" x14ac:dyDescent="0.25">
      <c r="B28" s="1170"/>
      <c r="C28" s="1206" t="s">
        <v>142</v>
      </c>
      <c r="D28" s="1172" t="s">
        <v>1134</v>
      </c>
      <c r="E28" s="1173">
        <f>OP1_CI!I34</f>
        <v>35</v>
      </c>
      <c r="F28" s="1174">
        <f>OP1_CI!$G34</f>
        <v>0</v>
      </c>
      <c r="G28" s="1175">
        <f>OP1_CI!J34</f>
        <v>0</v>
      </c>
      <c r="H28" s="1176">
        <v>0</v>
      </c>
      <c r="I28" s="1174">
        <v>0</v>
      </c>
      <c r="J28" s="1175"/>
      <c r="K28" s="1177">
        <f>G28+J28</f>
        <v>0</v>
      </c>
      <c r="L28" s="1178"/>
    </row>
    <row r="29" spans="2:13" s="1123" customFormat="1" ht="21.9" customHeight="1" x14ac:dyDescent="0.25">
      <c r="B29" s="1170">
        <v>1.2</v>
      </c>
      <c r="C29" s="1206" t="s">
        <v>143</v>
      </c>
      <c r="D29" s="1172" t="s">
        <v>97</v>
      </c>
      <c r="E29" s="1173">
        <f>OP1_CI!I35</f>
        <v>340</v>
      </c>
      <c r="F29" s="1174">
        <f>OP1_CI!$G35</f>
        <v>1</v>
      </c>
      <c r="G29" s="1175">
        <f>OP1_CI!J35</f>
        <v>340</v>
      </c>
      <c r="H29" s="1176"/>
      <c r="I29" s="1174"/>
      <c r="J29" s="1175">
        <f>OP1_CI!V35</f>
        <v>0</v>
      </c>
      <c r="K29" s="1177">
        <f>G29+J29</f>
        <v>340</v>
      </c>
      <c r="L29" s="1178"/>
    </row>
    <row r="30" spans="2:13" s="1123" customFormat="1" ht="21.9" customHeight="1" x14ac:dyDescent="0.25">
      <c r="B30" s="1170"/>
      <c r="C30" s="1206"/>
      <c r="D30" s="1172"/>
      <c r="E30" s="1176"/>
      <c r="F30" s="1174"/>
      <c r="G30" s="1175"/>
      <c r="H30" s="1176"/>
      <c r="I30" s="1174"/>
      <c r="J30" s="1175"/>
      <c r="K30" s="1189"/>
      <c r="L30" s="1178"/>
    </row>
    <row r="31" spans="2:13" s="1123" customFormat="1" ht="21.9" customHeight="1" x14ac:dyDescent="0.25">
      <c r="B31" s="1157">
        <v>2</v>
      </c>
      <c r="C31" s="1166" t="s">
        <v>1135</v>
      </c>
      <c r="D31" s="1172"/>
      <c r="E31" s="1176"/>
      <c r="F31" s="1174"/>
      <c r="G31" s="1175"/>
      <c r="H31" s="1176"/>
      <c r="I31" s="1174"/>
      <c r="J31" s="1175"/>
      <c r="K31" s="1189"/>
      <c r="L31" s="1178"/>
    </row>
    <row r="32" spans="2:13" s="1128" customFormat="1" ht="21.9" customHeight="1" x14ac:dyDescent="0.25">
      <c r="B32" s="1170">
        <v>2.1</v>
      </c>
      <c r="C32" s="1199" t="s">
        <v>146</v>
      </c>
      <c r="D32" s="1172" t="s">
        <v>1136</v>
      </c>
      <c r="E32" s="1176">
        <f>OP1_CI!I36</f>
        <v>0.5</v>
      </c>
      <c r="F32" s="1188">
        <f>OP1_CI!$G36</f>
        <v>1539</v>
      </c>
      <c r="G32" s="1175">
        <f>OP1_CI!J36</f>
        <v>770</v>
      </c>
      <c r="H32" s="1176">
        <f>OP1_CI!U36</f>
        <v>0.2</v>
      </c>
      <c r="I32" s="1174">
        <f>F32</f>
        <v>1539</v>
      </c>
      <c r="J32" s="1175">
        <f>OP1_CI!V36</f>
        <v>308</v>
      </c>
      <c r="K32" s="1207">
        <f t="shared" ref="K32:K40" si="0">G32+J32</f>
        <v>1078</v>
      </c>
      <c r="L32" s="1208"/>
      <c r="M32" s="1123"/>
    </row>
    <row r="33" spans="2:13" s="1128" customFormat="1" ht="21.9" customHeight="1" x14ac:dyDescent="0.25">
      <c r="B33" s="1170">
        <v>2.2000000000000002</v>
      </c>
      <c r="C33" s="1199" t="s">
        <v>1137</v>
      </c>
      <c r="D33" s="1172" t="s">
        <v>1138</v>
      </c>
      <c r="E33" s="1176">
        <f>OP1_CI!I37</f>
        <v>0.3</v>
      </c>
      <c r="F33" s="1188">
        <f>OP1_CI!$G37</f>
        <v>6300</v>
      </c>
      <c r="G33" s="1175">
        <f>OP1_CI!J37</f>
        <v>1890</v>
      </c>
      <c r="H33" s="1176">
        <f>OP1_CI!U37</f>
        <v>0.3</v>
      </c>
      <c r="I33" s="1174">
        <f>F33</f>
        <v>6300</v>
      </c>
      <c r="J33" s="1175">
        <f>OP1_CI!V37</f>
        <v>1890</v>
      </c>
      <c r="K33" s="1207">
        <f t="shared" si="0"/>
        <v>3780</v>
      </c>
      <c r="L33" s="1208"/>
      <c r="M33" s="1123"/>
    </row>
    <row r="34" spans="2:13" s="1128" customFormat="1" ht="21.9" customHeight="1" x14ac:dyDescent="0.25">
      <c r="B34" s="1170">
        <v>2.2999999999999998</v>
      </c>
      <c r="C34" s="1199" t="s">
        <v>1139</v>
      </c>
      <c r="D34" s="1172" t="s">
        <v>1140</v>
      </c>
      <c r="E34" s="1176">
        <f>OP1_CI!I38</f>
        <v>0.3</v>
      </c>
      <c r="F34" s="1188">
        <f>OP1_CI!$G38</f>
        <v>0</v>
      </c>
      <c r="G34" s="1175">
        <f>OP1_CI!J38</f>
        <v>0</v>
      </c>
      <c r="H34" s="1173">
        <f>OP1_CI!U38</f>
        <v>4</v>
      </c>
      <c r="I34" s="1174">
        <f>F34</f>
        <v>0</v>
      </c>
      <c r="J34" s="1175">
        <f>OP1_CI!V38</f>
        <v>0</v>
      </c>
      <c r="K34" s="1207">
        <f t="shared" si="0"/>
        <v>0</v>
      </c>
      <c r="L34" s="1208"/>
      <c r="M34" s="1123"/>
    </row>
    <row r="35" spans="2:13" s="1128" customFormat="1" ht="21.9" customHeight="1" x14ac:dyDescent="0.25">
      <c r="B35" s="1170">
        <v>2.4</v>
      </c>
      <c r="C35" s="1199" t="s">
        <v>1018</v>
      </c>
      <c r="D35" s="1172" t="s">
        <v>97</v>
      </c>
      <c r="E35" s="1173">
        <f>OP1_CI!I39</f>
        <v>50</v>
      </c>
      <c r="F35" s="1188">
        <f>OP1_CI!$G39</f>
        <v>1</v>
      </c>
      <c r="G35" s="1175">
        <f>OP1_CI!J39</f>
        <v>50</v>
      </c>
      <c r="H35" s="1173"/>
      <c r="I35" s="1174"/>
      <c r="J35" s="1175">
        <f>OP1_CI!V39</f>
        <v>0</v>
      </c>
      <c r="K35" s="1207">
        <f t="shared" si="0"/>
        <v>50</v>
      </c>
      <c r="L35" s="1208"/>
      <c r="M35" s="1123"/>
    </row>
    <row r="36" spans="2:13" s="1128" customFormat="1" ht="21.9" customHeight="1" x14ac:dyDescent="0.25">
      <c r="B36" s="1170">
        <v>2.5</v>
      </c>
      <c r="C36" s="1199" t="s">
        <v>167</v>
      </c>
      <c r="D36" s="1172" t="s">
        <v>97</v>
      </c>
      <c r="E36" s="1173">
        <f>OP1_CI!I40</f>
        <v>50</v>
      </c>
      <c r="F36" s="1188">
        <f>OP1_CI!$G40</f>
        <v>1</v>
      </c>
      <c r="G36" s="1175">
        <f>OP1_CI!J40</f>
        <v>50</v>
      </c>
      <c r="H36" s="1173"/>
      <c r="I36" s="1174"/>
      <c r="J36" s="1175">
        <f>OP1_CI!V40</f>
        <v>0</v>
      </c>
      <c r="K36" s="1207">
        <f t="shared" si="0"/>
        <v>50</v>
      </c>
      <c r="L36" s="1208"/>
      <c r="M36" s="1123"/>
    </row>
    <row r="37" spans="2:13" s="1128" customFormat="1" ht="21.9" customHeight="1" x14ac:dyDescent="0.25">
      <c r="B37" s="1170">
        <v>2.6</v>
      </c>
      <c r="C37" s="1199" t="s">
        <v>1021</v>
      </c>
      <c r="D37" s="1172" t="s">
        <v>97</v>
      </c>
      <c r="E37" s="1173">
        <f>OP1_CI!I41</f>
        <v>100</v>
      </c>
      <c r="F37" s="1188">
        <f>OP1_CI!$G41</f>
        <v>1</v>
      </c>
      <c r="G37" s="1175">
        <f>OP1_CI!J41</f>
        <v>100</v>
      </c>
      <c r="H37" s="1173">
        <f>OP1_CI!U41</f>
        <v>100</v>
      </c>
      <c r="I37" s="1174">
        <f>F37</f>
        <v>1</v>
      </c>
      <c r="J37" s="1175">
        <f>OP1_CI!V41</f>
        <v>100</v>
      </c>
      <c r="K37" s="1207">
        <f t="shared" si="0"/>
        <v>200</v>
      </c>
      <c r="L37" s="1208"/>
      <c r="M37" s="1123"/>
    </row>
    <row r="38" spans="2:13" s="1128" customFormat="1" ht="21.9" customHeight="1" x14ac:dyDescent="0.25">
      <c r="B38" s="1170">
        <v>2.7</v>
      </c>
      <c r="C38" s="1199" t="s">
        <v>506</v>
      </c>
      <c r="D38" s="1172" t="s">
        <v>97</v>
      </c>
      <c r="E38" s="1173">
        <f>OP1_CI!I42</f>
        <v>0.1</v>
      </c>
      <c r="F38" s="1188">
        <f>OP1_CI!$G42</f>
        <v>555</v>
      </c>
      <c r="G38" s="1175">
        <f>OP1_CI!J42</f>
        <v>56</v>
      </c>
      <c r="H38" s="1173"/>
      <c r="I38" s="1174"/>
      <c r="J38" s="1175"/>
      <c r="K38" s="1207">
        <f t="shared" si="0"/>
        <v>56</v>
      </c>
      <c r="L38" s="1208"/>
      <c r="M38" s="1123"/>
    </row>
    <row r="39" spans="2:13" s="1128" customFormat="1" ht="21.9" customHeight="1" x14ac:dyDescent="0.25">
      <c r="B39" s="1170">
        <v>2.8</v>
      </c>
      <c r="C39" s="1199" t="s">
        <v>514</v>
      </c>
      <c r="D39" s="1172" t="s">
        <v>97</v>
      </c>
      <c r="E39" s="1173">
        <f>OP1_CI!I43</f>
        <v>50</v>
      </c>
      <c r="F39" s="1188">
        <f>OP1_CI!$G43</f>
        <v>1</v>
      </c>
      <c r="G39" s="1175">
        <f>OP1_CI!J43</f>
        <v>50</v>
      </c>
      <c r="H39" s="1173">
        <f>OP1_CI!U43</f>
        <v>50</v>
      </c>
      <c r="I39" s="1174">
        <f t="shared" ref="I39:I40" si="1">F39</f>
        <v>1</v>
      </c>
      <c r="J39" s="1175">
        <f>OP1_CI!V43</f>
        <v>50</v>
      </c>
      <c r="K39" s="1207">
        <f t="shared" si="0"/>
        <v>100</v>
      </c>
      <c r="L39" s="1208"/>
      <c r="M39" s="1123"/>
    </row>
    <row r="40" spans="2:13" s="1128" customFormat="1" ht="21.9" customHeight="1" x14ac:dyDescent="0.25">
      <c r="B40" s="1170">
        <v>2.9</v>
      </c>
      <c r="C40" s="1199" t="s">
        <v>1141</v>
      </c>
      <c r="D40" s="1172" t="s">
        <v>97</v>
      </c>
      <c r="E40" s="1173">
        <f>OP1_CI!I44</f>
        <v>50</v>
      </c>
      <c r="F40" s="1188">
        <f>OP1_CI!$G44</f>
        <v>1</v>
      </c>
      <c r="G40" s="1175">
        <f>OP1_CI!J44</f>
        <v>50</v>
      </c>
      <c r="H40" s="1173">
        <f>OP1_CI!U44</f>
        <v>50</v>
      </c>
      <c r="I40" s="1174">
        <f t="shared" si="1"/>
        <v>1</v>
      </c>
      <c r="J40" s="1175">
        <f>OP1_CI!V44</f>
        <v>50</v>
      </c>
      <c r="K40" s="1207">
        <f t="shared" si="0"/>
        <v>100</v>
      </c>
      <c r="L40" s="1208"/>
      <c r="M40" s="1123"/>
    </row>
    <row r="41" spans="2:13" s="1123" customFormat="1" ht="21.9" customHeight="1" x14ac:dyDescent="0.25">
      <c r="B41" s="1170"/>
      <c r="C41" s="1206"/>
      <c r="D41" s="1172"/>
      <c r="E41" s="1176"/>
      <c r="F41" s="1174"/>
      <c r="G41" s="1175"/>
      <c r="H41" s="1176"/>
      <c r="I41" s="1174"/>
      <c r="J41" s="1175"/>
      <c r="K41" s="1189"/>
      <c r="L41" s="1178"/>
    </row>
    <row r="42" spans="2:13" s="1123" customFormat="1" ht="21.9" customHeight="1" x14ac:dyDescent="0.25">
      <c r="B42" s="1157">
        <v>3</v>
      </c>
      <c r="C42" s="1166" t="s">
        <v>1142</v>
      </c>
      <c r="D42" s="1172"/>
      <c r="E42" s="1176"/>
      <c r="F42" s="1174"/>
      <c r="G42" s="1175"/>
      <c r="H42" s="1176"/>
      <c r="I42" s="1174"/>
      <c r="J42" s="1175"/>
      <c r="K42" s="1189"/>
      <c r="L42" s="1178"/>
    </row>
    <row r="43" spans="2:13" s="1128" customFormat="1" ht="21.9" customHeight="1" x14ac:dyDescent="0.25">
      <c r="B43" s="1170">
        <v>3.1</v>
      </c>
      <c r="C43" s="1199" t="s">
        <v>1143</v>
      </c>
      <c r="D43" s="1172" t="s">
        <v>1136</v>
      </c>
      <c r="E43" s="1176">
        <f>OP1_CI!I45</f>
        <v>0.5</v>
      </c>
      <c r="F43" s="1188">
        <f>OP1_CI!$G45</f>
        <v>0</v>
      </c>
      <c r="G43" s="1175">
        <f>OP1_CI!J45</f>
        <v>0</v>
      </c>
      <c r="H43" s="1176">
        <v>0</v>
      </c>
      <c r="I43" s="1174">
        <v>0</v>
      </c>
      <c r="J43" s="1175">
        <f>OP1_CI!V45</f>
        <v>0</v>
      </c>
      <c r="K43" s="1177">
        <f>G43+J43</f>
        <v>0</v>
      </c>
      <c r="L43" s="1178"/>
      <c r="M43" s="1123"/>
    </row>
    <row r="44" spans="2:13" s="1128" customFormat="1" ht="21.9" customHeight="1" x14ac:dyDescent="0.25">
      <c r="B44" s="1170">
        <v>3.2</v>
      </c>
      <c r="C44" s="1199" t="s">
        <v>185</v>
      </c>
      <c r="D44" s="1172" t="s">
        <v>1136</v>
      </c>
      <c r="E44" s="1173">
        <f>OP1_CI!I46</f>
        <v>0.5</v>
      </c>
      <c r="F44" s="1188">
        <f>OP1_CI!$G46</f>
        <v>0</v>
      </c>
      <c r="G44" s="1175">
        <f>OP1_CI!J46</f>
        <v>0</v>
      </c>
      <c r="H44" s="1176">
        <v>0</v>
      </c>
      <c r="I44" s="1174">
        <v>0</v>
      </c>
      <c r="J44" s="1175">
        <f>OP1_CI!V46</f>
        <v>0</v>
      </c>
      <c r="K44" s="1177">
        <f>G44+J44</f>
        <v>0</v>
      </c>
      <c r="L44" s="1178"/>
      <c r="M44" s="1123"/>
    </row>
    <row r="45" spans="2:13" s="1128" customFormat="1" ht="21.9" customHeight="1" x14ac:dyDescent="0.25">
      <c r="B45" s="1170">
        <v>3.3</v>
      </c>
      <c r="C45" s="1199" t="s">
        <v>186</v>
      </c>
      <c r="D45" s="1172" t="s">
        <v>1136</v>
      </c>
      <c r="E45" s="1173">
        <f>OP1_CI!I47</f>
        <v>0.5</v>
      </c>
      <c r="F45" s="1188">
        <f>OP1_CI!$G47</f>
        <v>0</v>
      </c>
      <c r="G45" s="1175">
        <f>OP1_CI!J47</f>
        <v>0</v>
      </c>
      <c r="H45" s="1176">
        <v>0</v>
      </c>
      <c r="I45" s="1174">
        <v>0</v>
      </c>
      <c r="J45" s="1175">
        <f>OP1_CI!V47</f>
        <v>0</v>
      </c>
      <c r="K45" s="1177">
        <f>G45+J45</f>
        <v>0</v>
      </c>
      <c r="L45" s="1178"/>
      <c r="M45" s="1123"/>
    </row>
    <row r="46" spans="2:13" s="1128" customFormat="1" ht="21.9" customHeight="1" x14ac:dyDescent="0.25">
      <c r="B46" s="1170">
        <v>3.4</v>
      </c>
      <c r="C46" s="1199" t="s">
        <v>187</v>
      </c>
      <c r="D46" s="1172" t="s">
        <v>1136</v>
      </c>
      <c r="E46" s="1173">
        <f>OP1_CI!I48</f>
        <v>0.5</v>
      </c>
      <c r="F46" s="1188">
        <f>OP1_CI!$G48</f>
        <v>0</v>
      </c>
      <c r="G46" s="1175">
        <f>OP1_CI!J48</f>
        <v>0</v>
      </c>
      <c r="H46" s="1176">
        <v>0</v>
      </c>
      <c r="I46" s="1174">
        <v>0</v>
      </c>
      <c r="J46" s="1175">
        <f>OP1_CI!V48</f>
        <v>0</v>
      </c>
      <c r="K46" s="1177">
        <f>G46+J46</f>
        <v>0</v>
      </c>
      <c r="L46" s="1178"/>
      <c r="M46" s="1123"/>
    </row>
    <row r="47" spans="2:13" s="1128" customFormat="1" ht="21.9" customHeight="1" x14ac:dyDescent="0.25">
      <c r="B47" s="1170"/>
      <c r="C47" s="1199"/>
      <c r="D47" s="1172"/>
      <c r="E47" s="1173"/>
      <c r="F47" s="1188"/>
      <c r="G47" s="1175"/>
      <c r="H47" s="1176"/>
      <c r="I47" s="1174"/>
      <c r="J47" s="1175"/>
      <c r="K47" s="1189"/>
      <c r="L47" s="1178"/>
      <c r="M47" s="1123"/>
    </row>
    <row r="48" spans="2:13" s="1139" customFormat="1" ht="21.9" customHeight="1" x14ac:dyDescent="0.25">
      <c r="B48" s="1157">
        <v>4</v>
      </c>
      <c r="C48" s="1166" t="s">
        <v>1144</v>
      </c>
      <c r="D48" s="1159"/>
      <c r="E48" s="1200"/>
      <c r="F48" s="1201"/>
      <c r="G48" s="1202"/>
      <c r="H48" s="1203"/>
      <c r="I48" s="1204"/>
      <c r="J48" s="1202"/>
      <c r="K48" s="1205"/>
      <c r="L48" s="1165"/>
      <c r="M48" s="1138"/>
    </row>
    <row r="49" spans="2:13" s="1128" customFormat="1" ht="21.9" customHeight="1" x14ac:dyDescent="0.25">
      <c r="B49" s="1170">
        <v>4.0999999999999996</v>
      </c>
      <c r="C49" s="1209" t="s">
        <v>189</v>
      </c>
      <c r="D49" s="1172" t="s">
        <v>1136</v>
      </c>
      <c r="E49" s="1173">
        <f>OP1_CI!I49</f>
        <v>1.5</v>
      </c>
      <c r="F49" s="1188">
        <f>OP1_CI!$G49</f>
        <v>200</v>
      </c>
      <c r="G49" s="1175">
        <f>OP1_CI!J49</f>
        <v>300</v>
      </c>
      <c r="H49" s="1176">
        <v>0</v>
      </c>
      <c r="I49" s="1174">
        <v>0</v>
      </c>
      <c r="J49" s="1175">
        <f>OP1_CI!V49</f>
        <v>0</v>
      </c>
      <c r="K49" s="1177">
        <f>G49+J49</f>
        <v>300</v>
      </c>
      <c r="L49" s="1178"/>
      <c r="M49" s="1123"/>
    </row>
    <row r="50" spans="2:13" s="1128" customFormat="1" ht="21.9" customHeight="1" x14ac:dyDescent="0.25">
      <c r="B50" s="1170">
        <v>4.2</v>
      </c>
      <c r="C50" s="1199" t="s">
        <v>192</v>
      </c>
      <c r="D50" s="1172" t="s">
        <v>1136</v>
      </c>
      <c r="E50" s="1173">
        <f>OP1_CI!I50</f>
        <v>0.5</v>
      </c>
      <c r="F50" s="1188">
        <f>OP1_CI!$G50</f>
        <v>0</v>
      </c>
      <c r="G50" s="1175">
        <f>OP1_CI!J50</f>
        <v>0</v>
      </c>
      <c r="H50" s="1176">
        <v>0</v>
      </c>
      <c r="I50" s="1174">
        <v>0</v>
      </c>
      <c r="J50" s="1175">
        <f>OP1_CI!V50</f>
        <v>0</v>
      </c>
      <c r="K50" s="1177">
        <f>G50+J50</f>
        <v>0</v>
      </c>
      <c r="L50" s="1178"/>
      <c r="M50" s="1123"/>
    </row>
    <row r="51" spans="2:13" s="1128" customFormat="1" ht="21.9" customHeight="1" x14ac:dyDescent="0.25">
      <c r="B51" s="1170">
        <v>4.3</v>
      </c>
      <c r="C51" s="1199" t="s">
        <v>193</v>
      </c>
      <c r="D51" s="1172" t="s">
        <v>1136</v>
      </c>
      <c r="E51" s="1173">
        <f>OP1_CI!I51</f>
        <v>0.3</v>
      </c>
      <c r="F51" s="1188">
        <f>OP1_CI!$G51</f>
        <v>0</v>
      </c>
      <c r="G51" s="1175">
        <f>OP1_CI!J51</f>
        <v>0</v>
      </c>
      <c r="H51" s="1176">
        <v>0</v>
      </c>
      <c r="I51" s="1174">
        <v>0</v>
      </c>
      <c r="J51" s="1175">
        <f>OP1_CI!V51</f>
        <v>0</v>
      </c>
      <c r="K51" s="1177">
        <f>G51+J51</f>
        <v>0</v>
      </c>
      <c r="L51" s="1178"/>
      <c r="M51" s="1123"/>
    </row>
    <row r="52" spans="2:13" s="1128" customFormat="1" ht="21.9" customHeight="1" x14ac:dyDescent="0.25">
      <c r="B52" s="1210"/>
      <c r="C52" s="1199"/>
      <c r="D52" s="1211"/>
      <c r="E52" s="1176"/>
      <c r="F52" s="1188"/>
      <c r="G52" s="1175"/>
      <c r="H52" s="1176"/>
      <c r="I52" s="1174"/>
      <c r="J52" s="1175"/>
      <c r="K52" s="1212"/>
      <c r="L52" s="1178"/>
      <c r="M52" s="1123"/>
    </row>
    <row r="53" spans="2:13" s="1139" customFormat="1" ht="21.9" customHeight="1" x14ac:dyDescent="0.25">
      <c r="B53" s="1157">
        <v>5</v>
      </c>
      <c r="C53" s="1166" t="s">
        <v>1145</v>
      </c>
      <c r="D53" s="1159"/>
      <c r="E53" s="1203"/>
      <c r="F53" s="1201"/>
      <c r="G53" s="1202"/>
      <c r="H53" s="1203"/>
      <c r="I53" s="1204"/>
      <c r="J53" s="1202"/>
      <c r="K53" s="1213"/>
      <c r="L53" s="1165"/>
      <c r="M53" s="1138"/>
    </row>
    <row r="54" spans="2:13" s="1128" customFormat="1" ht="21.9" customHeight="1" x14ac:dyDescent="0.25">
      <c r="B54" s="1170">
        <v>5.0999999999999996</v>
      </c>
      <c r="C54" s="1199" t="s">
        <v>1146</v>
      </c>
      <c r="D54" s="1172" t="s">
        <v>1147</v>
      </c>
      <c r="E54" s="1173">
        <f>OP1_CI!I52</f>
        <v>80</v>
      </c>
      <c r="F54" s="1188">
        <f>OP1_CI!$G52</f>
        <v>3</v>
      </c>
      <c r="G54" s="1175">
        <f>OP1_CI!J52</f>
        <v>240</v>
      </c>
      <c r="H54" s="1173">
        <f>OP1_CI!U52</f>
        <v>4</v>
      </c>
      <c r="I54" s="1174">
        <f t="shared" ref="I54:I74" si="2">F54</f>
        <v>3</v>
      </c>
      <c r="J54" s="1175">
        <f>OP1_CI!V52</f>
        <v>12</v>
      </c>
      <c r="K54" s="1214">
        <f t="shared" ref="K54:K74" si="3">G54+J54</f>
        <v>252</v>
      </c>
      <c r="L54" s="1215"/>
      <c r="M54" s="1123"/>
    </row>
    <row r="55" spans="2:13" s="1128" customFormat="1" ht="21.9" customHeight="1" x14ac:dyDescent="0.25">
      <c r="B55" s="1170">
        <v>5.2</v>
      </c>
      <c r="C55" s="1199" t="s">
        <v>1148</v>
      </c>
      <c r="D55" s="1172" t="s">
        <v>1147</v>
      </c>
      <c r="E55" s="1173">
        <f>OP1_CI!I53</f>
        <v>5</v>
      </c>
      <c r="F55" s="1188">
        <f>OP1_CI!$G53</f>
        <v>2</v>
      </c>
      <c r="G55" s="1175">
        <f>OP1_CI!J53</f>
        <v>10</v>
      </c>
      <c r="H55" s="1173">
        <f>OP1_CI!U53</f>
        <v>20</v>
      </c>
      <c r="I55" s="1174">
        <f t="shared" si="2"/>
        <v>2</v>
      </c>
      <c r="J55" s="1175">
        <f>OP1_CI!V53</f>
        <v>40</v>
      </c>
      <c r="K55" s="1214">
        <f t="shared" si="3"/>
        <v>50</v>
      </c>
      <c r="L55" s="1215"/>
      <c r="M55" s="1123"/>
    </row>
    <row r="56" spans="2:13" s="1128" customFormat="1" ht="21.9" customHeight="1" x14ac:dyDescent="0.25">
      <c r="B56" s="1170">
        <v>5.3</v>
      </c>
      <c r="C56" s="1199" t="s">
        <v>202</v>
      </c>
      <c r="D56" s="1172" t="s">
        <v>1149</v>
      </c>
      <c r="E56" s="1173">
        <f>OP1_CI!I54</f>
        <v>2</v>
      </c>
      <c r="F56" s="1188">
        <f>OP1_CI!$G54</f>
        <v>6</v>
      </c>
      <c r="G56" s="1175">
        <f>OP1_CI!J54</f>
        <v>12</v>
      </c>
      <c r="H56" s="1173">
        <f>OP1_CI!U54</f>
        <v>25</v>
      </c>
      <c r="I56" s="1174">
        <f t="shared" si="2"/>
        <v>6</v>
      </c>
      <c r="J56" s="1175">
        <f>OP1_CI!V54</f>
        <v>150</v>
      </c>
      <c r="K56" s="1207">
        <f t="shared" si="3"/>
        <v>162</v>
      </c>
      <c r="L56" s="1208"/>
      <c r="M56" s="1123"/>
    </row>
    <row r="57" spans="2:13" s="1128" customFormat="1" ht="21.9" customHeight="1" x14ac:dyDescent="0.25">
      <c r="B57" s="1170">
        <v>5.4</v>
      </c>
      <c r="C57" s="1199" t="s">
        <v>1150</v>
      </c>
      <c r="D57" s="1172" t="s">
        <v>1147</v>
      </c>
      <c r="E57" s="1173">
        <f>OP1_CI!I55</f>
        <v>5</v>
      </c>
      <c r="F57" s="1188">
        <f>OP1_CI!$G55</f>
        <v>2</v>
      </c>
      <c r="G57" s="1175">
        <f>OP1_CI!J55</f>
        <v>10</v>
      </c>
      <c r="H57" s="1173">
        <f>OP1_CI!U55</f>
        <v>40</v>
      </c>
      <c r="I57" s="1174">
        <f t="shared" si="2"/>
        <v>2</v>
      </c>
      <c r="J57" s="1175">
        <f>OP1_CI!V55</f>
        <v>80</v>
      </c>
      <c r="K57" s="1207">
        <f t="shared" si="3"/>
        <v>90</v>
      </c>
      <c r="L57" s="1208"/>
      <c r="M57" s="1123"/>
    </row>
    <row r="58" spans="2:13" s="1128" customFormat="1" ht="21.9" customHeight="1" x14ac:dyDescent="0.25">
      <c r="B58" s="1170">
        <v>5.5</v>
      </c>
      <c r="C58" s="1199" t="s">
        <v>210</v>
      </c>
      <c r="D58" s="1172" t="s">
        <v>1149</v>
      </c>
      <c r="E58" s="1173">
        <f>OP1_CI!I56</f>
        <v>2</v>
      </c>
      <c r="F58" s="1188">
        <f>OP1_CI!$G56</f>
        <v>0</v>
      </c>
      <c r="G58" s="1175">
        <f>OP1_CI!J56</f>
        <v>0</v>
      </c>
      <c r="H58" s="1173">
        <f>OP1_CI!U56</f>
        <v>19</v>
      </c>
      <c r="I58" s="1174">
        <f t="shared" si="2"/>
        <v>0</v>
      </c>
      <c r="J58" s="1175">
        <f>OP1_CI!V56</f>
        <v>0</v>
      </c>
      <c r="K58" s="1207">
        <f t="shared" si="3"/>
        <v>0</v>
      </c>
      <c r="L58" s="1208"/>
      <c r="M58" s="1123"/>
    </row>
    <row r="59" spans="2:13" s="1128" customFormat="1" ht="21.9" customHeight="1" x14ac:dyDescent="0.25">
      <c r="B59" s="1170">
        <v>5.6</v>
      </c>
      <c r="C59" s="1199" t="s">
        <v>1151</v>
      </c>
      <c r="D59" s="1172" t="s">
        <v>1149</v>
      </c>
      <c r="E59" s="1173">
        <f>OP1_CI!I57</f>
        <v>5</v>
      </c>
      <c r="F59" s="1188">
        <f>OP1_CI!$G57</f>
        <v>0</v>
      </c>
      <c r="G59" s="1175">
        <f>OP1_CI!J57</f>
        <v>0</v>
      </c>
      <c r="H59" s="1173">
        <f>OP1_CI!U57</f>
        <v>49</v>
      </c>
      <c r="I59" s="1174">
        <f t="shared" si="2"/>
        <v>0</v>
      </c>
      <c r="J59" s="1175">
        <f>OP1_CI!V57</f>
        <v>0</v>
      </c>
      <c r="K59" s="1207">
        <f t="shared" si="3"/>
        <v>0</v>
      </c>
      <c r="L59" s="1208"/>
      <c r="M59" s="1123"/>
    </row>
    <row r="60" spans="2:13" s="1128" customFormat="1" ht="21.9" customHeight="1" x14ac:dyDescent="0.25">
      <c r="B60" s="1170">
        <v>5.7</v>
      </c>
      <c r="C60" s="1199" t="s">
        <v>1152</v>
      </c>
      <c r="D60" s="1172" t="s">
        <v>1149</v>
      </c>
      <c r="E60" s="1173">
        <f>OP1_CI!I58</f>
        <v>2.5</v>
      </c>
      <c r="F60" s="1188">
        <f>OP1_CI!$G58</f>
        <v>17</v>
      </c>
      <c r="G60" s="1175">
        <f>OP1_CI!J58</f>
        <v>43</v>
      </c>
      <c r="H60" s="1173">
        <f>OP1_CI!U58</f>
        <v>40</v>
      </c>
      <c r="I60" s="1174">
        <f t="shared" si="2"/>
        <v>17</v>
      </c>
      <c r="J60" s="1175">
        <f>OP1_CI!V58</f>
        <v>680</v>
      </c>
      <c r="K60" s="1207">
        <f t="shared" si="3"/>
        <v>723</v>
      </c>
      <c r="L60" s="1208"/>
      <c r="M60" s="1123"/>
    </row>
    <row r="61" spans="2:13" s="1128" customFormat="1" ht="21.9" customHeight="1" x14ac:dyDescent="0.25">
      <c r="B61" s="1170">
        <v>5.8</v>
      </c>
      <c r="C61" s="1199" t="s">
        <v>1153</v>
      </c>
      <c r="D61" s="1172" t="s">
        <v>1149</v>
      </c>
      <c r="E61" s="1173">
        <f>OP1_CI!I59</f>
        <v>4</v>
      </c>
      <c r="F61" s="1188">
        <f>OP1_CI!$G59</f>
        <v>0</v>
      </c>
      <c r="G61" s="1175">
        <f>OP1_CI!J59</f>
        <v>0</v>
      </c>
      <c r="H61" s="1173">
        <f>OP1_CI!U59</f>
        <v>67</v>
      </c>
      <c r="I61" s="1174">
        <f t="shared" si="2"/>
        <v>0</v>
      </c>
      <c r="J61" s="1175">
        <f>OP1_CI!V59</f>
        <v>0</v>
      </c>
      <c r="K61" s="1207">
        <f t="shared" si="3"/>
        <v>0</v>
      </c>
      <c r="L61" s="1208"/>
      <c r="M61" s="1123"/>
    </row>
    <row r="62" spans="2:13" s="1128" customFormat="1" ht="21.9" customHeight="1" x14ac:dyDescent="0.25">
      <c r="B62" s="1170">
        <v>5.9</v>
      </c>
      <c r="C62" s="1199" t="s">
        <v>614</v>
      </c>
      <c r="D62" s="1172" t="s">
        <v>1149</v>
      </c>
      <c r="E62" s="1173">
        <f>OP1_CI!I60</f>
        <v>3</v>
      </c>
      <c r="F62" s="1188">
        <f>OP1_CI!$G60</f>
        <v>0</v>
      </c>
      <c r="G62" s="1175">
        <f>OP1_CI!J60</f>
        <v>0</v>
      </c>
      <c r="H62" s="1173">
        <f>OP1_CI!U60</f>
        <v>50</v>
      </c>
      <c r="I62" s="1174">
        <f t="shared" si="2"/>
        <v>0</v>
      </c>
      <c r="J62" s="1175">
        <f>OP1_CI!V60</f>
        <v>0</v>
      </c>
      <c r="K62" s="1207">
        <f t="shared" si="3"/>
        <v>0</v>
      </c>
      <c r="L62" s="1208"/>
      <c r="M62" s="1123"/>
    </row>
    <row r="63" spans="2:13" s="1128" customFormat="1" ht="21.9" customHeight="1" x14ac:dyDescent="0.25">
      <c r="B63" s="1216">
        <v>5.0999999999999996</v>
      </c>
      <c r="C63" s="1199" t="s">
        <v>1031</v>
      </c>
      <c r="D63" s="1172" t="s">
        <v>1149</v>
      </c>
      <c r="E63" s="1173">
        <f>OP1_CI!I61</f>
        <v>3</v>
      </c>
      <c r="F63" s="1188">
        <f>OP1_CI!$G61</f>
        <v>0</v>
      </c>
      <c r="G63" s="1175">
        <f>OP1_CI!J61</f>
        <v>0</v>
      </c>
      <c r="H63" s="1173">
        <f>OP1_CI!U61</f>
        <v>34</v>
      </c>
      <c r="I63" s="1174">
        <f t="shared" si="2"/>
        <v>0</v>
      </c>
      <c r="J63" s="1175">
        <f>OP1_CI!V61</f>
        <v>0</v>
      </c>
      <c r="K63" s="1207">
        <f t="shared" si="3"/>
        <v>0</v>
      </c>
      <c r="L63" s="1208"/>
      <c r="M63" s="1123"/>
    </row>
    <row r="64" spans="2:13" s="1128" customFormat="1" ht="21.9" customHeight="1" x14ac:dyDescent="0.25">
      <c r="B64" s="1216">
        <v>5.1100000000000003</v>
      </c>
      <c r="C64" s="1199" t="s">
        <v>237</v>
      </c>
      <c r="D64" s="1172" t="s">
        <v>1149</v>
      </c>
      <c r="E64" s="1173">
        <f>OP1_CI!I62</f>
        <v>3</v>
      </c>
      <c r="F64" s="1188">
        <f>OP1_CI!$G62</f>
        <v>12</v>
      </c>
      <c r="G64" s="1175">
        <f>OP1_CI!J62</f>
        <v>36</v>
      </c>
      <c r="H64" s="1173">
        <f>OP1_CI!U62</f>
        <v>34</v>
      </c>
      <c r="I64" s="1174">
        <f t="shared" si="2"/>
        <v>12</v>
      </c>
      <c r="J64" s="1175">
        <f>OP1_CI!V62</f>
        <v>408</v>
      </c>
      <c r="K64" s="1207">
        <f t="shared" si="3"/>
        <v>444</v>
      </c>
      <c r="L64" s="1208"/>
      <c r="M64" s="1123"/>
    </row>
    <row r="65" spans="2:13" s="1128" customFormat="1" ht="21.9" customHeight="1" x14ac:dyDescent="0.25">
      <c r="B65" s="1216">
        <v>5.12</v>
      </c>
      <c r="C65" s="1199" t="s">
        <v>242</v>
      </c>
      <c r="D65" s="1172" t="s">
        <v>1149</v>
      </c>
      <c r="E65" s="1173">
        <f>OP1_CI!I63</f>
        <v>4</v>
      </c>
      <c r="F65" s="1188">
        <f>OP1_CI!$G63</f>
        <v>8</v>
      </c>
      <c r="G65" s="1175">
        <f>OP1_CI!J63</f>
        <v>32</v>
      </c>
      <c r="H65" s="1173">
        <f>OP1_CI!U63</f>
        <v>40</v>
      </c>
      <c r="I65" s="1174">
        <f t="shared" si="2"/>
        <v>8</v>
      </c>
      <c r="J65" s="1175">
        <f>OP1_CI!V63</f>
        <v>320</v>
      </c>
      <c r="K65" s="1207">
        <f t="shared" si="3"/>
        <v>352</v>
      </c>
      <c r="L65" s="1208"/>
      <c r="M65" s="1123"/>
    </row>
    <row r="66" spans="2:13" s="1128" customFormat="1" ht="21.9" customHeight="1" x14ac:dyDescent="0.25">
      <c r="B66" s="1216">
        <v>5.13</v>
      </c>
      <c r="C66" s="1199" t="s">
        <v>1154</v>
      </c>
      <c r="D66" s="1172" t="s">
        <v>1149</v>
      </c>
      <c r="E66" s="1173">
        <f>OP1_CI!I64</f>
        <v>2</v>
      </c>
      <c r="F66" s="1188">
        <f>OP1_CI!$G64</f>
        <v>8</v>
      </c>
      <c r="G66" s="1175">
        <f>OP1_CI!J64</f>
        <v>16</v>
      </c>
      <c r="H66" s="1173">
        <f>OP1_CI!U64</f>
        <v>19</v>
      </c>
      <c r="I66" s="1174">
        <f t="shared" si="2"/>
        <v>8</v>
      </c>
      <c r="J66" s="1175">
        <f>OP1_CI!V64</f>
        <v>152</v>
      </c>
      <c r="K66" s="1207">
        <f t="shared" si="3"/>
        <v>168</v>
      </c>
      <c r="L66" s="1208"/>
      <c r="M66" s="1123"/>
    </row>
    <row r="67" spans="2:13" s="1128" customFormat="1" ht="21.9" customHeight="1" x14ac:dyDescent="0.25">
      <c r="B67" s="1216">
        <v>5.14</v>
      </c>
      <c r="C67" s="1199" t="s">
        <v>1155</v>
      </c>
      <c r="D67" s="1172" t="s">
        <v>1140</v>
      </c>
      <c r="E67" s="1176">
        <f>OP1_CI!I65</f>
        <v>0.5</v>
      </c>
      <c r="F67" s="1188">
        <f>OP1_CI!$G65</f>
        <v>51</v>
      </c>
      <c r="G67" s="1175">
        <f>OP1_CI!J65</f>
        <v>26</v>
      </c>
      <c r="H67" s="1173">
        <f>OP1_CI!U65</f>
        <v>4.5</v>
      </c>
      <c r="I67" s="1174">
        <f t="shared" si="2"/>
        <v>51</v>
      </c>
      <c r="J67" s="1175">
        <f>OP1_CI!V65</f>
        <v>230</v>
      </c>
      <c r="K67" s="1207">
        <f t="shared" si="3"/>
        <v>256</v>
      </c>
      <c r="L67" s="1208"/>
      <c r="M67" s="1123"/>
    </row>
    <row r="68" spans="2:13" s="1128" customFormat="1" ht="21.9" customHeight="1" x14ac:dyDescent="0.25">
      <c r="B68" s="1216">
        <v>5.15</v>
      </c>
      <c r="C68" s="1199" t="s">
        <v>253</v>
      </c>
      <c r="D68" s="1172" t="s">
        <v>1140</v>
      </c>
      <c r="E68" s="1176">
        <f>OP1_CI!I66</f>
        <v>0.5</v>
      </c>
      <c r="F68" s="1188">
        <f>OP1_CI!$G66</f>
        <v>20</v>
      </c>
      <c r="G68" s="1175">
        <f>OP1_CI!J66</f>
        <v>10</v>
      </c>
      <c r="H68" s="1173">
        <f>OP1_CI!U66</f>
        <v>4.5</v>
      </c>
      <c r="I68" s="1174">
        <f t="shared" si="2"/>
        <v>20</v>
      </c>
      <c r="J68" s="1175">
        <f>OP1_CI!V66</f>
        <v>90</v>
      </c>
      <c r="K68" s="1207">
        <f t="shared" si="3"/>
        <v>100</v>
      </c>
      <c r="L68" s="1208"/>
      <c r="M68" s="1123"/>
    </row>
    <row r="69" spans="2:13" s="1128" customFormat="1" ht="21.9" customHeight="1" x14ac:dyDescent="0.25">
      <c r="B69" s="1216">
        <v>5.16</v>
      </c>
      <c r="C69" s="1199" t="s">
        <v>1156</v>
      </c>
      <c r="D69" s="1172" t="s">
        <v>1140</v>
      </c>
      <c r="E69" s="1176">
        <f>OP1_CI!I67</f>
        <v>0.5</v>
      </c>
      <c r="F69" s="1217">
        <f>OP1_CI!$G67</f>
        <v>20</v>
      </c>
      <c r="G69" s="1218">
        <f>OP1_CI!J67</f>
        <v>10</v>
      </c>
      <c r="H69" s="1173">
        <f>OP1_CI!U67</f>
        <v>4.5</v>
      </c>
      <c r="I69" s="1217">
        <f t="shared" si="2"/>
        <v>20</v>
      </c>
      <c r="J69" s="1175">
        <f>OP1_CI!V67</f>
        <v>90</v>
      </c>
      <c r="K69" s="1207">
        <f t="shared" si="3"/>
        <v>100</v>
      </c>
      <c r="L69" s="1208"/>
      <c r="M69" s="1123"/>
    </row>
    <row r="70" spans="2:13" s="1128" customFormat="1" ht="21.9" customHeight="1" x14ac:dyDescent="0.25">
      <c r="B70" s="1216">
        <v>5.17</v>
      </c>
      <c r="C70" s="1199" t="s">
        <v>1157</v>
      </c>
      <c r="D70" s="1172" t="s">
        <v>1140</v>
      </c>
      <c r="E70" s="1176">
        <f>OP1_CI!I68</f>
        <v>0.5</v>
      </c>
      <c r="F70" s="1188">
        <f>OP1_CI!$G68</f>
        <v>110</v>
      </c>
      <c r="G70" s="1175">
        <f>OP1_CI!J68</f>
        <v>55</v>
      </c>
      <c r="H70" s="1173">
        <f>OP1_CI!U68</f>
        <v>2</v>
      </c>
      <c r="I70" s="1174">
        <f t="shared" si="2"/>
        <v>110</v>
      </c>
      <c r="J70" s="1175">
        <f>OP1_CI!V68</f>
        <v>220</v>
      </c>
      <c r="K70" s="1207">
        <f t="shared" si="3"/>
        <v>275</v>
      </c>
      <c r="L70" s="1208"/>
      <c r="M70" s="1123"/>
    </row>
    <row r="71" spans="2:13" s="1128" customFormat="1" ht="21.9" customHeight="1" x14ac:dyDescent="0.25">
      <c r="B71" s="1216">
        <v>5.18</v>
      </c>
      <c r="C71" s="1199" t="s">
        <v>1158</v>
      </c>
      <c r="D71" s="1172" t="s">
        <v>1147</v>
      </c>
      <c r="E71" s="1173">
        <f>OP1_CI!I69</f>
        <v>2</v>
      </c>
      <c r="F71" s="1188">
        <f>OP1_CI!$G69</f>
        <v>95</v>
      </c>
      <c r="G71" s="1175">
        <f>OP1_CI!J69</f>
        <v>190</v>
      </c>
      <c r="H71" s="1176">
        <f>OP1_CI!U69</f>
        <v>0.5</v>
      </c>
      <c r="I71" s="1174">
        <f t="shared" si="2"/>
        <v>95</v>
      </c>
      <c r="J71" s="1175">
        <f>OP1_CI!V69</f>
        <v>48</v>
      </c>
      <c r="K71" s="1207">
        <f t="shared" si="3"/>
        <v>238</v>
      </c>
      <c r="L71" s="1208"/>
      <c r="M71" s="1123"/>
    </row>
    <row r="72" spans="2:13" s="1128" customFormat="1" ht="21.9" customHeight="1" x14ac:dyDescent="0.25">
      <c r="B72" s="1216">
        <v>5.19</v>
      </c>
      <c r="C72" s="1199" t="s">
        <v>1034</v>
      </c>
      <c r="D72" s="1172" t="s">
        <v>1140</v>
      </c>
      <c r="E72" s="1176">
        <f>OP1_CI!I70</f>
        <v>0.5</v>
      </c>
      <c r="F72" s="1188">
        <f>OP1_CI!$G70</f>
        <v>0</v>
      </c>
      <c r="G72" s="1175">
        <f>OP1_CI!J70</f>
        <v>0</v>
      </c>
      <c r="H72" s="1173">
        <f>OP1_CI!U70</f>
        <v>2</v>
      </c>
      <c r="I72" s="1174">
        <f t="shared" si="2"/>
        <v>0</v>
      </c>
      <c r="J72" s="1175">
        <f>OP1_CI!V70</f>
        <v>0</v>
      </c>
      <c r="K72" s="1207">
        <f t="shared" si="3"/>
        <v>0</v>
      </c>
      <c r="L72" s="1208"/>
      <c r="M72" s="1123"/>
    </row>
    <row r="73" spans="2:13" s="1128" customFormat="1" ht="21.9" customHeight="1" x14ac:dyDescent="0.25">
      <c r="B73" s="1216">
        <v>5.2</v>
      </c>
      <c r="C73" s="1199" t="s">
        <v>273</v>
      </c>
      <c r="D73" s="1172" t="s">
        <v>1138</v>
      </c>
      <c r="E73" s="1176">
        <f>OP1_CI!I71</f>
        <v>0.3</v>
      </c>
      <c r="F73" s="1188">
        <f>OP1_CI!$G71</f>
        <v>0</v>
      </c>
      <c r="G73" s="1175">
        <f>OP1_CI!J71</f>
        <v>0</v>
      </c>
      <c r="H73" s="1176">
        <f>OP1_CI!U71</f>
        <v>0.5</v>
      </c>
      <c r="I73" s="1174">
        <f t="shared" si="2"/>
        <v>0</v>
      </c>
      <c r="J73" s="1175">
        <f>OP1_CI!V71</f>
        <v>0</v>
      </c>
      <c r="K73" s="1207">
        <f t="shared" si="3"/>
        <v>0</v>
      </c>
      <c r="L73" s="1208"/>
      <c r="M73" s="1123"/>
    </row>
    <row r="74" spans="2:13" s="1128" customFormat="1" ht="21.9" customHeight="1" x14ac:dyDescent="0.25">
      <c r="B74" s="1216">
        <v>5.21</v>
      </c>
      <c r="C74" s="1199" t="s">
        <v>277</v>
      </c>
      <c r="D74" s="1172" t="s">
        <v>1147</v>
      </c>
      <c r="E74" s="1173">
        <f>OP1_CI!I72</f>
        <v>2</v>
      </c>
      <c r="F74" s="1188">
        <f>OP1_CI!$G72</f>
        <v>200</v>
      </c>
      <c r="G74" s="1175">
        <f>OP1_CI!J72</f>
        <v>400</v>
      </c>
      <c r="H74" s="1176">
        <f>OP1_CI!U72</f>
        <v>5</v>
      </c>
      <c r="I74" s="1174">
        <f t="shared" si="2"/>
        <v>200</v>
      </c>
      <c r="J74" s="1175">
        <f>OP1_CI!V72</f>
        <v>1000</v>
      </c>
      <c r="K74" s="1207">
        <f t="shared" si="3"/>
        <v>1400</v>
      </c>
      <c r="L74" s="1208"/>
      <c r="M74" s="1123"/>
    </row>
    <row r="75" spans="2:13" s="1128" customFormat="1" ht="21.9" customHeight="1" x14ac:dyDescent="0.25">
      <c r="B75" s="1170"/>
      <c r="C75" s="1199"/>
      <c r="D75" s="1172"/>
      <c r="E75" s="1176"/>
      <c r="F75" s="1188"/>
      <c r="G75" s="1175"/>
      <c r="H75" s="1176"/>
      <c r="I75" s="1174"/>
      <c r="J75" s="1175"/>
      <c r="K75" s="1207"/>
      <c r="L75" s="1215"/>
      <c r="M75" s="1123"/>
    </row>
    <row r="76" spans="2:13" s="1139" customFormat="1" ht="21.9" customHeight="1" x14ac:dyDescent="0.25">
      <c r="B76" s="1157">
        <v>6</v>
      </c>
      <c r="C76" s="1166" t="s">
        <v>1159</v>
      </c>
      <c r="D76" s="1159"/>
      <c r="E76" s="1203"/>
      <c r="F76" s="1201"/>
      <c r="G76" s="1202"/>
      <c r="H76" s="1203"/>
      <c r="I76" s="1204"/>
      <c r="J76" s="1202"/>
      <c r="K76" s="1213"/>
      <c r="L76" s="1165"/>
      <c r="M76" s="1138"/>
    </row>
    <row r="77" spans="2:13" s="1128" customFormat="1" ht="21.9" customHeight="1" x14ac:dyDescent="0.25">
      <c r="B77" s="1170">
        <v>6.1</v>
      </c>
      <c r="C77" s="1199" t="s">
        <v>1159</v>
      </c>
      <c r="D77" s="1172" t="s">
        <v>1124</v>
      </c>
      <c r="E77" s="1173">
        <f>OP1_CI!I73</f>
        <v>400</v>
      </c>
      <c r="F77" s="1188">
        <f>OP1_CI!$G73</f>
        <v>1</v>
      </c>
      <c r="G77" s="1175">
        <f>OP1_CI!J73</f>
        <v>400</v>
      </c>
      <c r="H77" s="1176" t="s">
        <v>98</v>
      </c>
      <c r="I77" s="1174">
        <v>1</v>
      </c>
      <c r="J77" s="1175">
        <f>OP1_CI!V73</f>
        <v>900</v>
      </c>
      <c r="K77" s="1207">
        <f>G77+J77</f>
        <v>1300</v>
      </c>
      <c r="L77" s="1215"/>
      <c r="M77" s="1123"/>
    </row>
    <row r="78" spans="2:13" s="1128" customFormat="1" ht="21.9" customHeight="1" x14ac:dyDescent="0.25">
      <c r="B78" s="1170"/>
      <c r="C78" s="1199"/>
      <c r="D78" s="1172"/>
      <c r="E78" s="1176"/>
      <c r="F78" s="1188"/>
      <c r="G78" s="1175"/>
      <c r="H78" s="1176"/>
      <c r="I78" s="1174"/>
      <c r="J78" s="1175"/>
      <c r="K78" s="1207"/>
      <c r="L78" s="1215"/>
      <c r="M78" s="1123"/>
    </row>
    <row r="79" spans="2:13" s="1128" customFormat="1" ht="21.9" customHeight="1" x14ac:dyDescent="0.25">
      <c r="B79" s="1157">
        <v>7</v>
      </c>
      <c r="C79" s="1166" t="s">
        <v>1160</v>
      </c>
      <c r="D79" s="1172"/>
      <c r="E79" s="1176"/>
      <c r="F79" s="1188"/>
      <c r="G79" s="1175"/>
      <c r="H79" s="1176"/>
      <c r="I79" s="1174"/>
      <c r="J79" s="1175"/>
      <c r="K79" s="1207"/>
      <c r="L79" s="1178"/>
      <c r="M79" s="1123"/>
    </row>
    <row r="80" spans="2:13" s="1128" customFormat="1" ht="21.9" customHeight="1" x14ac:dyDescent="0.25">
      <c r="B80" s="1219">
        <v>7.1</v>
      </c>
      <c r="C80" s="1187" t="s">
        <v>1161</v>
      </c>
      <c r="D80" s="1172"/>
      <c r="E80" s="1176"/>
      <c r="F80" s="1188"/>
      <c r="G80" s="1175"/>
      <c r="H80" s="1176"/>
      <c r="I80" s="1174"/>
      <c r="J80" s="1175"/>
      <c r="K80" s="1207"/>
      <c r="L80" s="1178"/>
      <c r="M80" s="1123"/>
    </row>
    <row r="81" spans="2:13" s="1128" customFormat="1" ht="21.9" customHeight="1" x14ac:dyDescent="0.25">
      <c r="B81" s="1170" t="s">
        <v>1162</v>
      </c>
      <c r="C81" s="1209" t="s">
        <v>1163</v>
      </c>
      <c r="D81" s="1172" t="s">
        <v>152</v>
      </c>
      <c r="E81" s="1176">
        <f>OP1_CI!I75</f>
        <v>0</v>
      </c>
      <c r="F81" s="1188">
        <f>IF(Input_CI!AH57="Yes",OP1_CI!$G75,0)</f>
        <v>0</v>
      </c>
      <c r="G81" s="1175">
        <f>OP1_CI!J75</f>
        <v>0</v>
      </c>
      <c r="H81" s="1176"/>
      <c r="I81" s="1174"/>
      <c r="J81" s="1175"/>
      <c r="K81" s="1207">
        <f>SUM(G81,J81)</f>
        <v>0</v>
      </c>
      <c r="L81" s="1178"/>
      <c r="M81" s="1123"/>
    </row>
    <row r="82" spans="2:13" s="1128" customFormat="1" ht="21.9" customHeight="1" x14ac:dyDescent="0.25">
      <c r="B82" s="1170" t="s">
        <v>1164</v>
      </c>
      <c r="C82" s="1209" t="s">
        <v>1165</v>
      </c>
      <c r="D82" s="1172" t="s">
        <v>152</v>
      </c>
      <c r="E82" s="1176">
        <f>OP1_CI!I76</f>
        <v>0</v>
      </c>
      <c r="F82" s="1188">
        <f>IF(Input_CI!AH58="Yes",OP1_CI!$G76,0)</f>
        <v>0</v>
      </c>
      <c r="G82" s="1175">
        <f>OP1_CI!J76</f>
        <v>0</v>
      </c>
      <c r="H82" s="1176"/>
      <c r="I82" s="1174"/>
      <c r="J82" s="1175"/>
      <c r="K82" s="1207"/>
      <c r="L82" s="1178"/>
      <c r="M82" s="1123"/>
    </row>
    <row r="83" spans="2:13" s="1128" customFormat="1" ht="28.5" customHeight="1" x14ac:dyDescent="0.25">
      <c r="B83" s="1170" t="s">
        <v>1166</v>
      </c>
      <c r="C83" s="1209" t="s">
        <v>1167</v>
      </c>
      <c r="D83" s="1172" t="s">
        <v>1136</v>
      </c>
      <c r="E83" s="1176"/>
      <c r="F83" s="1188"/>
      <c r="G83" s="1175"/>
      <c r="H83" s="1176">
        <f>OP1_CI!U77</f>
        <v>0.3</v>
      </c>
      <c r="I83" s="1174">
        <f>IF(Input_CI!AH59="Yes",OP1_CI!G77,0)</f>
        <v>0</v>
      </c>
      <c r="J83" s="1175">
        <f>OP1_CI!V77</f>
        <v>0</v>
      </c>
      <c r="K83" s="1177">
        <f>G83+J83</f>
        <v>0</v>
      </c>
      <c r="L83" s="1178"/>
      <c r="M83" s="1123"/>
    </row>
    <row r="84" spans="2:13" s="1128" customFormat="1" ht="21.9" customHeight="1" x14ac:dyDescent="0.25">
      <c r="B84" s="1170" t="s">
        <v>1168</v>
      </c>
      <c r="C84" s="1209" t="s">
        <v>753</v>
      </c>
      <c r="D84" s="1172" t="s">
        <v>147</v>
      </c>
      <c r="E84" s="1176">
        <f>OP1_CI!I78</f>
        <v>0</v>
      </c>
      <c r="F84" s="1188">
        <f>IF(Input_CI!AH60="Yes",OP1_CI!$G78,0)</f>
        <v>0</v>
      </c>
      <c r="G84" s="1175">
        <f>OP1_CI!J78</f>
        <v>0</v>
      </c>
      <c r="H84" s="1176"/>
      <c r="I84" s="1174"/>
      <c r="J84" s="1175"/>
      <c r="K84" s="1207"/>
      <c r="L84" s="1178"/>
      <c r="M84" s="1123"/>
    </row>
    <row r="85" spans="2:13" s="1139" customFormat="1" ht="21.9" customHeight="1" x14ac:dyDescent="0.25">
      <c r="B85" s="1219">
        <v>7.2</v>
      </c>
      <c r="C85" s="1187" t="s">
        <v>1169</v>
      </c>
      <c r="D85" s="1159"/>
      <c r="E85" s="1203"/>
      <c r="F85" s="1201"/>
      <c r="G85" s="1202"/>
      <c r="H85" s="1203"/>
      <c r="I85" s="1204"/>
      <c r="J85" s="1202"/>
      <c r="K85" s="1213"/>
      <c r="L85" s="1165"/>
      <c r="M85" s="1138"/>
    </row>
    <row r="86" spans="2:13" s="1128" customFormat="1" ht="21.9" customHeight="1" x14ac:dyDescent="0.25">
      <c r="B86" s="1170" t="s">
        <v>1170</v>
      </c>
      <c r="C86" s="1209" t="s">
        <v>1171</v>
      </c>
      <c r="D86" s="1172" t="s">
        <v>152</v>
      </c>
      <c r="E86" s="1220" t="s">
        <v>98</v>
      </c>
      <c r="F86" s="1188">
        <f>OP1_CI!$G80</f>
        <v>5300</v>
      </c>
      <c r="G86" s="1175">
        <f>OP1_CI!J80</f>
        <v>81.8</v>
      </c>
      <c r="H86" s="1220" t="s">
        <v>98</v>
      </c>
      <c r="I86" s="1174">
        <f>F86</f>
        <v>5300</v>
      </c>
      <c r="J86" s="1175">
        <f>OP1_CI!V80</f>
        <v>924</v>
      </c>
      <c r="K86" s="1207">
        <f>G86+J86</f>
        <v>1005.8</v>
      </c>
      <c r="L86" s="1215"/>
      <c r="M86" s="1123"/>
    </row>
    <row r="87" spans="2:13" s="1128" customFormat="1" ht="21.9" customHeight="1" x14ac:dyDescent="0.25">
      <c r="B87" s="1170" t="s">
        <v>1172</v>
      </c>
      <c r="C87" s="1221" t="s">
        <v>767</v>
      </c>
      <c r="D87" s="1172" t="s">
        <v>147</v>
      </c>
      <c r="E87" s="1176"/>
      <c r="F87" s="1188"/>
      <c r="G87" s="1175"/>
      <c r="H87" s="1173">
        <f>OP1_CI!U81</f>
        <v>1</v>
      </c>
      <c r="I87" s="1174">
        <f>OP1_CI!G81</f>
        <v>0</v>
      </c>
      <c r="J87" s="1175">
        <f>OP1_CI!V81</f>
        <v>0</v>
      </c>
      <c r="K87" s="1207">
        <f>SUM(G87,J87)</f>
        <v>0</v>
      </c>
      <c r="L87" s="1215"/>
      <c r="M87" s="1123"/>
    </row>
    <row r="88" spans="2:13" s="1128" customFormat="1" ht="21.9" customHeight="1" x14ac:dyDescent="0.25">
      <c r="B88" s="1219">
        <v>7.3</v>
      </c>
      <c r="C88" s="1187" t="s">
        <v>1173</v>
      </c>
      <c r="D88" s="1172" t="s">
        <v>1174</v>
      </c>
      <c r="E88" s="1176"/>
      <c r="F88" s="1188"/>
      <c r="G88" s="1175"/>
      <c r="H88" s="1222" t="s">
        <v>98</v>
      </c>
      <c r="I88" s="1174">
        <f>OP1_CI!G83+OP1_CI!G84</f>
        <v>0</v>
      </c>
      <c r="J88" s="1175">
        <f>OP1_CI!V83+OP1_CI!V84</f>
        <v>0</v>
      </c>
      <c r="K88" s="1207">
        <f>G88+J88</f>
        <v>0</v>
      </c>
      <c r="L88" s="1215"/>
      <c r="M88" s="1123"/>
    </row>
    <row r="89" spans="2:13" s="1123" customFormat="1" ht="21.9" customHeight="1" x14ac:dyDescent="0.25">
      <c r="B89" s="1186"/>
      <c r="C89" s="1187"/>
      <c r="D89" s="1172"/>
      <c r="E89" s="1176"/>
      <c r="F89" s="1188"/>
      <c r="G89" s="1175"/>
      <c r="H89" s="1173"/>
      <c r="I89" s="1174"/>
      <c r="J89" s="1175"/>
      <c r="K89" s="1189"/>
      <c r="L89" s="1178"/>
    </row>
    <row r="90" spans="2:13" s="1139" customFormat="1" ht="21.9" customHeight="1" thickBot="1" x14ac:dyDescent="0.3">
      <c r="B90" s="1190" t="s">
        <v>1175</v>
      </c>
      <c r="C90" s="1191"/>
      <c r="D90" s="1192"/>
      <c r="E90" s="1223"/>
      <c r="F90" s="1224"/>
      <c r="G90" s="1195">
        <f>SUM(G22:G89)</f>
        <v>5227.8</v>
      </c>
      <c r="H90" s="1193"/>
      <c r="I90" s="1197"/>
      <c r="J90" s="1195">
        <f>SUM(J22:J89)</f>
        <v>7742</v>
      </c>
      <c r="K90" s="1195">
        <f>SUM(K22:K89)</f>
        <v>12969.8</v>
      </c>
      <c r="L90" s="1198"/>
      <c r="M90" s="1138"/>
    </row>
    <row r="91" spans="2:13" s="1139" customFormat="1" ht="21.9" customHeight="1" x14ac:dyDescent="0.25">
      <c r="B91" s="1170"/>
      <c r="C91" s="1199"/>
      <c r="D91" s="1172"/>
      <c r="E91" s="1176"/>
      <c r="F91" s="1188"/>
      <c r="G91" s="1175"/>
      <c r="H91" s="1173"/>
      <c r="I91" s="1174"/>
      <c r="J91" s="1175"/>
      <c r="K91" s="1177"/>
      <c r="L91" s="1178"/>
      <c r="M91" s="1138"/>
    </row>
    <row r="92" spans="2:13" s="1128" customFormat="1" ht="21.9" customHeight="1" x14ac:dyDescent="0.25">
      <c r="B92" s="1157" t="s">
        <v>1176</v>
      </c>
      <c r="C92" s="1158" t="s">
        <v>1177</v>
      </c>
      <c r="D92" s="1172"/>
      <c r="E92" s="1176"/>
      <c r="F92" s="1188"/>
      <c r="G92" s="1175"/>
      <c r="H92" s="1173"/>
      <c r="I92" s="1174"/>
      <c r="J92" s="1175"/>
      <c r="K92" s="1207"/>
      <c r="L92" s="1178"/>
      <c r="M92" s="1123"/>
    </row>
    <row r="93" spans="2:13" s="1138" customFormat="1" ht="21.9" customHeight="1" x14ac:dyDescent="0.25">
      <c r="B93" s="1157">
        <v>1</v>
      </c>
      <c r="C93" s="1166" t="s">
        <v>1178</v>
      </c>
      <c r="D93" s="1159"/>
      <c r="E93" s="1203"/>
      <c r="F93" s="1201"/>
      <c r="G93" s="1202"/>
      <c r="H93" s="1200"/>
      <c r="I93" s="1204"/>
      <c r="J93" s="1202"/>
      <c r="K93" s="1205"/>
      <c r="L93" s="1165"/>
    </row>
    <row r="94" spans="2:13" s="1123" customFormat="1" ht="21.9" customHeight="1" x14ac:dyDescent="0.25">
      <c r="B94" s="1170">
        <v>1.1000000000000001</v>
      </c>
      <c r="C94" s="1199" t="s">
        <v>1179</v>
      </c>
      <c r="D94" s="1172"/>
      <c r="E94" s="1176"/>
      <c r="F94" s="1188"/>
      <c r="G94" s="1175"/>
      <c r="H94" s="1173"/>
      <c r="I94" s="1174"/>
      <c r="J94" s="1175"/>
      <c r="K94" s="1189"/>
      <c r="L94" s="1178"/>
    </row>
    <row r="95" spans="2:13" s="1123" customFormat="1" ht="21.9" customHeight="1" x14ac:dyDescent="0.25">
      <c r="B95" s="1170"/>
      <c r="C95" s="1206" t="s">
        <v>1014</v>
      </c>
      <c r="D95" s="1172" t="s">
        <v>147</v>
      </c>
      <c r="E95" s="1173">
        <f>OP1_CI!I93</f>
        <v>7</v>
      </c>
      <c r="F95" s="1174">
        <f>OP1_CI!$G93</f>
        <v>21</v>
      </c>
      <c r="G95" s="1175">
        <f>OP1_CI!J93</f>
        <v>147</v>
      </c>
      <c r="H95" s="1225">
        <f>OP1_CI!U93</f>
        <v>0</v>
      </c>
      <c r="I95" s="1226">
        <f>IF(H95=0,0,F95)</f>
        <v>0</v>
      </c>
      <c r="J95" s="1175">
        <f>OP1_CI!V93</f>
        <v>0</v>
      </c>
      <c r="K95" s="1177">
        <f>G95+J95</f>
        <v>147</v>
      </c>
      <c r="L95" s="1178"/>
    </row>
    <row r="96" spans="2:13" s="1123" customFormat="1" ht="21.9" customHeight="1" x14ac:dyDescent="0.25">
      <c r="B96" s="1170"/>
      <c r="C96" s="1206" t="s">
        <v>1180</v>
      </c>
      <c r="D96" s="1172" t="s">
        <v>147</v>
      </c>
      <c r="E96" s="1173">
        <f>OP1_CI!I94</f>
        <v>3.5</v>
      </c>
      <c r="F96" s="1174">
        <f>OP1_CI!$G94</f>
        <v>356</v>
      </c>
      <c r="G96" s="1175">
        <f>OP1_CI!J94</f>
        <v>1246</v>
      </c>
      <c r="H96" s="1227">
        <f>OP1_CI!U94</f>
        <v>0</v>
      </c>
      <c r="I96" s="1226">
        <f>IF(H96=0,0,F96)</f>
        <v>0</v>
      </c>
      <c r="J96" s="1175">
        <f>OP1_CI!V94</f>
        <v>0</v>
      </c>
      <c r="K96" s="1177">
        <f>G96+J96</f>
        <v>1246</v>
      </c>
      <c r="L96" s="1178"/>
    </row>
    <row r="97" spans="2:12" s="1123" customFormat="1" ht="21.9" customHeight="1" x14ac:dyDescent="0.25">
      <c r="B97" s="1170"/>
      <c r="C97" s="1206" t="s">
        <v>1181</v>
      </c>
      <c r="D97" s="1172" t="s">
        <v>147</v>
      </c>
      <c r="E97" s="1173">
        <f>OP1_CI!I95</f>
        <v>1.5</v>
      </c>
      <c r="F97" s="1174">
        <f>OP1_CI!$G95</f>
        <v>751</v>
      </c>
      <c r="G97" s="1175">
        <f>OP1_CI!J95</f>
        <v>1127</v>
      </c>
      <c r="H97" s="1227">
        <f>OP1_CI!U95</f>
        <v>0</v>
      </c>
      <c r="I97" s="1226">
        <f>IF(H97=0,0,F97)</f>
        <v>0</v>
      </c>
      <c r="J97" s="1175">
        <f>OP1_CI!V95</f>
        <v>0</v>
      </c>
      <c r="K97" s="1177">
        <f>G97+J97</f>
        <v>1127</v>
      </c>
      <c r="L97" s="1178"/>
    </row>
    <row r="98" spans="2:12" s="1123" customFormat="1" ht="21.9" customHeight="1" x14ac:dyDescent="0.25">
      <c r="B98" s="1170"/>
      <c r="C98" s="1206"/>
      <c r="D98" s="1172"/>
      <c r="E98" s="1173"/>
      <c r="F98" s="1174"/>
      <c r="G98" s="1175"/>
      <c r="H98" s="1227"/>
      <c r="I98" s="1226"/>
      <c r="J98" s="1175"/>
      <c r="K98" s="1189"/>
      <c r="L98" s="1178"/>
    </row>
    <row r="99" spans="2:12" s="1138" customFormat="1" ht="21.9" customHeight="1" x14ac:dyDescent="0.25">
      <c r="B99" s="1157">
        <v>2</v>
      </c>
      <c r="C99" s="1166" t="s">
        <v>1182</v>
      </c>
      <c r="D99" s="1159"/>
      <c r="E99" s="1200"/>
      <c r="F99" s="1201"/>
      <c r="G99" s="1202"/>
      <c r="H99" s="1200"/>
      <c r="I99" s="1204"/>
      <c r="J99" s="1202"/>
      <c r="K99" s="1205"/>
      <c r="L99" s="1165"/>
    </row>
    <row r="100" spans="2:12" s="1123" customFormat="1" ht="21.9" customHeight="1" x14ac:dyDescent="0.25">
      <c r="B100" s="1170">
        <v>2.1</v>
      </c>
      <c r="C100" s="1199" t="s">
        <v>347</v>
      </c>
      <c r="D100" s="1172"/>
      <c r="E100" s="1173"/>
      <c r="F100" s="1188"/>
      <c r="G100" s="1175"/>
      <c r="H100" s="1173"/>
      <c r="I100" s="1174"/>
      <c r="J100" s="1175"/>
      <c r="K100" s="1177"/>
      <c r="L100" s="1178"/>
    </row>
    <row r="101" spans="2:12" s="1123" customFormat="1" ht="21.9" customHeight="1" x14ac:dyDescent="0.25">
      <c r="B101" s="1170"/>
      <c r="C101" s="1206" t="s">
        <v>137</v>
      </c>
      <c r="D101" s="1172" t="s">
        <v>1134</v>
      </c>
      <c r="E101" s="1222" t="s">
        <v>98</v>
      </c>
      <c r="F101" s="1188">
        <f>OP1_CI!$G97</f>
        <v>5</v>
      </c>
      <c r="G101" s="1175">
        <f>OP1_CI!J97</f>
        <v>600</v>
      </c>
      <c r="H101" s="1173">
        <v>0</v>
      </c>
      <c r="I101" s="1174">
        <v>0</v>
      </c>
      <c r="J101" s="1175">
        <f>OP1_CI!V97</f>
        <v>0</v>
      </c>
      <c r="K101" s="1177">
        <f>G101+J101</f>
        <v>600</v>
      </c>
      <c r="L101" s="1178"/>
    </row>
    <row r="102" spans="2:12" s="1123" customFormat="1" ht="21.9" customHeight="1" x14ac:dyDescent="0.25">
      <c r="B102" s="1170"/>
      <c r="C102" s="1206" t="s">
        <v>1014</v>
      </c>
      <c r="D102" s="1172" t="s">
        <v>1134</v>
      </c>
      <c r="E102" s="1173">
        <f>OP1_CI!I98</f>
        <v>85</v>
      </c>
      <c r="F102" s="1188">
        <f>OP1_CI!$G98</f>
        <v>3</v>
      </c>
      <c r="G102" s="1175">
        <f>OP1_CI!J98</f>
        <v>255</v>
      </c>
      <c r="H102" s="1173">
        <v>0</v>
      </c>
      <c r="I102" s="1174">
        <v>0</v>
      </c>
      <c r="J102" s="1175">
        <f>OP1_CI!V98</f>
        <v>0</v>
      </c>
      <c r="K102" s="1177">
        <f>G102+J102</f>
        <v>255</v>
      </c>
      <c r="L102" s="1178"/>
    </row>
    <row r="103" spans="2:12" s="1123" customFormat="1" ht="21.9" customHeight="1" x14ac:dyDescent="0.25">
      <c r="B103" s="1170"/>
      <c r="C103" s="1206" t="s">
        <v>1180</v>
      </c>
      <c r="D103" s="1172" t="s">
        <v>1134</v>
      </c>
      <c r="E103" s="1173">
        <f>OP1_CI!I99</f>
        <v>60</v>
      </c>
      <c r="F103" s="1188">
        <f>OP1_CI!$G99</f>
        <v>5</v>
      </c>
      <c r="G103" s="1175">
        <f>OP1_CI!J99</f>
        <v>300</v>
      </c>
      <c r="H103" s="1173">
        <v>0</v>
      </c>
      <c r="I103" s="1174">
        <v>0</v>
      </c>
      <c r="J103" s="1175">
        <f>OP1_CI!V99</f>
        <v>0</v>
      </c>
      <c r="K103" s="1177">
        <f>G103+J103</f>
        <v>300</v>
      </c>
      <c r="L103" s="1178"/>
    </row>
    <row r="104" spans="2:12" s="1123" customFormat="1" ht="21.9" customHeight="1" x14ac:dyDescent="0.25">
      <c r="B104" s="1170"/>
      <c r="C104" s="1206" t="s">
        <v>1181</v>
      </c>
      <c r="D104" s="1172" t="s">
        <v>1134</v>
      </c>
      <c r="E104" s="1173">
        <f>OP1_CI!I100</f>
        <v>60</v>
      </c>
      <c r="F104" s="1188">
        <f>OP1_CI!$G100</f>
        <v>8</v>
      </c>
      <c r="G104" s="1175">
        <f>OP1_CI!J100</f>
        <v>480</v>
      </c>
      <c r="H104" s="1173">
        <v>0</v>
      </c>
      <c r="I104" s="1174">
        <v>0</v>
      </c>
      <c r="J104" s="1175">
        <f>OP1_CI!V100</f>
        <v>0</v>
      </c>
      <c r="K104" s="1177">
        <f>G104+J104</f>
        <v>480</v>
      </c>
      <c r="L104" s="1178"/>
    </row>
    <row r="105" spans="2:12" s="1123" customFormat="1" ht="21.9" customHeight="1" x14ac:dyDescent="0.25">
      <c r="B105" s="1170"/>
      <c r="C105" s="1206" t="s">
        <v>353</v>
      </c>
      <c r="D105" s="1172" t="s">
        <v>1134</v>
      </c>
      <c r="E105" s="1173">
        <f>OP1_CI!I101</f>
        <v>60</v>
      </c>
      <c r="F105" s="1188">
        <f>OP1_CI!$G101</f>
        <v>10</v>
      </c>
      <c r="G105" s="1175">
        <f>OP1_CI!J101</f>
        <v>600</v>
      </c>
      <c r="H105" s="1173">
        <v>0</v>
      </c>
      <c r="I105" s="1174">
        <v>0</v>
      </c>
      <c r="J105" s="1175">
        <f>OP1_CI!V101</f>
        <v>0</v>
      </c>
      <c r="K105" s="1177">
        <f>G105+J105</f>
        <v>600</v>
      </c>
      <c r="L105" s="1178"/>
    </row>
    <row r="106" spans="2:12" s="1123" customFormat="1" ht="21.9" customHeight="1" x14ac:dyDescent="0.25">
      <c r="B106" s="1170"/>
      <c r="C106" s="1206"/>
      <c r="D106" s="1172"/>
      <c r="E106" s="1176"/>
      <c r="F106" s="1188"/>
      <c r="G106" s="1175"/>
      <c r="H106" s="1173"/>
      <c r="I106" s="1174"/>
      <c r="J106" s="1175"/>
      <c r="K106" s="1177"/>
      <c r="L106" s="1178"/>
    </row>
    <row r="107" spans="2:12" s="1123" customFormat="1" ht="21.9" customHeight="1" x14ac:dyDescent="0.25">
      <c r="B107" s="1157">
        <v>3</v>
      </c>
      <c r="C107" s="1166" t="s">
        <v>1183</v>
      </c>
      <c r="D107" s="1172"/>
      <c r="E107" s="1176"/>
      <c r="F107" s="1188"/>
      <c r="G107" s="1175"/>
      <c r="H107" s="1173"/>
      <c r="I107" s="1174"/>
      <c r="J107" s="1175"/>
      <c r="K107" s="1177"/>
      <c r="L107" s="1178"/>
    </row>
    <row r="108" spans="2:12" s="1123" customFormat="1" ht="21.9" customHeight="1" x14ac:dyDescent="0.25">
      <c r="B108" s="1170">
        <v>3.1</v>
      </c>
      <c r="C108" s="1199" t="s">
        <v>355</v>
      </c>
      <c r="D108" s="1172"/>
      <c r="E108" s="1176"/>
      <c r="F108" s="1201"/>
      <c r="G108" s="1175"/>
      <c r="H108" s="1173">
        <v>0</v>
      </c>
      <c r="I108" s="1174">
        <v>0</v>
      </c>
      <c r="J108" s="1175"/>
      <c r="K108" s="1177"/>
      <c r="L108" s="1178"/>
    </row>
    <row r="109" spans="2:12" s="1123" customFormat="1" ht="21.9" customHeight="1" x14ac:dyDescent="0.25">
      <c r="B109" s="1170"/>
      <c r="C109" s="1206" t="s">
        <v>137</v>
      </c>
      <c r="D109" s="1172" t="s">
        <v>1134</v>
      </c>
      <c r="E109" s="1220" t="s">
        <v>98</v>
      </c>
      <c r="F109" s="1188">
        <f>OP1_CI!$G103</f>
        <v>0</v>
      </c>
      <c r="G109" s="1175">
        <f>OP1_CI!J103</f>
        <v>0</v>
      </c>
      <c r="H109" s="1173">
        <v>0</v>
      </c>
      <c r="I109" s="1174">
        <v>0</v>
      </c>
      <c r="J109" s="1175">
        <f>OP1_CI!V103</f>
        <v>0</v>
      </c>
      <c r="K109" s="1177">
        <f>G109+J109</f>
        <v>0</v>
      </c>
      <c r="L109" s="1178"/>
    </row>
    <row r="110" spans="2:12" s="1123" customFormat="1" ht="21.9" customHeight="1" x14ac:dyDescent="0.25">
      <c r="B110" s="1170"/>
      <c r="C110" s="1206" t="s">
        <v>1014</v>
      </c>
      <c r="D110" s="1172" t="s">
        <v>1134</v>
      </c>
      <c r="E110" s="1220" t="s">
        <v>98</v>
      </c>
      <c r="F110" s="1188">
        <f>OP1_CI!$G104</f>
        <v>0</v>
      </c>
      <c r="G110" s="1175">
        <f>OP1_CI!J104</f>
        <v>0</v>
      </c>
      <c r="H110" s="1173">
        <v>0</v>
      </c>
      <c r="I110" s="1174">
        <v>0</v>
      </c>
      <c r="J110" s="1175">
        <f>OP1_CI!V104</f>
        <v>0</v>
      </c>
      <c r="K110" s="1177">
        <f>G110+J110</f>
        <v>0</v>
      </c>
      <c r="L110" s="1178"/>
    </row>
    <row r="111" spans="2:12" s="1123" customFormat="1" ht="21.9" customHeight="1" x14ac:dyDescent="0.25">
      <c r="B111" s="1170"/>
      <c r="C111" s="1206" t="s">
        <v>1180</v>
      </c>
      <c r="D111" s="1172" t="s">
        <v>1134</v>
      </c>
      <c r="E111" s="1220" t="s">
        <v>98</v>
      </c>
      <c r="F111" s="1188">
        <f>OP1_CI!$G105</f>
        <v>0</v>
      </c>
      <c r="G111" s="1175">
        <f>OP1_CI!J105</f>
        <v>0</v>
      </c>
      <c r="H111" s="1173">
        <v>0</v>
      </c>
      <c r="I111" s="1174">
        <v>0</v>
      </c>
      <c r="J111" s="1175">
        <f>OP1_CI!V105</f>
        <v>0</v>
      </c>
      <c r="K111" s="1177">
        <f>G111+J111</f>
        <v>0</v>
      </c>
      <c r="L111" s="1178"/>
    </row>
    <row r="112" spans="2:12" s="1123" customFormat="1" ht="21.9" customHeight="1" x14ac:dyDescent="0.25">
      <c r="B112" s="1170"/>
      <c r="C112" s="1206" t="s">
        <v>1181</v>
      </c>
      <c r="D112" s="1172" t="s">
        <v>1134</v>
      </c>
      <c r="E112" s="1220" t="s">
        <v>98</v>
      </c>
      <c r="F112" s="1188">
        <f>OP1_CI!$G106</f>
        <v>0</v>
      </c>
      <c r="G112" s="1175">
        <f>OP1_CI!J106</f>
        <v>0</v>
      </c>
      <c r="H112" s="1173">
        <v>0</v>
      </c>
      <c r="I112" s="1174">
        <v>0</v>
      </c>
      <c r="J112" s="1175">
        <f>OP1_CI!V106</f>
        <v>0</v>
      </c>
      <c r="K112" s="1177">
        <f>G112+J112</f>
        <v>0</v>
      </c>
      <c r="L112" s="1178"/>
    </row>
    <row r="113" spans="2:13" s="1123" customFormat="1" ht="21.9" customHeight="1" x14ac:dyDescent="0.25">
      <c r="B113" s="1170"/>
      <c r="C113" s="1206" t="s">
        <v>353</v>
      </c>
      <c r="D113" s="1172" t="s">
        <v>1134</v>
      </c>
      <c r="E113" s="1173">
        <f>OP1_CI!I107</f>
        <v>90</v>
      </c>
      <c r="F113" s="1188">
        <f>OP1_CI!$G107</f>
        <v>0</v>
      </c>
      <c r="G113" s="1175">
        <f>OP1_CI!J107</f>
        <v>0</v>
      </c>
      <c r="H113" s="1173">
        <v>0</v>
      </c>
      <c r="I113" s="1174">
        <v>0</v>
      </c>
      <c r="J113" s="1175">
        <f>OP1_CI!V107</f>
        <v>0</v>
      </c>
      <c r="K113" s="1177">
        <f>G113+J113</f>
        <v>0</v>
      </c>
      <c r="L113" s="1178"/>
    </row>
    <row r="114" spans="2:13" s="1128" customFormat="1" ht="21.9" customHeight="1" x14ac:dyDescent="0.25">
      <c r="B114" s="1170">
        <v>3.2</v>
      </c>
      <c r="C114" s="1199" t="s">
        <v>365</v>
      </c>
      <c r="D114" s="1172"/>
      <c r="E114" s="1173"/>
      <c r="F114" s="1188"/>
      <c r="G114" s="1175"/>
      <c r="H114" s="1173"/>
      <c r="I114" s="1174"/>
      <c r="J114" s="1175"/>
      <c r="K114" s="1177"/>
      <c r="L114" s="1178"/>
      <c r="M114" s="1123"/>
    </row>
    <row r="115" spans="2:13" s="1128" customFormat="1" ht="21.9" customHeight="1" x14ac:dyDescent="0.25">
      <c r="B115" s="1170"/>
      <c r="C115" s="1199" t="s">
        <v>1184</v>
      </c>
      <c r="D115" s="1172" t="s">
        <v>138</v>
      </c>
      <c r="E115" s="1173">
        <v>25</v>
      </c>
      <c r="F115" s="1188">
        <f>OP1_CI!$G109</f>
        <v>0</v>
      </c>
      <c r="G115" s="1175">
        <f>OP1_CI!J109</f>
        <v>0</v>
      </c>
      <c r="H115" s="1173"/>
      <c r="I115" s="1174"/>
      <c r="J115" s="1175">
        <f>OP1_CI!V109</f>
        <v>0</v>
      </c>
      <c r="K115" s="1177">
        <f>G115+J115</f>
        <v>0</v>
      </c>
      <c r="L115" s="1178"/>
      <c r="M115" s="1123"/>
    </row>
    <row r="116" spans="2:13" s="1128" customFormat="1" ht="21.9" customHeight="1" x14ac:dyDescent="0.25">
      <c r="B116" s="1170"/>
      <c r="C116" s="1199" t="s">
        <v>1185</v>
      </c>
      <c r="D116" s="1172" t="s">
        <v>138</v>
      </c>
      <c r="E116" s="1173">
        <v>10</v>
      </c>
      <c r="F116" s="1188">
        <f>OP1_CI!$G110</f>
        <v>0</v>
      </c>
      <c r="G116" s="1175">
        <f>OP1_CI!J110</f>
        <v>0</v>
      </c>
      <c r="H116" s="1173"/>
      <c r="I116" s="1174"/>
      <c r="J116" s="1175">
        <f>OP1_CI!V110</f>
        <v>0</v>
      </c>
      <c r="K116" s="1177">
        <f>G116+J116</f>
        <v>0</v>
      </c>
      <c r="L116" s="1178"/>
      <c r="M116" s="1123"/>
    </row>
    <row r="117" spans="2:13" s="1128" customFormat="1" ht="21.9" customHeight="1" x14ac:dyDescent="0.25">
      <c r="B117" s="1170"/>
      <c r="C117" s="1199"/>
      <c r="D117" s="1172"/>
      <c r="E117" s="1173"/>
      <c r="F117" s="1188"/>
      <c r="G117" s="1175"/>
      <c r="H117" s="1173"/>
      <c r="I117" s="1174"/>
      <c r="J117" s="1175"/>
      <c r="K117" s="1177"/>
      <c r="L117" s="1178"/>
      <c r="M117" s="1123"/>
    </row>
    <row r="118" spans="2:13" s="1123" customFormat="1" ht="21.9" customHeight="1" x14ac:dyDescent="0.25">
      <c r="B118" s="1157">
        <v>4</v>
      </c>
      <c r="C118" s="1166" t="s">
        <v>1186</v>
      </c>
      <c r="D118" s="1172"/>
      <c r="E118" s="1173"/>
      <c r="F118" s="1188"/>
      <c r="G118" s="1175"/>
      <c r="H118" s="1173"/>
      <c r="I118" s="1174"/>
      <c r="J118" s="1175"/>
      <c r="K118" s="1177"/>
      <c r="L118" s="1178"/>
    </row>
    <row r="119" spans="2:13" s="1123" customFormat="1" ht="21.9" customHeight="1" x14ac:dyDescent="0.25">
      <c r="B119" s="1170">
        <v>4.0999999999999996</v>
      </c>
      <c r="C119" s="1199" t="s">
        <v>372</v>
      </c>
      <c r="D119" s="1172"/>
      <c r="E119" s="1173"/>
      <c r="F119" s="1201"/>
      <c r="G119" s="1175"/>
      <c r="H119" s="1173"/>
      <c r="I119" s="1174"/>
      <c r="J119" s="1175"/>
      <c r="K119" s="1177"/>
      <c r="L119" s="1178"/>
    </row>
    <row r="120" spans="2:13" s="1123" customFormat="1" ht="21.9" customHeight="1" x14ac:dyDescent="0.25">
      <c r="B120" s="1170"/>
      <c r="C120" s="1206" t="s">
        <v>137</v>
      </c>
      <c r="D120" s="1172" t="s">
        <v>1134</v>
      </c>
      <c r="E120" s="1222" t="s">
        <v>98</v>
      </c>
      <c r="F120" s="1188">
        <f>OP1_CI!$G112</f>
        <v>0</v>
      </c>
      <c r="G120" s="1175">
        <f>OP1_CI!J112</f>
        <v>0</v>
      </c>
      <c r="H120" s="1173">
        <v>0</v>
      </c>
      <c r="I120" s="1174">
        <v>0</v>
      </c>
      <c r="J120" s="1175">
        <f>OP1_CI!V112</f>
        <v>0</v>
      </c>
      <c r="K120" s="1177">
        <f>G120+J120</f>
        <v>0</v>
      </c>
      <c r="L120" s="1178"/>
    </row>
    <row r="121" spans="2:13" s="1123" customFormat="1" ht="21.9" customHeight="1" x14ac:dyDescent="0.25">
      <c r="B121" s="1170"/>
      <c r="C121" s="1206" t="s">
        <v>1014</v>
      </c>
      <c r="D121" s="1172" t="s">
        <v>1134</v>
      </c>
      <c r="E121" s="1222" t="s">
        <v>98</v>
      </c>
      <c r="F121" s="1188">
        <f>OP1_CI!$G113</f>
        <v>0</v>
      </c>
      <c r="G121" s="1175">
        <f>OP1_CI!J113</f>
        <v>0</v>
      </c>
      <c r="H121" s="1173">
        <v>0</v>
      </c>
      <c r="I121" s="1174">
        <v>0</v>
      </c>
      <c r="J121" s="1175">
        <f>OP1_CI!V113</f>
        <v>0</v>
      </c>
      <c r="K121" s="1177">
        <f>G121+J121</f>
        <v>0</v>
      </c>
      <c r="L121" s="1178"/>
    </row>
    <row r="122" spans="2:13" s="1123" customFormat="1" ht="21.9" customHeight="1" x14ac:dyDescent="0.25">
      <c r="B122" s="1170"/>
      <c r="C122" s="1206" t="s">
        <v>1180</v>
      </c>
      <c r="D122" s="1172" t="s">
        <v>1134</v>
      </c>
      <c r="E122" s="1222" t="s">
        <v>98</v>
      </c>
      <c r="F122" s="1188">
        <f>OP1_CI!$G114</f>
        <v>0</v>
      </c>
      <c r="G122" s="1175">
        <f>OP1_CI!J114</f>
        <v>0</v>
      </c>
      <c r="H122" s="1173">
        <v>0</v>
      </c>
      <c r="I122" s="1174">
        <v>0</v>
      </c>
      <c r="J122" s="1175">
        <f>OP1_CI!V114</f>
        <v>0</v>
      </c>
      <c r="K122" s="1177">
        <f>G122+J122</f>
        <v>0</v>
      </c>
      <c r="L122" s="1178"/>
    </row>
    <row r="123" spans="2:13" s="1123" customFormat="1" ht="21.9" customHeight="1" x14ac:dyDescent="0.25">
      <c r="B123" s="1170"/>
      <c r="C123" s="1206" t="s">
        <v>1181</v>
      </c>
      <c r="D123" s="1172" t="s">
        <v>1134</v>
      </c>
      <c r="E123" s="1222" t="s">
        <v>98</v>
      </c>
      <c r="F123" s="1188">
        <f>OP1_CI!$G115</f>
        <v>0</v>
      </c>
      <c r="G123" s="1175">
        <f>OP1_CI!J115</f>
        <v>0</v>
      </c>
      <c r="H123" s="1173">
        <v>0</v>
      </c>
      <c r="I123" s="1174">
        <v>0</v>
      </c>
      <c r="J123" s="1175">
        <f>OP1_CI!V115</f>
        <v>0</v>
      </c>
      <c r="K123" s="1177">
        <f>G123+J123</f>
        <v>0</v>
      </c>
      <c r="L123" s="1178"/>
    </row>
    <row r="124" spans="2:13" s="1123" customFormat="1" ht="21.9" customHeight="1" x14ac:dyDescent="0.25">
      <c r="B124" s="1170"/>
      <c r="C124" s="1206" t="s">
        <v>353</v>
      </c>
      <c r="D124" s="1172" t="s">
        <v>1134</v>
      </c>
      <c r="E124" s="1173">
        <f>OP1_CI!I116</f>
        <v>50</v>
      </c>
      <c r="F124" s="1188">
        <f>OP1_CI!$G116</f>
        <v>0</v>
      </c>
      <c r="G124" s="1175">
        <f>OP1_CI!J116</f>
        <v>0</v>
      </c>
      <c r="H124" s="1173">
        <v>0</v>
      </c>
      <c r="I124" s="1174">
        <v>0</v>
      </c>
      <c r="J124" s="1175">
        <f>OP1_CI!V116</f>
        <v>0</v>
      </c>
      <c r="K124" s="1177">
        <f>G124+J124</f>
        <v>0</v>
      </c>
      <c r="L124" s="1178"/>
    </row>
    <row r="125" spans="2:13" s="1128" customFormat="1" ht="21.9" customHeight="1" x14ac:dyDescent="0.25">
      <c r="B125" s="1170">
        <v>4.2</v>
      </c>
      <c r="C125" s="1199" t="s">
        <v>1187</v>
      </c>
      <c r="D125" s="1172"/>
      <c r="E125" s="1173"/>
      <c r="F125" s="1188"/>
      <c r="G125" s="1175"/>
      <c r="H125" s="1173"/>
      <c r="I125" s="1174"/>
      <c r="J125" s="1175"/>
      <c r="K125" s="1177"/>
      <c r="L125" s="1178"/>
      <c r="M125" s="1123"/>
    </row>
    <row r="126" spans="2:13" s="1128" customFormat="1" ht="21.9" customHeight="1" x14ac:dyDescent="0.25">
      <c r="B126" s="1170"/>
      <c r="C126" s="1199" t="s">
        <v>1184</v>
      </c>
      <c r="D126" s="1172" t="s">
        <v>138</v>
      </c>
      <c r="E126" s="1173">
        <f>OP1_CI!I118</f>
        <v>50</v>
      </c>
      <c r="F126" s="1188">
        <f>OP1_CI!$G118</f>
        <v>0</v>
      </c>
      <c r="G126" s="1175">
        <f>OP1_CI!J118</f>
        <v>0</v>
      </c>
      <c r="H126" s="1173">
        <f>OP1_CI!U118</f>
        <v>20</v>
      </c>
      <c r="I126" s="1174">
        <f>F126</f>
        <v>0</v>
      </c>
      <c r="J126" s="1175">
        <f>OP1_CI!V118</f>
        <v>0</v>
      </c>
      <c r="K126" s="1177">
        <f>G126+J126</f>
        <v>0</v>
      </c>
      <c r="L126" s="1178"/>
      <c r="M126" s="1123"/>
    </row>
    <row r="127" spans="2:13" s="1128" customFormat="1" ht="21.9" customHeight="1" x14ac:dyDescent="0.25">
      <c r="B127" s="1170"/>
      <c r="C127" s="1199" t="s">
        <v>1185</v>
      </c>
      <c r="D127" s="1172" t="s">
        <v>138</v>
      </c>
      <c r="E127" s="1173">
        <f>OP1_CI!I119</f>
        <v>20</v>
      </c>
      <c r="F127" s="1188">
        <f>OP1_CI!$G119</f>
        <v>0</v>
      </c>
      <c r="G127" s="1175">
        <f>OP1_CI!J119</f>
        <v>0</v>
      </c>
      <c r="H127" s="1173">
        <f>OP1_CI!U119</f>
        <v>10</v>
      </c>
      <c r="I127" s="1174">
        <f>F127</f>
        <v>0</v>
      </c>
      <c r="J127" s="1175">
        <f>OP1_CI!V119</f>
        <v>0</v>
      </c>
      <c r="K127" s="1177">
        <f>G127+J127</f>
        <v>0</v>
      </c>
      <c r="L127" s="1178"/>
      <c r="M127" s="1123"/>
    </row>
    <row r="128" spans="2:13" s="1128" customFormat="1" ht="21.9" customHeight="1" x14ac:dyDescent="0.25">
      <c r="B128" s="1170"/>
      <c r="C128" s="1199"/>
      <c r="D128" s="1172"/>
      <c r="E128" s="1173"/>
      <c r="F128" s="1188"/>
      <c r="G128" s="1175"/>
      <c r="H128" s="1176"/>
      <c r="I128" s="1174"/>
      <c r="J128" s="1175"/>
      <c r="K128" s="1189"/>
      <c r="L128" s="1178"/>
      <c r="M128" s="1123"/>
    </row>
    <row r="129" spans="2:13" s="1128" customFormat="1" ht="21.9" customHeight="1" x14ac:dyDescent="0.25">
      <c r="B129" s="1157">
        <v>5</v>
      </c>
      <c r="C129" s="1166" t="s">
        <v>1188</v>
      </c>
      <c r="D129" s="1172"/>
      <c r="E129" s="1173"/>
      <c r="F129" s="1188"/>
      <c r="G129" s="1175"/>
      <c r="H129" s="1176"/>
      <c r="I129" s="1174"/>
      <c r="J129" s="1175"/>
      <c r="K129" s="1207"/>
      <c r="L129" s="1215"/>
      <c r="M129" s="1123"/>
    </row>
    <row r="130" spans="2:13" s="1128" customFormat="1" ht="21.9" customHeight="1" x14ac:dyDescent="0.25">
      <c r="B130" s="1170">
        <v>5.0999999999999996</v>
      </c>
      <c r="C130" s="1209" t="s">
        <v>1189</v>
      </c>
      <c r="D130" s="1172" t="s">
        <v>1138</v>
      </c>
      <c r="E130" s="1222" t="s">
        <v>98</v>
      </c>
      <c r="F130" s="1188">
        <f>OP1_CI!$G121</f>
        <v>6300</v>
      </c>
      <c r="G130" s="1175">
        <f>OP1_CI!J121</f>
        <v>0</v>
      </c>
      <c r="H130" s="1176"/>
      <c r="I130" s="1174">
        <v>0</v>
      </c>
      <c r="J130" s="1175"/>
      <c r="K130" s="1207">
        <f>OP1_CI!AA121</f>
        <v>0</v>
      </c>
      <c r="L130" s="1215"/>
      <c r="M130" s="1123"/>
    </row>
    <row r="131" spans="2:13" s="1128" customFormat="1" ht="21.9" customHeight="1" x14ac:dyDescent="0.25">
      <c r="B131" s="1170">
        <v>5.2</v>
      </c>
      <c r="C131" s="1221" t="s">
        <v>836</v>
      </c>
      <c r="D131" s="1172" t="s">
        <v>1070</v>
      </c>
      <c r="E131" s="1173">
        <f>OP1_CI!I122</f>
        <v>40</v>
      </c>
      <c r="F131" s="1188">
        <f>OP1_CI!$G122</f>
        <v>0</v>
      </c>
      <c r="G131" s="1175">
        <f>OP1_CI!J122</f>
        <v>0</v>
      </c>
      <c r="H131" s="1176"/>
      <c r="I131" s="1174">
        <v>0</v>
      </c>
      <c r="J131" s="1175"/>
      <c r="K131" s="1207">
        <f>OP1_CI!AA122</f>
        <v>0</v>
      </c>
      <c r="L131" s="1215"/>
      <c r="M131" s="1123"/>
    </row>
    <row r="132" spans="2:13" s="1128" customFormat="1" ht="21.9" customHeight="1" x14ac:dyDescent="0.25">
      <c r="B132" s="1170"/>
      <c r="C132" s="1199"/>
      <c r="D132" s="1172"/>
      <c r="E132" s="1176"/>
      <c r="F132" s="1188"/>
      <c r="G132" s="1175"/>
      <c r="H132" s="1176"/>
      <c r="I132" s="1174"/>
      <c r="J132" s="1175"/>
      <c r="K132" s="1189"/>
      <c r="L132" s="1178"/>
      <c r="M132" s="1123"/>
    </row>
    <row r="133" spans="2:13" s="1139" customFormat="1" ht="21.9" customHeight="1" thickBot="1" x14ac:dyDescent="0.3">
      <c r="B133" s="1190" t="s">
        <v>1190</v>
      </c>
      <c r="C133" s="1191"/>
      <c r="D133" s="1192"/>
      <c r="E133" s="1223"/>
      <c r="F133" s="1224"/>
      <c r="G133" s="1195">
        <f>SUM(G92:G132)</f>
        <v>4755</v>
      </c>
      <c r="H133" s="1196"/>
      <c r="I133" s="1197"/>
      <c r="J133" s="1195">
        <f>SUM(J92:J132)</f>
        <v>0</v>
      </c>
      <c r="K133" s="1195">
        <f>SUM(K92:K132)</f>
        <v>4755</v>
      </c>
      <c r="L133" s="1198"/>
      <c r="M133" s="1138"/>
    </row>
    <row r="134" spans="2:13" s="1128" customFormat="1" ht="21.9" customHeight="1" x14ac:dyDescent="0.25">
      <c r="B134" s="1210"/>
      <c r="C134" s="1199"/>
      <c r="D134" s="1172"/>
      <c r="E134" s="1176"/>
      <c r="F134" s="1188"/>
      <c r="G134" s="1175"/>
      <c r="H134" s="1176"/>
      <c r="I134" s="1174"/>
      <c r="J134" s="1175"/>
      <c r="K134" s="1207"/>
      <c r="L134" s="1178"/>
      <c r="M134" s="1123"/>
    </row>
    <row r="135" spans="2:13" s="1139" customFormat="1" ht="21.9" customHeight="1" x14ac:dyDescent="0.25">
      <c r="B135" s="1157" t="s">
        <v>1191</v>
      </c>
      <c r="C135" s="1158" t="s">
        <v>1192</v>
      </c>
      <c r="D135" s="1159"/>
      <c r="E135" s="1203"/>
      <c r="F135" s="1201"/>
      <c r="G135" s="1202"/>
      <c r="H135" s="1203"/>
      <c r="I135" s="1204"/>
      <c r="J135" s="1202"/>
      <c r="K135" s="1213"/>
      <c r="L135" s="1165"/>
      <c r="M135" s="1138"/>
    </row>
    <row r="136" spans="2:13" s="1139" customFormat="1" ht="21.9" customHeight="1" x14ac:dyDescent="0.25">
      <c r="B136" s="1157">
        <v>1</v>
      </c>
      <c r="C136" s="1166" t="s">
        <v>1193</v>
      </c>
      <c r="D136" s="1159"/>
      <c r="E136" s="1203"/>
      <c r="F136" s="1201"/>
      <c r="G136" s="1202"/>
      <c r="H136" s="1203"/>
      <c r="I136" s="1204"/>
      <c r="J136" s="1202"/>
      <c r="K136" s="1213"/>
      <c r="L136" s="1165"/>
      <c r="M136" s="1138"/>
    </row>
    <row r="137" spans="2:13" s="1128" customFormat="1" ht="21.9" customHeight="1" x14ac:dyDescent="0.25">
      <c r="B137" s="1170">
        <v>1.1000000000000001</v>
      </c>
      <c r="C137" s="1199" t="s">
        <v>1194</v>
      </c>
      <c r="D137" s="1172" t="s">
        <v>1124</v>
      </c>
      <c r="E137" s="1173">
        <f>OP1_CI!I124</f>
        <v>400</v>
      </c>
      <c r="F137" s="1188">
        <f>OP1_CI!$G124</f>
        <v>0</v>
      </c>
      <c r="G137" s="1175">
        <f>OP1_CI!J124</f>
        <v>0</v>
      </c>
      <c r="H137" s="1176" t="s">
        <v>98</v>
      </c>
      <c r="I137" s="1174">
        <v>1</v>
      </c>
      <c r="J137" s="1175">
        <f>OP1_CI!V124</f>
        <v>0</v>
      </c>
      <c r="K137" s="1207">
        <f>G137+J137</f>
        <v>0</v>
      </c>
      <c r="L137" s="1215"/>
      <c r="M137" s="1123"/>
    </row>
    <row r="138" spans="2:13" s="1128" customFormat="1" ht="21.9" customHeight="1" x14ac:dyDescent="0.25">
      <c r="B138" s="1228"/>
      <c r="C138" s="1229"/>
      <c r="D138" s="1230"/>
      <c r="E138" s="1231"/>
      <c r="F138" s="1232"/>
      <c r="G138" s="1175"/>
      <c r="H138" s="1233"/>
      <c r="I138" s="1234"/>
      <c r="J138" s="1175"/>
      <c r="K138" s="1214"/>
      <c r="L138" s="1235"/>
      <c r="M138" s="1123"/>
    </row>
    <row r="139" spans="2:13" s="1139" customFormat="1" ht="21.9" customHeight="1" thickBot="1" x14ac:dyDescent="0.3">
      <c r="B139" s="1190" t="s">
        <v>1195</v>
      </c>
      <c r="C139" s="1191"/>
      <c r="D139" s="1192"/>
      <c r="E139" s="1236"/>
      <c r="F139" s="1224"/>
      <c r="G139" s="1195">
        <f>SUM(G135:G138)</f>
        <v>0</v>
      </c>
      <c r="H139" s="1193"/>
      <c r="I139" s="1237"/>
      <c r="J139" s="1195">
        <f>SUM(J135:J138)</f>
        <v>0</v>
      </c>
      <c r="K139" s="1195">
        <f>SUM(K135:K138)</f>
        <v>0</v>
      </c>
      <c r="L139" s="1238"/>
      <c r="M139" s="1138"/>
    </row>
    <row r="140" spans="2:13" s="1139" customFormat="1" ht="21.9" customHeight="1" thickBot="1" x14ac:dyDescent="0.3">
      <c r="B140" s="1239" t="s">
        <v>1196</v>
      </c>
      <c r="C140" s="1240"/>
      <c r="D140" s="1241"/>
      <c r="E140" s="1242"/>
      <c r="F140" s="1243"/>
      <c r="G140" s="1244">
        <f>G20+G90+G133+G139</f>
        <v>11582.8</v>
      </c>
      <c r="H140" s="1242"/>
      <c r="I140" s="1245"/>
      <c r="J140" s="1244">
        <f>J20+J90+J133+J139</f>
        <v>7742</v>
      </c>
      <c r="K140" s="1244">
        <f>K20+K90+K133+K139</f>
        <v>19324.8</v>
      </c>
      <c r="L140" s="1246"/>
      <c r="M140" s="1247"/>
    </row>
    <row r="141" spans="2:13" s="1128" customFormat="1" ht="21.9" customHeight="1" x14ac:dyDescent="0.25">
      <c r="B141" s="1248" t="s">
        <v>1197</v>
      </c>
      <c r="C141" s="1249"/>
      <c r="D141" s="1249"/>
      <c r="E141" s="1250"/>
      <c r="F141" s="1250"/>
      <c r="G141" s="1250"/>
      <c r="H141" s="1250"/>
      <c r="I141" s="1250"/>
      <c r="J141" s="1250"/>
      <c r="K141" s="1249"/>
      <c r="L141" s="1251"/>
      <c r="M141" s="1123"/>
    </row>
    <row r="142" spans="2:13" s="1128" customFormat="1" ht="21.9" customHeight="1" x14ac:dyDescent="0.25">
      <c r="B142" s="1252" t="s">
        <v>1198</v>
      </c>
      <c r="D142" s="1123"/>
      <c r="E142" s="1253"/>
      <c r="F142" s="1123"/>
      <c r="G142" s="1253"/>
      <c r="H142" s="1254"/>
      <c r="I142" s="1123"/>
      <c r="J142" s="1123"/>
      <c r="K142" s="1123"/>
      <c r="L142" s="1255"/>
      <c r="M142" s="1123"/>
    </row>
    <row r="143" spans="2:13" s="1128" customFormat="1" ht="21.9" customHeight="1" x14ac:dyDescent="0.25">
      <c r="B143" s="1252"/>
      <c r="D143" s="1123"/>
      <c r="E143" s="1253"/>
      <c r="F143" s="1253"/>
      <c r="G143" s="1253"/>
      <c r="H143" s="1253"/>
      <c r="I143" s="1253"/>
      <c r="J143" s="1253"/>
      <c r="K143" s="1123"/>
      <c r="L143" s="1255"/>
      <c r="M143" s="1123"/>
    </row>
    <row r="144" spans="2:13" s="1128" customFormat="1" ht="21.9" customHeight="1" thickBot="1" x14ac:dyDescent="0.3">
      <c r="B144" s="1256"/>
      <c r="C144" s="1257"/>
      <c r="D144" s="1257"/>
      <c r="E144" s="1258"/>
      <c r="F144" s="1258"/>
      <c r="G144" s="1258"/>
      <c r="H144" s="1258"/>
      <c r="I144" s="1258"/>
      <c r="J144" s="1258"/>
      <c r="K144" s="1257"/>
      <c r="L144" s="1259"/>
      <c r="M144" s="1123"/>
    </row>
    <row r="145" spans="2:13" s="1128" customFormat="1" ht="9.9" customHeight="1" x14ac:dyDescent="0.25">
      <c r="B145" s="1123"/>
      <c r="C145" s="1124"/>
      <c r="D145" s="1124"/>
      <c r="E145" s="1253"/>
      <c r="F145" s="1253"/>
      <c r="G145" s="1253"/>
      <c r="H145" s="1253"/>
      <c r="I145" s="1253"/>
      <c r="J145" s="1253"/>
      <c r="K145" s="1123"/>
      <c r="L145" s="1123"/>
      <c r="M145" s="1123"/>
    </row>
    <row r="146" spans="2:13" s="1128" customFormat="1" ht="21.9" customHeight="1" x14ac:dyDescent="0.25">
      <c r="B146" s="1123"/>
      <c r="C146" s="1260"/>
      <c r="D146" s="1261" t="s">
        <v>1199</v>
      </c>
      <c r="E146" s="1261"/>
      <c r="F146" s="1262">
        <f>OP1_CI!F128</f>
        <v>165</v>
      </c>
      <c r="G146" s="1263"/>
      <c r="H146" s="1264"/>
      <c r="I146" s="1265"/>
      <c r="J146" s="1263"/>
      <c r="K146" s="1266"/>
      <c r="L146" s="1260"/>
      <c r="M146" s="1123"/>
    </row>
    <row r="147" spans="2:13" s="1128" customFormat="1" ht="21.9" customHeight="1" x14ac:dyDescent="0.25">
      <c r="B147" s="1123"/>
      <c r="C147" s="1260"/>
      <c r="D147" s="1261" t="s">
        <v>1200</v>
      </c>
      <c r="E147" s="1261"/>
      <c r="F147" s="1261">
        <f>OP1_CI!J129</f>
        <v>70.198787878787869</v>
      </c>
      <c r="G147" s="1267"/>
      <c r="H147" s="1264"/>
      <c r="I147" s="1261" t="s">
        <v>1201</v>
      </c>
      <c r="J147" s="1267"/>
      <c r="K147" s="1261">
        <f>OP1_CI!V129</f>
        <v>46.921212121212122</v>
      </c>
      <c r="L147" s="1261">
        <f>SUM(F147,K147)</f>
        <v>117.11999999999999</v>
      </c>
      <c r="M147" s="1123"/>
    </row>
    <row r="148" spans="2:13" s="1128" customFormat="1" ht="21.9" customHeight="1" x14ac:dyDescent="0.25">
      <c r="B148" s="1123"/>
      <c r="C148" s="1260"/>
      <c r="D148" s="1261" t="s">
        <v>1202</v>
      </c>
      <c r="E148" s="1261"/>
      <c r="F148" s="1261">
        <f>OP1_CI!F129</f>
        <v>12</v>
      </c>
      <c r="G148" s="1268" t="s">
        <v>1203</v>
      </c>
      <c r="H148" s="1265"/>
      <c r="I148" s="1261" t="s">
        <v>1204</v>
      </c>
      <c r="J148" s="1269"/>
      <c r="K148" s="1269">
        <f>OP1_CI!F130</f>
        <v>32000</v>
      </c>
      <c r="L148" s="1270" t="s">
        <v>1099</v>
      </c>
      <c r="M148" s="1123"/>
    </row>
    <row r="149" spans="2:13" s="1128" customFormat="1" ht="21.9" customHeight="1" x14ac:dyDescent="0.25">
      <c r="B149" s="1123"/>
      <c r="C149" s="1260"/>
      <c r="D149" s="1261" t="s">
        <v>1205</v>
      </c>
      <c r="E149" s="1261"/>
      <c r="F149" s="1261">
        <f>OP1_CI!J130</f>
        <v>5.849898989898989</v>
      </c>
      <c r="G149" s="1268" t="s">
        <v>118</v>
      </c>
      <c r="H149" s="1265"/>
      <c r="I149" s="1261" t="s">
        <v>1206</v>
      </c>
      <c r="J149" s="1271">
        <f>J140*K148</f>
        <v>247744000</v>
      </c>
      <c r="K149" s="1271"/>
      <c r="L149" s="1270" t="s">
        <v>1099</v>
      </c>
      <c r="M149" s="1123"/>
    </row>
    <row r="150" spans="2:13" s="1128" customFormat="1" ht="9.9" customHeight="1" x14ac:dyDescent="0.25">
      <c r="B150" s="1123"/>
      <c r="C150" s="1123"/>
      <c r="D150" s="1123"/>
      <c r="E150" s="1272"/>
      <c r="F150" s="1272"/>
      <c r="G150" s="1272"/>
      <c r="H150" s="1272"/>
      <c r="I150" s="1272"/>
      <c r="J150" s="1272"/>
      <c r="K150" s="1273"/>
      <c r="L150" s="1123"/>
      <c r="M150" s="1123"/>
    </row>
    <row r="151" spans="2:13" s="1128" customFormat="1" ht="20.100000000000001" customHeight="1" x14ac:dyDescent="0.25">
      <c r="B151" s="1123"/>
      <c r="C151" s="1123"/>
      <c r="D151" s="1123"/>
      <c r="E151" s="1274"/>
      <c r="F151" s="1253"/>
      <c r="G151" s="1275"/>
      <c r="H151" s="1276"/>
      <c r="I151" s="1277" t="s">
        <v>1207</v>
      </c>
      <c r="J151" s="1253"/>
      <c r="K151" s="1253"/>
      <c r="L151" s="1123"/>
      <c r="M151" s="1123"/>
    </row>
    <row r="152" spans="2:13" s="1128" customFormat="1" ht="20.100000000000001" customHeight="1" x14ac:dyDescent="0.25">
      <c r="B152" s="1123"/>
      <c r="C152" s="1123"/>
      <c r="D152" s="1123"/>
      <c r="E152" s="1274"/>
      <c r="F152" s="1253"/>
      <c r="G152" s="1275"/>
      <c r="H152" s="1276"/>
      <c r="I152" s="1278" t="s">
        <v>1208</v>
      </c>
      <c r="J152" s="1279" t="s">
        <v>1209</v>
      </c>
      <c r="K152" s="1279" t="s">
        <v>1210</v>
      </c>
      <c r="L152" s="1123"/>
      <c r="M152" s="1123"/>
    </row>
    <row r="153" spans="2:13" s="1128" customFormat="1" ht="20.100000000000001" customHeight="1" x14ac:dyDescent="0.25">
      <c r="B153" s="1123"/>
      <c r="C153" s="1123"/>
      <c r="D153" s="1123"/>
      <c r="E153" s="1274"/>
      <c r="F153" s="1253"/>
      <c r="G153" s="1275"/>
      <c r="H153" s="1276"/>
      <c r="I153" s="1280" t="s">
        <v>1211</v>
      </c>
      <c r="J153" s="1281"/>
      <c r="K153" s="1281"/>
      <c r="L153" s="1123"/>
      <c r="M153" s="1123"/>
    </row>
    <row r="154" spans="2:13" s="1128" customFormat="1" ht="20.100000000000001" customHeight="1" x14ac:dyDescent="0.25">
      <c r="B154" s="1123"/>
      <c r="C154" s="1123"/>
      <c r="D154" s="1123"/>
      <c r="E154" s="1274"/>
      <c r="F154" s="1253"/>
      <c r="G154" s="1275"/>
      <c r="H154" s="1276"/>
      <c r="I154" s="1280" t="s">
        <v>1212</v>
      </c>
      <c r="J154" s="1281"/>
      <c r="K154" s="1281"/>
      <c r="L154" s="1123"/>
      <c r="M154" s="1123"/>
    </row>
    <row r="155" spans="2:13" s="1128" customFormat="1" ht="20.100000000000001" customHeight="1" x14ac:dyDescent="0.25">
      <c r="B155" s="1123"/>
      <c r="C155" s="1123"/>
      <c r="D155" s="1123"/>
      <c r="E155" s="1123"/>
      <c r="F155" s="1253"/>
      <c r="G155" s="1253"/>
      <c r="H155" s="1276"/>
      <c r="I155" s="1280" t="s">
        <v>1213</v>
      </c>
      <c r="J155" s="1281"/>
      <c r="K155" s="1281"/>
      <c r="L155" s="1123"/>
      <c r="M155" s="1123"/>
    </row>
    <row r="156" spans="2:13" s="1128" customFormat="1" ht="20.100000000000001" customHeight="1" x14ac:dyDescent="0.25">
      <c r="B156" s="1123"/>
      <c r="C156" s="1123"/>
      <c r="D156" s="1123"/>
      <c r="E156" s="1123"/>
      <c r="F156" s="1253"/>
      <c r="G156" s="1253"/>
      <c r="H156" s="1276"/>
      <c r="I156" s="1280" t="s">
        <v>1182</v>
      </c>
      <c r="J156" s="1281"/>
      <c r="K156" s="1281"/>
      <c r="L156" s="1123"/>
      <c r="M156" s="1123"/>
    </row>
    <row r="157" spans="2:13" s="1128" customFormat="1" ht="20.100000000000001" customHeight="1" x14ac:dyDescent="0.25">
      <c r="B157" s="1123"/>
      <c r="C157" s="1123"/>
      <c r="D157" s="1123"/>
      <c r="E157" s="1123"/>
      <c r="F157" s="1253"/>
      <c r="G157" s="1253"/>
      <c r="H157" s="1276"/>
      <c r="I157" s="1280" t="s">
        <v>1214</v>
      </c>
      <c r="J157" s="1281"/>
      <c r="K157" s="1281"/>
      <c r="L157" s="1123"/>
      <c r="M157" s="1123"/>
    </row>
    <row r="158" spans="2:13" s="1128" customFormat="1" ht="20.100000000000001" customHeight="1" x14ac:dyDescent="0.25">
      <c r="B158" s="1123"/>
      <c r="C158" s="1123"/>
      <c r="D158" s="1123"/>
      <c r="E158" s="1253"/>
      <c r="F158" s="1253"/>
      <c r="G158" s="1253"/>
      <c r="H158" s="1276"/>
      <c r="I158" s="1280" t="s">
        <v>1215</v>
      </c>
      <c r="J158" s="1281"/>
      <c r="K158" s="1281"/>
      <c r="L158" s="1123"/>
      <c r="M158" s="1123"/>
    </row>
    <row r="159" spans="2:13" s="1128" customFormat="1" ht="20.100000000000001" customHeight="1" x14ac:dyDescent="0.25">
      <c r="B159" s="1123"/>
      <c r="C159" s="1123"/>
      <c r="D159" s="1123"/>
      <c r="E159" s="1253"/>
      <c r="F159" s="1253"/>
      <c r="G159" s="1253"/>
      <c r="H159" s="1276"/>
      <c r="I159" s="1280" t="s">
        <v>1216</v>
      </c>
      <c r="J159" s="1281"/>
      <c r="K159" s="1281"/>
      <c r="L159" s="1123"/>
      <c r="M159" s="1123"/>
    </row>
    <row r="160" spans="2:13" s="1128" customFormat="1" ht="12" x14ac:dyDescent="0.25">
      <c r="B160" s="1123"/>
      <c r="C160" s="1123"/>
      <c r="D160" s="1123"/>
      <c r="E160" s="1254"/>
      <c r="F160" s="1274"/>
      <c r="G160" s="1274"/>
      <c r="H160" s="1123"/>
      <c r="I160" s="1123"/>
      <c r="J160" s="1123"/>
      <c r="K160" s="1123"/>
      <c r="L160" s="1123"/>
      <c r="M160" s="1123"/>
    </row>
    <row r="161" spans="2:13" x14ac:dyDescent="0.25">
      <c r="B161" s="1118"/>
      <c r="C161" s="1282"/>
      <c r="D161" s="1118"/>
      <c r="E161" s="1283"/>
      <c r="F161" s="1138"/>
      <c r="G161" s="1138"/>
      <c r="H161" s="1138"/>
      <c r="I161" s="1138"/>
      <c r="J161" s="1138"/>
      <c r="K161" s="1138"/>
      <c r="L161" s="1138"/>
      <c r="M161" s="1118"/>
    </row>
    <row r="163" spans="2:13" x14ac:dyDescent="0.25">
      <c r="E163" s="1284"/>
    </row>
  </sheetData>
  <mergeCells count="5">
    <mergeCell ref="C4:C5"/>
    <mergeCell ref="D4:D5"/>
    <mergeCell ref="K4:K5"/>
    <mergeCell ref="L4:L5"/>
    <mergeCell ref="J149:K149"/>
  </mergeCells>
  <printOptions gridLinesSet="0"/>
  <pageMargins left="0.55118110236220474" right="0.15748031496062992" top="0.47244094488188981" bottom="0.43307086614173229" header="0.27559055118110237" footer="0.31496062992125984"/>
  <pageSetup paperSize="8" scale="71" fitToHeight="0" orientation="portrait" r:id="rId1"/>
  <headerFooter alignWithMargins="0"/>
  <rowBreaks count="2" manualBreakCount="2">
    <brk id="70" max="12" man="1"/>
    <brk id="133" max="1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4603A-9ED0-4B2F-AD84-FC5BBCBEABDD}">
  <sheetPr>
    <tabColor rgb="FFFFC000"/>
    <pageSetUpPr fitToPage="1"/>
  </sheetPr>
  <dimension ref="B1:Q164"/>
  <sheetViews>
    <sheetView showGridLines="0" showZeros="0" view="pageBreakPreview" zoomScale="85" zoomScaleNormal="85" zoomScaleSheetLayoutView="85" workbookViewId="0">
      <pane xSplit="2" ySplit="5" topLeftCell="C27" activePane="bottomRight" state="frozen"/>
      <selection activeCell="J114" sqref="J114"/>
      <selection pane="topRight" activeCell="J114" sqref="J114"/>
      <selection pane="bottomLeft" activeCell="J114" sqref="J114"/>
      <selection pane="bottomRight" activeCell="J114" sqref="J114"/>
    </sheetView>
  </sheetViews>
  <sheetFormatPr defaultColWidth="8" defaultRowHeight="14.4" x14ac:dyDescent="0.25"/>
  <cols>
    <col min="1" max="1" width="1.796875" style="1120" customWidth="1"/>
    <col min="2" max="2" width="8.796875" style="1120" customWidth="1"/>
    <col min="3" max="3" width="40.796875" style="1120" customWidth="1"/>
    <col min="4" max="4" width="6.796875" style="1120" customWidth="1"/>
    <col min="5" max="6" width="9.796875" style="1285" customWidth="1"/>
    <col min="7" max="10" width="10.59765625" style="1285" customWidth="1"/>
    <col min="11" max="12" width="9.796875" style="1286" customWidth="1"/>
    <col min="13" max="13" width="10.59765625" style="1286" customWidth="1"/>
    <col min="14" max="14" width="16.69921875" style="1286" customWidth="1"/>
    <col min="15" max="15" width="30.796875" style="1285" customWidth="1"/>
    <col min="16" max="16" width="1.796875" style="1120" customWidth="1"/>
    <col min="17" max="16384" width="8" style="1120"/>
  </cols>
  <sheetData>
    <row r="1" spans="2:17" ht="35.1" customHeight="1" x14ac:dyDescent="0.25">
      <c r="B1" s="1115" t="s">
        <v>1109</v>
      </c>
      <c r="C1" s="1116"/>
      <c r="D1" s="1116"/>
      <c r="E1" s="1117"/>
      <c r="F1" s="1117"/>
      <c r="G1" s="1117"/>
      <c r="H1" s="1117"/>
      <c r="I1" s="1117"/>
      <c r="J1" s="1117"/>
      <c r="K1" s="1117"/>
      <c r="L1" s="1117"/>
      <c r="M1" s="1117"/>
      <c r="N1" s="1116"/>
      <c r="O1" s="1116"/>
      <c r="P1" s="1118"/>
      <c r="Q1" s="1287" t="s">
        <v>1217</v>
      </c>
    </row>
    <row r="2" spans="2:17" ht="35.1" customHeight="1" x14ac:dyDescent="0.25">
      <c r="B2" s="1288" t="str">
        <f>CONCATENATE("GEC &amp; 외주-단종 Case [",산출기준_CI!A5,"]")</f>
        <v>GEC &amp; 외주-단종 Case [일반 Ver.]</v>
      </c>
      <c r="C2" s="1116"/>
      <c r="D2" s="1116"/>
      <c r="E2" s="1117"/>
      <c r="F2" s="1117"/>
      <c r="G2" s="1117"/>
      <c r="H2" s="1117"/>
      <c r="I2" s="1117"/>
      <c r="J2" s="1117"/>
      <c r="K2" s="1117"/>
      <c r="L2" s="1117"/>
      <c r="M2" s="1117"/>
      <c r="N2" s="1116"/>
      <c r="O2" s="1116"/>
      <c r="P2" s="1118"/>
      <c r="Q2" s="1122" t="s">
        <v>990</v>
      </c>
    </row>
    <row r="3" spans="2:17" s="1128" customFormat="1" ht="20.100000000000001" customHeight="1" thickBot="1" x14ac:dyDescent="0.3">
      <c r="B3" s="1123" t="str">
        <f>OP1_CI!A15</f>
        <v>PROJECT: Promigas CPF Project</v>
      </c>
      <c r="C3" s="1124"/>
      <c r="D3" s="1125"/>
      <c r="E3" s="1126"/>
      <c r="F3" s="1126"/>
      <c r="G3" s="1126"/>
      <c r="H3" s="1126"/>
      <c r="I3" s="1126"/>
      <c r="J3" s="1126"/>
      <c r="K3" s="1126"/>
      <c r="L3" s="1126"/>
      <c r="M3" s="1126"/>
      <c r="N3" s="1125"/>
      <c r="O3" s="1127">
        <f>Input_CI!AK5</f>
        <v>46255</v>
      </c>
      <c r="P3" s="1123"/>
      <c r="Q3" s="1122" t="s">
        <v>1111</v>
      </c>
    </row>
    <row r="4" spans="2:17" s="1139" customFormat="1" ht="21.9" customHeight="1" x14ac:dyDescent="0.25">
      <c r="B4" s="1129" t="s">
        <v>1112</v>
      </c>
      <c r="C4" s="1130" t="s">
        <v>1113</v>
      </c>
      <c r="D4" s="1131" t="s">
        <v>1114</v>
      </c>
      <c r="E4" s="1132" t="s">
        <v>1115</v>
      </c>
      <c r="F4" s="1133"/>
      <c r="G4" s="1134"/>
      <c r="H4" s="1132" t="s">
        <v>1218</v>
      </c>
      <c r="I4" s="1133"/>
      <c r="J4" s="1134"/>
      <c r="K4" s="1132" t="s">
        <v>1219</v>
      </c>
      <c r="L4" s="1133"/>
      <c r="M4" s="1134"/>
      <c r="N4" s="1136" t="s">
        <v>987</v>
      </c>
      <c r="O4" s="1137" t="s">
        <v>1117</v>
      </c>
      <c r="P4" s="1138"/>
    </row>
    <row r="5" spans="2:17" s="1139" customFormat="1" ht="21.9" customHeight="1" thickBot="1" x14ac:dyDescent="0.3">
      <c r="B5" s="1140" t="s">
        <v>1118</v>
      </c>
      <c r="C5" s="1141"/>
      <c r="D5" s="1142"/>
      <c r="E5" s="1143" t="s">
        <v>1003</v>
      </c>
      <c r="F5" s="1144" t="s">
        <v>1119</v>
      </c>
      <c r="G5" s="1289" t="s">
        <v>1120</v>
      </c>
      <c r="H5" s="1143" t="s">
        <v>1003</v>
      </c>
      <c r="I5" s="1144" t="s">
        <v>1119</v>
      </c>
      <c r="J5" s="1289" t="s">
        <v>1120</v>
      </c>
      <c r="K5" s="1143" t="s">
        <v>1003</v>
      </c>
      <c r="L5" s="1144" t="s">
        <v>1119</v>
      </c>
      <c r="M5" s="1145" t="s">
        <v>1120</v>
      </c>
      <c r="N5" s="1146"/>
      <c r="O5" s="1147"/>
      <c r="P5" s="1138"/>
    </row>
    <row r="6" spans="2:17" s="1123" customFormat="1" ht="21.9" customHeight="1" thickTop="1" x14ac:dyDescent="0.25">
      <c r="B6" s="1148"/>
      <c r="C6" s="1149"/>
      <c r="D6" s="1150"/>
      <c r="E6" s="1290"/>
      <c r="F6" s="1291"/>
      <c r="G6" s="1292"/>
      <c r="H6" s="1290"/>
      <c r="I6" s="1291"/>
      <c r="J6" s="1293"/>
      <c r="K6" s="1294"/>
      <c r="L6" s="1291"/>
      <c r="M6" s="1293"/>
      <c r="N6" s="1295"/>
      <c r="O6" s="1296"/>
    </row>
    <row r="7" spans="2:17" s="1138" customFormat="1" ht="21.9" customHeight="1" x14ac:dyDescent="0.25">
      <c r="B7" s="1157" t="s">
        <v>1121</v>
      </c>
      <c r="C7" s="1158" t="s">
        <v>1122</v>
      </c>
      <c r="D7" s="1159"/>
      <c r="E7" s="1203"/>
      <c r="F7" s="1201"/>
      <c r="G7" s="1297"/>
      <c r="H7" s="1200"/>
      <c r="I7" s="1298"/>
      <c r="J7" s="1299"/>
      <c r="K7" s="1203"/>
      <c r="L7" s="1201"/>
      <c r="M7" s="1299"/>
      <c r="N7" s="1300"/>
      <c r="O7" s="1301"/>
    </row>
    <row r="8" spans="2:17" s="1138" customFormat="1" ht="21.9" customHeight="1" x14ac:dyDescent="0.25">
      <c r="B8" s="1157">
        <v>1</v>
      </c>
      <c r="C8" s="1166" t="s">
        <v>672</v>
      </c>
      <c r="D8" s="1159"/>
      <c r="E8" s="1203"/>
      <c r="F8" s="1201"/>
      <c r="G8" s="1302"/>
      <c r="H8" s="1303"/>
      <c r="I8" s="1304"/>
      <c r="J8" s="1305"/>
      <c r="K8" s="1203"/>
      <c r="L8" s="1201"/>
      <c r="M8" s="1305"/>
      <c r="N8" s="1306"/>
      <c r="O8" s="1301"/>
    </row>
    <row r="9" spans="2:17" s="1123" customFormat="1" ht="21.9" customHeight="1" x14ac:dyDescent="0.25">
      <c r="B9" s="1170">
        <v>1.1000000000000001</v>
      </c>
      <c r="C9" s="1199" t="s">
        <v>1123</v>
      </c>
      <c r="D9" s="1172" t="s">
        <v>1124</v>
      </c>
      <c r="E9" s="1173">
        <f>OP1_CI!K21</f>
        <v>84</v>
      </c>
      <c r="F9" s="1174">
        <f>OP1_CI!G21</f>
        <v>1</v>
      </c>
      <c r="G9" s="1307">
        <f>OP1_CI!L21</f>
        <v>84</v>
      </c>
      <c r="H9" s="1173">
        <f>OP1_CI!O21</f>
        <v>51.428571428571431</v>
      </c>
      <c r="I9" s="1174">
        <f>F9</f>
        <v>1</v>
      </c>
      <c r="J9" s="1307">
        <f>OP1_CI!P21</f>
        <v>51</v>
      </c>
      <c r="K9" s="1173"/>
      <c r="L9" s="1174"/>
      <c r="M9" s="1308"/>
      <c r="N9" s="1309">
        <f>G9+J9+M9</f>
        <v>135</v>
      </c>
      <c r="O9" s="1310"/>
    </row>
    <row r="10" spans="2:17" s="1123" customFormat="1" ht="21.9" customHeight="1" x14ac:dyDescent="0.25">
      <c r="B10" s="1170">
        <v>1.2</v>
      </c>
      <c r="C10" s="1199" t="s">
        <v>103</v>
      </c>
      <c r="D10" s="1172" t="s">
        <v>1124</v>
      </c>
      <c r="E10" s="1173">
        <f>OP1_CI!K22</f>
        <v>125.99999999999999</v>
      </c>
      <c r="F10" s="1174">
        <f>OP1_CI!G22</f>
        <v>1</v>
      </c>
      <c r="G10" s="1307">
        <f>OP1_CI!L22</f>
        <v>126</v>
      </c>
      <c r="H10" s="1173">
        <f>OP1_CI!O22</f>
        <v>77.142857142857153</v>
      </c>
      <c r="I10" s="1174">
        <f t="shared" ref="I10:I18" si="0">F10</f>
        <v>1</v>
      </c>
      <c r="J10" s="1307">
        <f>OP1_CI!P22</f>
        <v>77</v>
      </c>
      <c r="K10" s="1173"/>
      <c r="L10" s="1174"/>
      <c r="M10" s="1308"/>
      <c r="N10" s="1309">
        <f t="shared" ref="N10:N18" si="1">G10+J10+M10</f>
        <v>203</v>
      </c>
      <c r="O10" s="1310"/>
    </row>
    <row r="11" spans="2:17" s="1123" customFormat="1" ht="21.9" customHeight="1" x14ac:dyDescent="0.25">
      <c r="B11" s="1170">
        <v>1.3</v>
      </c>
      <c r="C11" s="1199" t="s">
        <v>682</v>
      </c>
      <c r="D11" s="1172" t="s">
        <v>1124</v>
      </c>
      <c r="E11" s="1173">
        <f>OP1_CI!K23</f>
        <v>80</v>
      </c>
      <c r="F11" s="1174">
        <f>OP1_CI!G23</f>
        <v>1</v>
      </c>
      <c r="G11" s="1307">
        <f>OP1_CI!L23</f>
        <v>80</v>
      </c>
      <c r="H11" s="1173">
        <f>OP1_CI!O23</f>
        <v>0</v>
      </c>
      <c r="I11" s="1174">
        <f t="shared" si="0"/>
        <v>1</v>
      </c>
      <c r="J11" s="1307">
        <f>OP1_CI!P23</f>
        <v>0</v>
      </c>
      <c r="K11" s="1173"/>
      <c r="L11" s="1174"/>
      <c r="M11" s="1308"/>
      <c r="N11" s="1309">
        <f>G11+J11+M11</f>
        <v>80</v>
      </c>
      <c r="O11" s="1310"/>
    </row>
    <row r="12" spans="2:17" s="1123" customFormat="1" ht="21.9" customHeight="1" x14ac:dyDescent="0.25">
      <c r="B12" s="1170"/>
      <c r="C12" s="1199"/>
      <c r="D12" s="1172"/>
      <c r="E12" s="1173"/>
      <c r="F12" s="1174"/>
      <c r="G12" s="1307"/>
      <c r="H12" s="1173"/>
      <c r="I12" s="1174"/>
      <c r="J12" s="1307"/>
      <c r="K12" s="1173"/>
      <c r="L12" s="1174"/>
      <c r="M12" s="1308"/>
      <c r="N12" s="1309"/>
      <c r="O12" s="1310"/>
    </row>
    <row r="13" spans="2:17" s="1123" customFormat="1" ht="21.9" customHeight="1" x14ac:dyDescent="0.25">
      <c r="B13" s="1157">
        <v>2</v>
      </c>
      <c r="C13" s="1166" t="s">
        <v>688</v>
      </c>
      <c r="D13" s="1311"/>
      <c r="E13" s="1312"/>
      <c r="F13" s="1313"/>
      <c r="G13" s="1314"/>
      <c r="H13" s="1312"/>
      <c r="I13" s="1174"/>
      <c r="J13" s="1314"/>
      <c r="K13" s="1312"/>
      <c r="L13" s="1313"/>
      <c r="M13" s="1315"/>
      <c r="N13" s="1309"/>
      <c r="O13" s="1316"/>
    </row>
    <row r="14" spans="2:17" s="1123" customFormat="1" ht="21.9" customHeight="1" x14ac:dyDescent="0.25">
      <c r="B14" s="1170">
        <v>2.1</v>
      </c>
      <c r="C14" s="1199" t="s">
        <v>1125</v>
      </c>
      <c r="D14" s="1172" t="s">
        <v>1124</v>
      </c>
      <c r="E14" s="1173">
        <f>OP1_CI!K24</f>
        <v>237.99999999999997</v>
      </c>
      <c r="F14" s="1174">
        <f>OP1_CI!G24</f>
        <v>1</v>
      </c>
      <c r="G14" s="1307">
        <f>OP1_CI!L24</f>
        <v>238</v>
      </c>
      <c r="H14" s="1173">
        <f>OP1_CI!O24</f>
        <v>145.71428571428572</v>
      </c>
      <c r="I14" s="1174">
        <f t="shared" si="0"/>
        <v>1</v>
      </c>
      <c r="J14" s="1307">
        <f>OP1_CI!P24</f>
        <v>146</v>
      </c>
      <c r="K14" s="1173"/>
      <c r="L14" s="1174"/>
      <c r="M14" s="1308"/>
      <c r="N14" s="1309">
        <f t="shared" si="1"/>
        <v>384</v>
      </c>
      <c r="O14" s="1310"/>
    </row>
    <row r="15" spans="2:17" s="1123" customFormat="1" ht="21.9" customHeight="1" x14ac:dyDescent="0.25">
      <c r="B15" s="1170">
        <v>2.2000000000000002</v>
      </c>
      <c r="C15" s="1199" t="s">
        <v>117</v>
      </c>
      <c r="D15" s="1172" t="s">
        <v>1124</v>
      </c>
      <c r="E15" s="1222" t="s">
        <v>98</v>
      </c>
      <c r="F15" s="1174">
        <v>1</v>
      </c>
      <c r="G15" s="1307">
        <f>OP1_CI!L25</f>
        <v>280</v>
      </c>
      <c r="H15" s="1222" t="s">
        <v>98</v>
      </c>
      <c r="I15" s="1174">
        <f t="shared" si="0"/>
        <v>1</v>
      </c>
      <c r="J15" s="1307">
        <f>OP1_CI!P25</f>
        <v>171</v>
      </c>
      <c r="K15" s="1222"/>
      <c r="L15" s="1174"/>
      <c r="M15" s="1308"/>
      <c r="N15" s="1309">
        <f t="shared" si="1"/>
        <v>451</v>
      </c>
      <c r="O15" s="1317"/>
    </row>
    <row r="16" spans="2:17" s="1123" customFormat="1" ht="21.9" customHeight="1" x14ac:dyDescent="0.25">
      <c r="B16" s="1170">
        <v>2.2999999999999998</v>
      </c>
      <c r="C16" s="1199" t="s">
        <v>1127</v>
      </c>
      <c r="D16" s="1172" t="s">
        <v>1124</v>
      </c>
      <c r="E16" s="1222" t="s">
        <v>98</v>
      </c>
      <c r="F16" s="1174">
        <v>1</v>
      </c>
      <c r="G16" s="1307">
        <f>OP1_CI!L26</f>
        <v>280</v>
      </c>
      <c r="H16" s="1222" t="s">
        <v>98</v>
      </c>
      <c r="I16" s="1174">
        <f t="shared" si="0"/>
        <v>1</v>
      </c>
      <c r="J16" s="1307">
        <f>OP1_CI!P26</f>
        <v>171</v>
      </c>
      <c r="K16" s="1222"/>
      <c r="L16" s="1174"/>
      <c r="M16" s="1308"/>
      <c r="N16" s="1309">
        <f t="shared" si="1"/>
        <v>451</v>
      </c>
      <c r="O16" s="1317"/>
    </row>
    <row r="17" spans="2:16" s="1123" customFormat="1" ht="21.9" customHeight="1" x14ac:dyDescent="0.25">
      <c r="B17" s="1170">
        <v>2.4</v>
      </c>
      <c r="C17" s="1199" t="s">
        <v>1128</v>
      </c>
      <c r="D17" s="1172" t="s">
        <v>1124</v>
      </c>
      <c r="E17" s="1222" t="s">
        <v>98</v>
      </c>
      <c r="F17" s="1174">
        <v>1</v>
      </c>
      <c r="G17" s="1307">
        <f>OP1_CI!L27</f>
        <v>0</v>
      </c>
      <c r="H17" s="1222" t="s">
        <v>98</v>
      </c>
      <c r="I17" s="1174">
        <f t="shared" si="0"/>
        <v>1</v>
      </c>
      <c r="J17" s="1307">
        <f>OP1_CI!P27</f>
        <v>0</v>
      </c>
      <c r="K17" s="1222"/>
      <c r="L17" s="1174"/>
      <c r="M17" s="1308"/>
      <c r="N17" s="1309">
        <f t="shared" si="1"/>
        <v>0</v>
      </c>
      <c r="O17" s="1317"/>
    </row>
    <row r="18" spans="2:16" s="1123" customFormat="1" ht="21.9" customHeight="1" x14ac:dyDescent="0.25">
      <c r="B18" s="1170">
        <v>2.5</v>
      </c>
      <c r="C18" s="1199" t="s">
        <v>712</v>
      </c>
      <c r="D18" s="1172" t="s">
        <v>1124</v>
      </c>
      <c r="E18" s="1222" t="s">
        <v>98</v>
      </c>
      <c r="F18" s="1174">
        <v>1</v>
      </c>
      <c r="G18" s="1307">
        <f>OP1_CI!L28</f>
        <v>56</v>
      </c>
      <c r="H18" s="1222" t="s">
        <v>98</v>
      </c>
      <c r="I18" s="1174">
        <f t="shared" si="0"/>
        <v>1</v>
      </c>
      <c r="J18" s="1307">
        <f>OP1_CI!P28</f>
        <v>34</v>
      </c>
      <c r="K18" s="1222"/>
      <c r="L18" s="1174"/>
      <c r="M18" s="1308"/>
      <c r="N18" s="1309">
        <f t="shared" si="1"/>
        <v>90</v>
      </c>
      <c r="O18" s="1317"/>
    </row>
    <row r="19" spans="2:16" s="1123" customFormat="1" ht="21.9" customHeight="1" x14ac:dyDescent="0.25">
      <c r="B19" s="1186"/>
      <c r="C19" s="1187"/>
      <c r="D19" s="1172"/>
      <c r="E19" s="1173"/>
      <c r="F19" s="1188"/>
      <c r="G19" s="1307"/>
      <c r="H19" s="1173"/>
      <c r="I19" s="1188"/>
      <c r="J19" s="1307"/>
      <c r="K19" s="1173"/>
      <c r="L19" s="1188"/>
      <c r="M19" s="1308"/>
      <c r="N19" s="1318"/>
      <c r="O19" s="1310"/>
    </row>
    <row r="20" spans="2:16" s="1139" customFormat="1" ht="21.9" customHeight="1" thickBot="1" x14ac:dyDescent="0.3">
      <c r="B20" s="1190" t="s">
        <v>1129</v>
      </c>
      <c r="C20" s="1191"/>
      <c r="D20" s="1192"/>
      <c r="E20" s="1193"/>
      <c r="F20" s="1194"/>
      <c r="G20" s="1319">
        <f>SUM(G7:G19)</f>
        <v>1144</v>
      </c>
      <c r="H20" s="1193"/>
      <c r="I20" s="1194"/>
      <c r="J20" s="1319">
        <f>SUM(J7:J19)</f>
        <v>650</v>
      </c>
      <c r="K20" s="1320"/>
      <c r="L20" s="1194"/>
      <c r="M20" s="1321">
        <f>SUM(M7:M19)</f>
        <v>0</v>
      </c>
      <c r="N20" s="1321">
        <f>SUM(N7:N19)</f>
        <v>1794</v>
      </c>
      <c r="O20" s="1322"/>
      <c r="P20" s="1138"/>
    </row>
    <row r="21" spans="2:16" s="1139" customFormat="1" ht="21.9" customHeight="1" x14ac:dyDescent="0.25">
      <c r="B21" s="1170"/>
      <c r="C21" s="1199"/>
      <c r="D21" s="1172"/>
      <c r="E21" s="1173"/>
      <c r="F21" s="1188"/>
      <c r="G21" s="1307"/>
      <c r="H21" s="1173"/>
      <c r="I21" s="1188"/>
      <c r="J21" s="1307"/>
      <c r="K21" s="1173"/>
      <c r="L21" s="1188"/>
      <c r="M21" s="1308"/>
      <c r="N21" s="1309"/>
      <c r="O21" s="1310"/>
      <c r="P21" s="1138"/>
    </row>
    <row r="22" spans="2:16" s="1139" customFormat="1" ht="21.9" customHeight="1" x14ac:dyDescent="0.25">
      <c r="B22" s="1157" t="s">
        <v>1130</v>
      </c>
      <c r="C22" s="1158" t="s">
        <v>1131</v>
      </c>
      <c r="D22" s="1172"/>
      <c r="E22" s="1173"/>
      <c r="F22" s="1188"/>
      <c r="G22" s="1307"/>
      <c r="H22" s="1173"/>
      <c r="I22" s="1188"/>
      <c r="J22" s="1307"/>
      <c r="K22" s="1173"/>
      <c r="L22" s="1188"/>
      <c r="M22" s="1308"/>
      <c r="N22" s="1318"/>
      <c r="O22" s="1310"/>
      <c r="P22" s="1138"/>
    </row>
    <row r="23" spans="2:16" s="1138" customFormat="1" ht="21.9" customHeight="1" x14ac:dyDescent="0.25">
      <c r="B23" s="1157">
        <v>1</v>
      </c>
      <c r="C23" s="1166" t="s">
        <v>1132</v>
      </c>
      <c r="D23" s="1159"/>
      <c r="E23" s="1200"/>
      <c r="F23" s="1201"/>
      <c r="G23" s="1323"/>
      <c r="H23" s="1200"/>
      <c r="I23" s="1201"/>
      <c r="J23" s="1323"/>
      <c r="K23" s="1200"/>
      <c r="L23" s="1201"/>
      <c r="M23" s="1324"/>
      <c r="N23" s="1325"/>
      <c r="O23" s="1301"/>
    </row>
    <row r="24" spans="2:16" s="1123" customFormat="1" ht="21.9" customHeight="1" x14ac:dyDescent="0.25">
      <c r="B24" s="1170">
        <v>1.1000000000000001</v>
      </c>
      <c r="C24" s="1199" t="s">
        <v>1133</v>
      </c>
      <c r="D24" s="1172"/>
      <c r="E24" s="1173"/>
      <c r="F24" s="1188"/>
      <c r="G24" s="1307"/>
      <c r="H24" s="1173"/>
      <c r="I24" s="1188"/>
      <c r="J24" s="1307"/>
      <c r="K24" s="1173">
        <v>0</v>
      </c>
      <c r="L24" s="1188"/>
      <c r="M24" s="1308"/>
      <c r="N24" s="1309"/>
      <c r="O24" s="1310"/>
    </row>
    <row r="25" spans="2:16" s="1123" customFormat="1" ht="21.9" customHeight="1" x14ac:dyDescent="0.25">
      <c r="B25" s="1170"/>
      <c r="C25" s="1206" t="s">
        <v>137</v>
      </c>
      <c r="D25" s="1172" t="s">
        <v>1134</v>
      </c>
      <c r="E25" s="1173">
        <f>OP1_CI!K31</f>
        <v>84</v>
      </c>
      <c r="F25" s="1174">
        <f>OP1_CI!G31</f>
        <v>0</v>
      </c>
      <c r="G25" s="1307">
        <f>OP1_CI!L31</f>
        <v>0</v>
      </c>
      <c r="H25" s="1173">
        <f>OP1_CI!O31</f>
        <v>51.428571428571431</v>
      </c>
      <c r="I25" s="1174">
        <f t="shared" ref="I25:I29" si="2">F25</f>
        <v>0</v>
      </c>
      <c r="J25" s="1307">
        <f>OP1_CI!P31</f>
        <v>0</v>
      </c>
      <c r="K25" s="1173"/>
      <c r="L25" s="1174"/>
      <c r="M25" s="1308"/>
      <c r="N25" s="1309">
        <f t="shared" ref="N25:N29" si="3">G25+J25+M25</f>
        <v>0</v>
      </c>
      <c r="O25" s="1310"/>
    </row>
    <row r="26" spans="2:16" s="1123" customFormat="1" ht="21.9" customHeight="1" x14ac:dyDescent="0.25">
      <c r="B26" s="1170"/>
      <c r="C26" s="1206" t="s">
        <v>1014</v>
      </c>
      <c r="D26" s="1172" t="s">
        <v>1134</v>
      </c>
      <c r="E26" s="1173">
        <f>OP1_CI!K32</f>
        <v>49</v>
      </c>
      <c r="F26" s="1174">
        <f>OP1_CI!G32</f>
        <v>0</v>
      </c>
      <c r="G26" s="1307">
        <f>OP1_CI!L32</f>
        <v>0</v>
      </c>
      <c r="H26" s="1173">
        <f>OP1_CI!O32</f>
        <v>30.000000000000004</v>
      </c>
      <c r="I26" s="1174">
        <f t="shared" si="2"/>
        <v>0</v>
      </c>
      <c r="J26" s="1307">
        <f>OP1_CI!P32</f>
        <v>0</v>
      </c>
      <c r="K26" s="1173"/>
      <c r="L26" s="1174"/>
      <c r="M26" s="1308"/>
      <c r="N26" s="1309">
        <f t="shared" si="3"/>
        <v>0</v>
      </c>
      <c r="O26" s="1310"/>
    </row>
    <row r="27" spans="2:16" s="1123" customFormat="1" ht="21.9" customHeight="1" x14ac:dyDescent="0.25">
      <c r="B27" s="1170"/>
      <c r="C27" s="1206" t="s">
        <v>141</v>
      </c>
      <c r="D27" s="1172" t="s">
        <v>1134</v>
      </c>
      <c r="E27" s="1173">
        <f>OP1_CI!K33</f>
        <v>24.5</v>
      </c>
      <c r="F27" s="1174">
        <f>OP1_CI!G33</f>
        <v>0</v>
      </c>
      <c r="G27" s="1307">
        <f>OP1_CI!L33</f>
        <v>0</v>
      </c>
      <c r="H27" s="1173">
        <f>OP1_CI!O33</f>
        <v>15.000000000000002</v>
      </c>
      <c r="I27" s="1174">
        <f t="shared" si="2"/>
        <v>0</v>
      </c>
      <c r="J27" s="1307">
        <f>OP1_CI!P33</f>
        <v>0</v>
      </c>
      <c r="K27" s="1173"/>
      <c r="L27" s="1174"/>
      <c r="M27" s="1308"/>
      <c r="N27" s="1309">
        <f t="shared" si="3"/>
        <v>0</v>
      </c>
      <c r="O27" s="1310"/>
    </row>
    <row r="28" spans="2:16" s="1123" customFormat="1" ht="21.9" customHeight="1" x14ac:dyDescent="0.25">
      <c r="B28" s="1170"/>
      <c r="C28" s="1206" t="s">
        <v>142</v>
      </c>
      <c r="D28" s="1172" t="s">
        <v>1134</v>
      </c>
      <c r="E28" s="1173">
        <f>OP1_CI!K34</f>
        <v>24.5</v>
      </c>
      <c r="F28" s="1174">
        <f>OP1_CI!G34</f>
        <v>0</v>
      </c>
      <c r="G28" s="1307">
        <f>OP1_CI!L34</f>
        <v>0</v>
      </c>
      <c r="H28" s="1173">
        <f>OP1_CI!O34</f>
        <v>15.000000000000002</v>
      </c>
      <c r="I28" s="1174">
        <f t="shared" si="2"/>
        <v>0</v>
      </c>
      <c r="J28" s="1307">
        <f>OP1_CI!P34</f>
        <v>0</v>
      </c>
      <c r="K28" s="1173"/>
      <c r="L28" s="1174"/>
      <c r="M28" s="1308"/>
      <c r="N28" s="1309">
        <f t="shared" si="3"/>
        <v>0</v>
      </c>
      <c r="O28" s="1310"/>
    </row>
    <row r="29" spans="2:16" s="1123" customFormat="1" ht="21.9" customHeight="1" x14ac:dyDescent="0.25">
      <c r="B29" s="1170">
        <v>1.2</v>
      </c>
      <c r="C29" s="1206" t="s">
        <v>143</v>
      </c>
      <c r="D29" s="1172" t="s">
        <v>97</v>
      </c>
      <c r="E29" s="1173">
        <f>OP1_CI!K35</f>
        <v>237.99999999999997</v>
      </c>
      <c r="F29" s="1174">
        <f>OP1_CI!G35</f>
        <v>1</v>
      </c>
      <c r="G29" s="1307">
        <f>OP1_CI!L35</f>
        <v>238</v>
      </c>
      <c r="H29" s="1173">
        <f>OP1_CI!O35</f>
        <v>145.71428571428572</v>
      </c>
      <c r="I29" s="1174">
        <f t="shared" si="2"/>
        <v>1</v>
      </c>
      <c r="J29" s="1307">
        <f>OP1_CI!P35</f>
        <v>146</v>
      </c>
      <c r="K29" s="1326"/>
      <c r="L29" s="1174"/>
      <c r="M29" s="1308"/>
      <c r="N29" s="1309">
        <f t="shared" si="3"/>
        <v>384</v>
      </c>
      <c r="O29" s="1310"/>
    </row>
    <row r="30" spans="2:16" s="1123" customFormat="1" ht="21.9" customHeight="1" x14ac:dyDescent="0.25">
      <c r="B30" s="1170"/>
      <c r="C30" s="1206"/>
      <c r="D30" s="1172"/>
      <c r="E30" s="1176"/>
      <c r="F30" s="1174"/>
      <c r="G30" s="1307"/>
      <c r="H30" s="1176"/>
      <c r="I30" s="1174"/>
      <c r="J30" s="1307"/>
      <c r="K30" s="1176"/>
      <c r="L30" s="1174"/>
      <c r="M30" s="1308"/>
      <c r="N30" s="1318"/>
      <c r="O30" s="1310"/>
    </row>
    <row r="31" spans="2:16" s="1123" customFormat="1" ht="21.9" customHeight="1" x14ac:dyDescent="0.25">
      <c r="B31" s="1157">
        <v>2</v>
      </c>
      <c r="C31" s="1166" t="s">
        <v>1135</v>
      </c>
      <c r="D31" s="1172"/>
      <c r="E31" s="1176"/>
      <c r="F31" s="1174"/>
      <c r="G31" s="1307"/>
      <c r="H31" s="1176"/>
      <c r="I31" s="1174"/>
      <c r="J31" s="1307"/>
      <c r="K31" s="1176"/>
      <c r="L31" s="1174"/>
      <c r="M31" s="1308"/>
      <c r="N31" s="1318"/>
      <c r="O31" s="1310"/>
    </row>
    <row r="32" spans="2:16" s="1128" customFormat="1" ht="21.9" customHeight="1" x14ac:dyDescent="0.25">
      <c r="B32" s="1170">
        <v>2.1</v>
      </c>
      <c r="C32" s="1199" t="s">
        <v>146</v>
      </c>
      <c r="D32" s="1172" t="s">
        <v>1136</v>
      </c>
      <c r="E32" s="1176">
        <f>OP1_CI!K36</f>
        <v>0.35</v>
      </c>
      <c r="F32" s="1188">
        <f>OP1_CI!G36</f>
        <v>1539</v>
      </c>
      <c r="G32" s="1307">
        <f>OP1_CI!L36</f>
        <v>539</v>
      </c>
      <c r="H32" s="1176">
        <f>OP1_CI!O36</f>
        <v>0.2742857142857143</v>
      </c>
      <c r="I32" s="1174">
        <f t="shared" ref="I32:I40" si="4">F32</f>
        <v>1539</v>
      </c>
      <c r="J32" s="1307">
        <f>OP1_CI!P36</f>
        <v>422</v>
      </c>
      <c r="K32" s="1176">
        <f>OP1_CI!W36</f>
        <v>0.13999999999999999</v>
      </c>
      <c r="L32" s="1188">
        <f>F32</f>
        <v>1539</v>
      </c>
      <c r="M32" s="1308">
        <f>OP1_CI!X36</f>
        <v>215</v>
      </c>
      <c r="N32" s="1309">
        <f t="shared" ref="N32:N40" si="5">G32+J32+M32</f>
        <v>1176</v>
      </c>
      <c r="O32" s="1327"/>
      <c r="P32" s="1123"/>
    </row>
    <row r="33" spans="2:16" s="1128" customFormat="1" ht="21.9" customHeight="1" x14ac:dyDescent="0.25">
      <c r="B33" s="1170">
        <v>2.2000000000000002</v>
      </c>
      <c r="C33" s="1199" t="s">
        <v>1137</v>
      </c>
      <c r="D33" s="1172" t="s">
        <v>1138</v>
      </c>
      <c r="E33" s="1176">
        <f>OP1_CI!K37</f>
        <v>0.21</v>
      </c>
      <c r="F33" s="1188">
        <f>OP1_CI!G37</f>
        <v>6300</v>
      </c>
      <c r="G33" s="1307">
        <f>OP1_CI!L37</f>
        <v>1323</v>
      </c>
      <c r="H33" s="1176">
        <f>OP1_CI!O37</f>
        <v>0.21857142857142858</v>
      </c>
      <c r="I33" s="1174">
        <f t="shared" si="4"/>
        <v>6300</v>
      </c>
      <c r="J33" s="1307">
        <f>OP1_CI!P37</f>
        <v>1377</v>
      </c>
      <c r="K33" s="1176">
        <f>OP1_CI!W37</f>
        <v>0.21</v>
      </c>
      <c r="L33" s="1188">
        <f t="shared" ref="L33:L34" si="6">F33</f>
        <v>6300</v>
      </c>
      <c r="M33" s="1308">
        <f>OP1_CI!X37</f>
        <v>1323</v>
      </c>
      <c r="N33" s="1309">
        <f t="shared" si="5"/>
        <v>4023</v>
      </c>
      <c r="O33" s="1327"/>
      <c r="P33" s="1123"/>
    </row>
    <row r="34" spans="2:16" s="1128" customFormat="1" ht="21.9" customHeight="1" x14ac:dyDescent="0.25">
      <c r="B34" s="1170">
        <v>2.2999999999999998</v>
      </c>
      <c r="C34" s="1199" t="s">
        <v>1139</v>
      </c>
      <c r="D34" s="1172" t="s">
        <v>1140</v>
      </c>
      <c r="E34" s="1176">
        <f>OP1_CI!K38</f>
        <v>0.21</v>
      </c>
      <c r="F34" s="1188">
        <f>OP1_CI!G38</f>
        <v>0</v>
      </c>
      <c r="G34" s="1307">
        <f>OP1_CI!L38</f>
        <v>0</v>
      </c>
      <c r="H34" s="1176">
        <f>OP1_CI!O38</f>
        <v>1.3285714285714285</v>
      </c>
      <c r="I34" s="1174">
        <f t="shared" si="4"/>
        <v>0</v>
      </c>
      <c r="J34" s="1307">
        <f>OP1_CI!P38</f>
        <v>0</v>
      </c>
      <c r="K34" s="1176">
        <f>OP1_CI!W38</f>
        <v>2.8</v>
      </c>
      <c r="L34" s="1188">
        <f t="shared" si="6"/>
        <v>0</v>
      </c>
      <c r="M34" s="1308">
        <f>OP1_CI!X38</f>
        <v>0</v>
      </c>
      <c r="N34" s="1309">
        <f t="shared" si="5"/>
        <v>0</v>
      </c>
      <c r="O34" s="1327"/>
      <c r="P34" s="1123"/>
    </row>
    <row r="35" spans="2:16" s="1128" customFormat="1" ht="21.9" customHeight="1" x14ac:dyDescent="0.25">
      <c r="B35" s="1170">
        <v>2.4</v>
      </c>
      <c r="C35" s="1199" t="s">
        <v>1018</v>
      </c>
      <c r="D35" s="1172" t="s">
        <v>97</v>
      </c>
      <c r="E35" s="1173">
        <f>OP1_CI!K39</f>
        <v>35</v>
      </c>
      <c r="F35" s="1188">
        <f>OP1_CI!G39</f>
        <v>1</v>
      </c>
      <c r="G35" s="1307">
        <f>OP1_CI!L39</f>
        <v>35</v>
      </c>
      <c r="H35" s="1173">
        <f>OP1_CI!O39</f>
        <v>21.428571428571431</v>
      </c>
      <c r="I35" s="1174">
        <f t="shared" si="4"/>
        <v>1</v>
      </c>
      <c r="J35" s="1307">
        <f>OP1_CI!P39</f>
        <v>21</v>
      </c>
      <c r="K35" s="1173"/>
      <c r="L35" s="1188"/>
      <c r="M35" s="1308"/>
      <c r="N35" s="1309">
        <f t="shared" si="5"/>
        <v>56</v>
      </c>
      <c r="O35" s="1327"/>
      <c r="P35" s="1123"/>
    </row>
    <row r="36" spans="2:16" s="1128" customFormat="1" ht="21.9" customHeight="1" x14ac:dyDescent="0.25">
      <c r="B36" s="1170">
        <v>2.5</v>
      </c>
      <c r="C36" s="1199" t="s">
        <v>167</v>
      </c>
      <c r="D36" s="1172" t="s">
        <v>97</v>
      </c>
      <c r="E36" s="1173">
        <f>OP1_CI!K40</f>
        <v>35</v>
      </c>
      <c r="F36" s="1188">
        <f>OP1_CI!G40</f>
        <v>1</v>
      </c>
      <c r="G36" s="1307">
        <f>OP1_CI!L40</f>
        <v>35</v>
      </c>
      <c r="H36" s="1173">
        <f>OP1_CI!O40</f>
        <v>21.428571428571431</v>
      </c>
      <c r="I36" s="1174">
        <f t="shared" si="4"/>
        <v>1</v>
      </c>
      <c r="J36" s="1307">
        <f>OP1_CI!P40</f>
        <v>21</v>
      </c>
      <c r="K36" s="1173"/>
      <c r="L36" s="1188"/>
      <c r="M36" s="1308"/>
      <c r="N36" s="1309">
        <f t="shared" si="5"/>
        <v>56</v>
      </c>
      <c r="O36" s="1327"/>
      <c r="P36" s="1123"/>
    </row>
    <row r="37" spans="2:16" s="1128" customFormat="1" ht="21.9" customHeight="1" x14ac:dyDescent="0.25">
      <c r="B37" s="1170">
        <v>2.6</v>
      </c>
      <c r="C37" s="1199" t="s">
        <v>1021</v>
      </c>
      <c r="D37" s="1172" t="s">
        <v>97</v>
      </c>
      <c r="E37" s="1173">
        <f>OP1_CI!K41</f>
        <v>70</v>
      </c>
      <c r="F37" s="1188">
        <f>OP1_CI!G41</f>
        <v>1</v>
      </c>
      <c r="G37" s="1307">
        <f>OP1_CI!L41</f>
        <v>70</v>
      </c>
      <c r="H37" s="1173">
        <f>OP1_CI!O41</f>
        <v>72.857142857142861</v>
      </c>
      <c r="I37" s="1174">
        <f t="shared" si="4"/>
        <v>1</v>
      </c>
      <c r="J37" s="1307">
        <f>OP1_CI!P41</f>
        <v>73</v>
      </c>
      <c r="K37" s="1173">
        <f>OP1_CI!W41</f>
        <v>70</v>
      </c>
      <c r="L37" s="1188">
        <f>F37</f>
        <v>1</v>
      </c>
      <c r="M37" s="1308">
        <f>OP1_CI!X41</f>
        <v>70</v>
      </c>
      <c r="N37" s="1309">
        <f t="shared" si="5"/>
        <v>213</v>
      </c>
      <c r="O37" s="1327"/>
      <c r="P37" s="1123"/>
    </row>
    <row r="38" spans="2:16" s="1128" customFormat="1" ht="21.9" customHeight="1" x14ac:dyDescent="0.25">
      <c r="B38" s="1170">
        <v>2.7</v>
      </c>
      <c r="C38" s="1199" t="s">
        <v>506</v>
      </c>
      <c r="D38" s="1172" t="s">
        <v>97</v>
      </c>
      <c r="E38" s="1173">
        <f>OP1_CI!K42</f>
        <v>6.9999999999999993E-2</v>
      </c>
      <c r="F38" s="1188">
        <f>OP1_CI!G42</f>
        <v>555</v>
      </c>
      <c r="G38" s="1307">
        <f>OP1_CI!L42</f>
        <v>39</v>
      </c>
      <c r="H38" s="1173">
        <f>OP1_CI!O42</f>
        <v>4.2857142857142858E-2</v>
      </c>
      <c r="I38" s="1174">
        <f t="shared" si="4"/>
        <v>555</v>
      </c>
      <c r="J38" s="1307">
        <f>OP1_CI!P42</f>
        <v>24</v>
      </c>
      <c r="K38" s="1173"/>
      <c r="L38" s="1188"/>
      <c r="M38" s="1308"/>
      <c r="N38" s="1309">
        <f t="shared" si="5"/>
        <v>63</v>
      </c>
      <c r="O38" s="1327"/>
      <c r="P38" s="1123"/>
    </row>
    <row r="39" spans="2:16" s="1128" customFormat="1" ht="21.9" customHeight="1" x14ac:dyDescent="0.25">
      <c r="B39" s="1170">
        <v>2.8</v>
      </c>
      <c r="C39" s="1199" t="s">
        <v>514</v>
      </c>
      <c r="D39" s="1172" t="s">
        <v>97</v>
      </c>
      <c r="E39" s="1173">
        <f>OP1_CI!K43</f>
        <v>35</v>
      </c>
      <c r="F39" s="1188">
        <f>OP1_CI!G43</f>
        <v>1</v>
      </c>
      <c r="G39" s="1307">
        <f>OP1_CI!L43</f>
        <v>35</v>
      </c>
      <c r="H39" s="1173">
        <f>OP1_CI!O43</f>
        <v>36.428571428571431</v>
      </c>
      <c r="I39" s="1174">
        <f t="shared" si="4"/>
        <v>1</v>
      </c>
      <c r="J39" s="1307">
        <f>OP1_CI!P43</f>
        <v>36</v>
      </c>
      <c r="K39" s="1173">
        <f>OP1_CI!W43</f>
        <v>35</v>
      </c>
      <c r="L39" s="1188">
        <f t="shared" ref="L39:L40" si="7">F39</f>
        <v>1</v>
      </c>
      <c r="M39" s="1308">
        <f>OP1_CI!X43</f>
        <v>35</v>
      </c>
      <c r="N39" s="1309">
        <f t="shared" si="5"/>
        <v>106</v>
      </c>
      <c r="O39" s="1327"/>
      <c r="P39" s="1123"/>
    </row>
    <row r="40" spans="2:16" s="1128" customFormat="1" ht="21.9" customHeight="1" x14ac:dyDescent="0.25">
      <c r="B40" s="1170">
        <v>2.9</v>
      </c>
      <c r="C40" s="1199" t="s">
        <v>1141</v>
      </c>
      <c r="D40" s="1172" t="s">
        <v>97</v>
      </c>
      <c r="E40" s="1173">
        <f>OP1_CI!K44</f>
        <v>35</v>
      </c>
      <c r="F40" s="1188">
        <f>OP1_CI!G44</f>
        <v>1</v>
      </c>
      <c r="G40" s="1307">
        <f>OP1_CI!L44</f>
        <v>35</v>
      </c>
      <c r="H40" s="1173">
        <f>OP1_CI!O44</f>
        <v>36.428571428571431</v>
      </c>
      <c r="I40" s="1174">
        <f t="shared" si="4"/>
        <v>1</v>
      </c>
      <c r="J40" s="1307">
        <f>OP1_CI!P44</f>
        <v>36</v>
      </c>
      <c r="K40" s="1173">
        <f>OP1_CI!W44</f>
        <v>35</v>
      </c>
      <c r="L40" s="1188">
        <f t="shared" si="7"/>
        <v>1</v>
      </c>
      <c r="M40" s="1308">
        <f>OP1_CI!X44</f>
        <v>35</v>
      </c>
      <c r="N40" s="1309">
        <f t="shared" si="5"/>
        <v>106</v>
      </c>
      <c r="O40" s="1327"/>
      <c r="P40" s="1123"/>
    </row>
    <row r="41" spans="2:16" s="1123" customFormat="1" ht="21.9" customHeight="1" x14ac:dyDescent="0.25">
      <c r="B41" s="1170"/>
      <c r="C41" s="1206"/>
      <c r="D41" s="1172"/>
      <c r="E41" s="1176"/>
      <c r="F41" s="1174"/>
      <c r="G41" s="1307"/>
      <c r="H41" s="1176"/>
      <c r="I41" s="1174"/>
      <c r="J41" s="1307"/>
      <c r="K41" s="1176"/>
      <c r="L41" s="1174"/>
      <c r="M41" s="1308"/>
      <c r="N41" s="1318"/>
      <c r="O41" s="1310"/>
    </row>
    <row r="42" spans="2:16" s="1123" customFormat="1" ht="21.9" customHeight="1" x14ac:dyDescent="0.25">
      <c r="B42" s="1157">
        <v>3</v>
      </c>
      <c r="C42" s="1166" t="s">
        <v>1142</v>
      </c>
      <c r="D42" s="1172"/>
      <c r="E42" s="1176"/>
      <c r="F42" s="1174"/>
      <c r="G42" s="1307"/>
      <c r="H42" s="1176"/>
      <c r="I42" s="1174"/>
      <c r="J42" s="1307"/>
      <c r="K42" s="1176"/>
      <c r="L42" s="1174"/>
      <c r="M42" s="1308"/>
      <c r="N42" s="1318"/>
      <c r="O42" s="1310"/>
    </row>
    <row r="43" spans="2:16" s="1128" customFormat="1" ht="21.9" customHeight="1" x14ac:dyDescent="0.25">
      <c r="B43" s="1170">
        <v>3.1</v>
      </c>
      <c r="C43" s="1199" t="s">
        <v>1143</v>
      </c>
      <c r="D43" s="1172" t="s">
        <v>1136</v>
      </c>
      <c r="E43" s="1176">
        <f>OP1_CI!K45</f>
        <v>0.35</v>
      </c>
      <c r="F43" s="1188">
        <f>OP1_CI!G45</f>
        <v>0</v>
      </c>
      <c r="G43" s="1307">
        <f>OP1_CI!L45</f>
        <v>0</v>
      </c>
      <c r="H43" s="1176">
        <f>OP1_CI!O45</f>
        <v>0.2142857142857143</v>
      </c>
      <c r="I43" s="1174">
        <f t="shared" ref="I43:I46" si="8">F43</f>
        <v>0</v>
      </c>
      <c r="J43" s="1307">
        <f>OP1_CI!P45</f>
        <v>0</v>
      </c>
      <c r="K43" s="1176"/>
      <c r="L43" s="1188"/>
      <c r="M43" s="1308"/>
      <c r="N43" s="1309">
        <f t="shared" ref="N43:N46" si="9">G43+J43+M43</f>
        <v>0</v>
      </c>
      <c r="O43" s="1310"/>
      <c r="P43" s="1123"/>
    </row>
    <row r="44" spans="2:16" s="1128" customFormat="1" ht="21.9" customHeight="1" x14ac:dyDescent="0.25">
      <c r="B44" s="1170">
        <v>3.2</v>
      </c>
      <c r="C44" s="1199" t="s">
        <v>1220</v>
      </c>
      <c r="D44" s="1172" t="s">
        <v>1136</v>
      </c>
      <c r="E44" s="1176">
        <f>OP1_CI!K46</f>
        <v>0.35</v>
      </c>
      <c r="F44" s="1188">
        <f>OP1_CI!G46</f>
        <v>0</v>
      </c>
      <c r="G44" s="1307">
        <f>OP1_CI!L46</f>
        <v>0</v>
      </c>
      <c r="H44" s="1176">
        <f>OP1_CI!O46</f>
        <v>0.2142857142857143</v>
      </c>
      <c r="I44" s="1174">
        <f t="shared" si="8"/>
        <v>0</v>
      </c>
      <c r="J44" s="1307">
        <f>OP1_CI!P46</f>
        <v>0</v>
      </c>
      <c r="K44" s="1176"/>
      <c r="L44" s="1188"/>
      <c r="M44" s="1308"/>
      <c r="N44" s="1309">
        <f t="shared" si="9"/>
        <v>0</v>
      </c>
      <c r="O44" s="1310"/>
      <c r="P44" s="1123"/>
    </row>
    <row r="45" spans="2:16" s="1128" customFormat="1" ht="21.9" customHeight="1" x14ac:dyDescent="0.25">
      <c r="B45" s="1170">
        <v>3.3</v>
      </c>
      <c r="C45" s="1199" t="s">
        <v>541</v>
      </c>
      <c r="D45" s="1172" t="s">
        <v>1136</v>
      </c>
      <c r="E45" s="1176">
        <f>OP1_CI!K47</f>
        <v>0.35</v>
      </c>
      <c r="F45" s="1188">
        <f>OP1_CI!G47</f>
        <v>0</v>
      </c>
      <c r="G45" s="1307">
        <f>OP1_CI!L47</f>
        <v>0</v>
      </c>
      <c r="H45" s="1176">
        <f>OP1_CI!O47</f>
        <v>0.2142857142857143</v>
      </c>
      <c r="I45" s="1174">
        <f t="shared" si="8"/>
        <v>0</v>
      </c>
      <c r="J45" s="1307">
        <f>OP1_CI!P47</f>
        <v>0</v>
      </c>
      <c r="K45" s="1176"/>
      <c r="L45" s="1188"/>
      <c r="M45" s="1308"/>
      <c r="N45" s="1309">
        <f t="shared" si="9"/>
        <v>0</v>
      </c>
      <c r="O45" s="1310"/>
      <c r="P45" s="1123"/>
    </row>
    <row r="46" spans="2:16" s="1128" customFormat="1" ht="21.9" customHeight="1" x14ac:dyDescent="0.25">
      <c r="B46" s="1170">
        <v>3.4</v>
      </c>
      <c r="C46" s="1199" t="s">
        <v>546</v>
      </c>
      <c r="D46" s="1172" t="s">
        <v>1136</v>
      </c>
      <c r="E46" s="1176">
        <f>OP1_CI!K48</f>
        <v>0.35</v>
      </c>
      <c r="F46" s="1188">
        <f>OP1_CI!G48</f>
        <v>0</v>
      </c>
      <c r="G46" s="1307">
        <f>OP1_CI!L48</f>
        <v>0</v>
      </c>
      <c r="H46" s="1176">
        <f>OP1_CI!O48</f>
        <v>0.2142857142857143</v>
      </c>
      <c r="I46" s="1174">
        <f t="shared" si="8"/>
        <v>0</v>
      </c>
      <c r="J46" s="1307">
        <f>OP1_CI!P48</f>
        <v>0</v>
      </c>
      <c r="K46" s="1176"/>
      <c r="L46" s="1188"/>
      <c r="M46" s="1308"/>
      <c r="N46" s="1309">
        <f t="shared" si="9"/>
        <v>0</v>
      </c>
      <c r="O46" s="1310"/>
      <c r="P46" s="1123"/>
    </row>
    <row r="47" spans="2:16" s="1128" customFormat="1" ht="21.9" customHeight="1" x14ac:dyDescent="0.25">
      <c r="B47" s="1170"/>
      <c r="C47" s="1199"/>
      <c r="D47" s="1172"/>
      <c r="E47" s="1176"/>
      <c r="F47" s="1188"/>
      <c r="G47" s="1307"/>
      <c r="H47" s="1176"/>
      <c r="I47" s="1188"/>
      <c r="J47" s="1307"/>
      <c r="K47" s="1176"/>
      <c r="L47" s="1188"/>
      <c r="M47" s="1308"/>
      <c r="N47" s="1318"/>
      <c r="O47" s="1310"/>
      <c r="P47" s="1123"/>
    </row>
    <row r="48" spans="2:16" s="1139" customFormat="1" ht="21.9" customHeight="1" x14ac:dyDescent="0.25">
      <c r="B48" s="1157">
        <v>4</v>
      </c>
      <c r="C48" s="1166" t="s">
        <v>1144</v>
      </c>
      <c r="D48" s="1159"/>
      <c r="E48" s="1203"/>
      <c r="F48" s="1201"/>
      <c r="G48" s="1323"/>
      <c r="H48" s="1203"/>
      <c r="I48" s="1201"/>
      <c r="J48" s="1323"/>
      <c r="K48" s="1203"/>
      <c r="L48" s="1201"/>
      <c r="M48" s="1324"/>
      <c r="N48" s="1325"/>
      <c r="O48" s="1301"/>
      <c r="P48" s="1138"/>
    </row>
    <row r="49" spans="2:16" s="1128" customFormat="1" ht="21.9" customHeight="1" x14ac:dyDescent="0.25">
      <c r="B49" s="1170">
        <v>4.0999999999999996</v>
      </c>
      <c r="C49" s="1209" t="s">
        <v>189</v>
      </c>
      <c r="D49" s="1172" t="s">
        <v>1136</v>
      </c>
      <c r="E49" s="1176">
        <f>OP1_CI!K49</f>
        <v>1.0499999999999998</v>
      </c>
      <c r="F49" s="1188">
        <f>OP1_CI!G49</f>
        <v>200</v>
      </c>
      <c r="G49" s="1307">
        <f>OP1_CI!L49</f>
        <v>210</v>
      </c>
      <c r="H49" s="1176">
        <f>OP1_CI!O49</f>
        <v>0.64285714285714279</v>
      </c>
      <c r="I49" s="1174">
        <f t="shared" ref="I49:I51" si="10">F49</f>
        <v>200</v>
      </c>
      <c r="J49" s="1307">
        <f>OP1_CI!P49</f>
        <v>129</v>
      </c>
      <c r="K49" s="1176"/>
      <c r="L49" s="1188"/>
      <c r="M49" s="1308"/>
      <c r="N49" s="1309">
        <f t="shared" ref="N49:N51" si="11">G49+J49+M49</f>
        <v>339</v>
      </c>
      <c r="O49" s="1310"/>
      <c r="P49" s="1123"/>
    </row>
    <row r="50" spans="2:16" s="1128" customFormat="1" ht="21.9" customHeight="1" x14ac:dyDescent="0.25">
      <c r="B50" s="1170">
        <v>4.2</v>
      </c>
      <c r="C50" s="1199" t="s">
        <v>192</v>
      </c>
      <c r="D50" s="1172" t="s">
        <v>1136</v>
      </c>
      <c r="E50" s="1176">
        <f>OP1_CI!K50</f>
        <v>0.35</v>
      </c>
      <c r="F50" s="1188">
        <f>OP1_CI!G50</f>
        <v>0</v>
      </c>
      <c r="G50" s="1307">
        <f>OP1_CI!L50</f>
        <v>0</v>
      </c>
      <c r="H50" s="1176">
        <f>OP1_CI!O50</f>
        <v>0.2142857142857143</v>
      </c>
      <c r="I50" s="1174">
        <f t="shared" si="10"/>
        <v>0</v>
      </c>
      <c r="J50" s="1307">
        <f>OP1_CI!P50</f>
        <v>0</v>
      </c>
      <c r="K50" s="1176"/>
      <c r="L50" s="1188"/>
      <c r="M50" s="1308"/>
      <c r="N50" s="1309">
        <f t="shared" si="11"/>
        <v>0</v>
      </c>
      <c r="O50" s="1310"/>
      <c r="P50" s="1123"/>
    </row>
    <row r="51" spans="2:16" s="1128" customFormat="1" ht="21.9" customHeight="1" x14ac:dyDescent="0.25">
      <c r="B51" s="1170">
        <v>4.3</v>
      </c>
      <c r="C51" s="1199" t="s">
        <v>193</v>
      </c>
      <c r="D51" s="1172" t="s">
        <v>1136</v>
      </c>
      <c r="E51" s="1176">
        <f>OP1_CI!K51</f>
        <v>0.21</v>
      </c>
      <c r="F51" s="1188">
        <f>OP1_CI!G51</f>
        <v>0</v>
      </c>
      <c r="G51" s="1307">
        <f>OP1_CI!L51</f>
        <v>0</v>
      </c>
      <c r="H51" s="1176">
        <f>OP1_CI!O51</f>
        <v>0.12857142857142859</v>
      </c>
      <c r="I51" s="1174">
        <f t="shared" si="10"/>
        <v>0</v>
      </c>
      <c r="J51" s="1307">
        <f>OP1_CI!P51</f>
        <v>0</v>
      </c>
      <c r="K51" s="1176"/>
      <c r="L51" s="1188"/>
      <c r="M51" s="1308"/>
      <c r="N51" s="1309">
        <f t="shared" si="11"/>
        <v>0</v>
      </c>
      <c r="O51" s="1310"/>
      <c r="P51" s="1123"/>
    </row>
    <row r="52" spans="2:16" s="1128" customFormat="1" ht="21.9" customHeight="1" x14ac:dyDescent="0.25">
      <c r="B52" s="1210"/>
      <c r="C52" s="1199"/>
      <c r="D52" s="1211"/>
      <c r="E52" s="1176"/>
      <c r="F52" s="1188"/>
      <c r="G52" s="1307"/>
      <c r="H52" s="1176"/>
      <c r="I52" s="1188"/>
      <c r="J52" s="1307"/>
      <c r="K52" s="1176"/>
      <c r="L52" s="1188"/>
      <c r="M52" s="1308"/>
      <c r="N52" s="1328"/>
      <c r="O52" s="1310"/>
      <c r="P52" s="1123"/>
    </row>
    <row r="53" spans="2:16" s="1139" customFormat="1" ht="21.9" customHeight="1" x14ac:dyDescent="0.25">
      <c r="B53" s="1157">
        <v>5</v>
      </c>
      <c r="C53" s="1166" t="s">
        <v>1145</v>
      </c>
      <c r="D53" s="1159"/>
      <c r="E53" s="1203"/>
      <c r="F53" s="1201"/>
      <c r="G53" s="1323"/>
      <c r="H53" s="1203"/>
      <c r="I53" s="1201"/>
      <c r="J53" s="1323"/>
      <c r="K53" s="1203"/>
      <c r="L53" s="1201"/>
      <c r="M53" s="1324"/>
      <c r="N53" s="1329"/>
      <c r="O53" s="1301"/>
      <c r="P53" s="1138"/>
    </row>
    <row r="54" spans="2:16" s="1128" customFormat="1" ht="21.9" customHeight="1" x14ac:dyDescent="0.25">
      <c r="B54" s="1170">
        <v>5.0999999999999996</v>
      </c>
      <c r="C54" s="1199" t="s">
        <v>1146</v>
      </c>
      <c r="D54" s="1172" t="s">
        <v>1147</v>
      </c>
      <c r="E54" s="1176">
        <f>OP1_CI!K52</f>
        <v>56</v>
      </c>
      <c r="F54" s="1188">
        <f>OP1_CI!G52</f>
        <v>3</v>
      </c>
      <c r="G54" s="1307">
        <f>OP1_CI!L52</f>
        <v>168</v>
      </c>
      <c r="H54" s="1176">
        <f>OP1_CI!O52</f>
        <v>35.485714285714288</v>
      </c>
      <c r="I54" s="1174">
        <f t="shared" ref="I54:I74" si="12">F54</f>
        <v>3</v>
      </c>
      <c r="J54" s="1307">
        <f>OP1_CI!P52</f>
        <v>107</v>
      </c>
      <c r="K54" s="1176">
        <f>OP1_CI!W52</f>
        <v>2.8</v>
      </c>
      <c r="L54" s="1188">
        <f t="shared" ref="L54:L74" si="13">F54</f>
        <v>3</v>
      </c>
      <c r="M54" s="1308">
        <f>OP1_CI!X52</f>
        <v>8</v>
      </c>
      <c r="N54" s="1309">
        <f t="shared" ref="N54:N74" si="14">G54+J54+M54</f>
        <v>283</v>
      </c>
      <c r="O54" s="1330"/>
      <c r="P54" s="1123"/>
    </row>
    <row r="55" spans="2:16" s="1128" customFormat="1" ht="21.9" customHeight="1" x14ac:dyDescent="0.25">
      <c r="B55" s="1170">
        <v>5.2</v>
      </c>
      <c r="C55" s="1199" t="s">
        <v>1148</v>
      </c>
      <c r="D55" s="1172" t="s">
        <v>1147</v>
      </c>
      <c r="E55" s="1176">
        <f>OP1_CI!K53</f>
        <v>3.5</v>
      </c>
      <c r="F55" s="1188">
        <f>OP1_CI!G53</f>
        <v>2</v>
      </c>
      <c r="G55" s="1307">
        <f>OP1_CI!L53</f>
        <v>7</v>
      </c>
      <c r="H55" s="1176">
        <f>OP1_CI!O53</f>
        <v>8.1428571428571423</v>
      </c>
      <c r="I55" s="1174">
        <f t="shared" si="12"/>
        <v>2</v>
      </c>
      <c r="J55" s="1307">
        <f>OP1_CI!P53</f>
        <v>16</v>
      </c>
      <c r="K55" s="1176">
        <f>OP1_CI!W53</f>
        <v>14</v>
      </c>
      <c r="L55" s="1188">
        <f t="shared" si="13"/>
        <v>2</v>
      </c>
      <c r="M55" s="1308">
        <f>OP1_CI!X53</f>
        <v>28</v>
      </c>
      <c r="N55" s="1309">
        <f t="shared" si="14"/>
        <v>51</v>
      </c>
      <c r="O55" s="1330"/>
      <c r="P55" s="1123"/>
    </row>
    <row r="56" spans="2:16" s="1128" customFormat="1" ht="21.9" customHeight="1" x14ac:dyDescent="0.25">
      <c r="B56" s="1170">
        <v>5.3</v>
      </c>
      <c r="C56" s="1199" t="s">
        <v>202</v>
      </c>
      <c r="D56" s="1172" t="s">
        <v>1149</v>
      </c>
      <c r="E56" s="1176">
        <f>OP1_CI!K54</f>
        <v>1.4</v>
      </c>
      <c r="F56" s="1188">
        <f>OP1_CI!G54</f>
        <v>6</v>
      </c>
      <c r="G56" s="1307">
        <f>OP1_CI!L54</f>
        <v>8</v>
      </c>
      <c r="H56" s="1176">
        <f>OP1_CI!O54</f>
        <v>8.3571428571428577</v>
      </c>
      <c r="I56" s="1174">
        <f t="shared" si="12"/>
        <v>6</v>
      </c>
      <c r="J56" s="1307">
        <f>OP1_CI!P54</f>
        <v>50</v>
      </c>
      <c r="K56" s="1176">
        <f>OP1_CI!W54</f>
        <v>17.5</v>
      </c>
      <c r="L56" s="1188">
        <f t="shared" si="13"/>
        <v>6</v>
      </c>
      <c r="M56" s="1308">
        <f>OP1_CI!X54</f>
        <v>105</v>
      </c>
      <c r="N56" s="1309">
        <f t="shared" si="14"/>
        <v>163</v>
      </c>
      <c r="O56" s="1327"/>
      <c r="P56" s="1123"/>
    </row>
    <row r="57" spans="2:16" s="1128" customFormat="1" ht="21.9" customHeight="1" x14ac:dyDescent="0.25">
      <c r="B57" s="1170">
        <v>5.4</v>
      </c>
      <c r="C57" s="1199" t="s">
        <v>1150</v>
      </c>
      <c r="D57" s="1172" t="s">
        <v>1147</v>
      </c>
      <c r="E57" s="1176">
        <f>OP1_CI!K55</f>
        <v>3.5</v>
      </c>
      <c r="F57" s="1188">
        <f>OP1_CI!G55</f>
        <v>2</v>
      </c>
      <c r="G57" s="1307">
        <f>OP1_CI!L55</f>
        <v>7</v>
      </c>
      <c r="H57" s="1176">
        <f>OP1_CI!O55</f>
        <v>14.142857142857142</v>
      </c>
      <c r="I57" s="1174">
        <f t="shared" si="12"/>
        <v>2</v>
      </c>
      <c r="J57" s="1307">
        <f>OP1_CI!P55</f>
        <v>28</v>
      </c>
      <c r="K57" s="1176">
        <f>OP1_CI!W55</f>
        <v>28</v>
      </c>
      <c r="L57" s="1188">
        <f t="shared" si="13"/>
        <v>2</v>
      </c>
      <c r="M57" s="1308">
        <f>OP1_CI!X55</f>
        <v>56</v>
      </c>
      <c r="N57" s="1309">
        <f t="shared" si="14"/>
        <v>91</v>
      </c>
      <c r="O57" s="1327"/>
      <c r="P57" s="1123"/>
    </row>
    <row r="58" spans="2:16" s="1128" customFormat="1" ht="21.9" customHeight="1" x14ac:dyDescent="0.25">
      <c r="B58" s="1170">
        <v>5.5</v>
      </c>
      <c r="C58" s="1199" t="s">
        <v>210</v>
      </c>
      <c r="D58" s="1172" t="s">
        <v>1149</v>
      </c>
      <c r="E58" s="1176">
        <f>OP1_CI!K56</f>
        <v>1.4</v>
      </c>
      <c r="F58" s="1188">
        <f>OP1_CI!G56</f>
        <v>0</v>
      </c>
      <c r="G58" s="1307">
        <f>OP1_CI!L56</f>
        <v>0</v>
      </c>
      <c r="H58" s="1176">
        <f>OP1_CI!O56</f>
        <v>6.5571428571428569</v>
      </c>
      <c r="I58" s="1174">
        <f t="shared" si="12"/>
        <v>0</v>
      </c>
      <c r="J58" s="1307">
        <f>OP1_CI!P56</f>
        <v>0</v>
      </c>
      <c r="K58" s="1176">
        <f>OP1_CI!W56</f>
        <v>13.299999999999999</v>
      </c>
      <c r="L58" s="1188">
        <f t="shared" si="13"/>
        <v>0</v>
      </c>
      <c r="M58" s="1308">
        <f>OP1_CI!X56</f>
        <v>0</v>
      </c>
      <c r="N58" s="1309">
        <f t="shared" si="14"/>
        <v>0</v>
      </c>
      <c r="O58" s="1327"/>
      <c r="P58" s="1123"/>
    </row>
    <row r="59" spans="2:16" s="1128" customFormat="1" ht="21.9" customHeight="1" x14ac:dyDescent="0.25">
      <c r="B59" s="1170">
        <v>5.6</v>
      </c>
      <c r="C59" s="1199" t="s">
        <v>1151</v>
      </c>
      <c r="D59" s="1172" t="s">
        <v>1149</v>
      </c>
      <c r="E59" s="1176">
        <f>OP1_CI!K57</f>
        <v>3.5</v>
      </c>
      <c r="F59" s="1188">
        <f>OP1_CI!G57</f>
        <v>0</v>
      </c>
      <c r="G59" s="1307">
        <f>OP1_CI!L57</f>
        <v>0</v>
      </c>
      <c r="H59" s="1176">
        <f>OP1_CI!O57</f>
        <v>16.842857142857142</v>
      </c>
      <c r="I59" s="1174">
        <f t="shared" si="12"/>
        <v>0</v>
      </c>
      <c r="J59" s="1307">
        <f>OP1_CI!P57</f>
        <v>0</v>
      </c>
      <c r="K59" s="1176">
        <f>OP1_CI!W57</f>
        <v>34.299999999999997</v>
      </c>
      <c r="L59" s="1188">
        <f t="shared" si="13"/>
        <v>0</v>
      </c>
      <c r="M59" s="1308">
        <f>OP1_CI!X57</f>
        <v>0</v>
      </c>
      <c r="N59" s="1309">
        <f t="shared" si="14"/>
        <v>0</v>
      </c>
      <c r="O59" s="1327"/>
      <c r="P59" s="1123"/>
    </row>
    <row r="60" spans="2:16" s="1128" customFormat="1" ht="21.9" customHeight="1" x14ac:dyDescent="0.25">
      <c r="B60" s="1170">
        <v>5.7</v>
      </c>
      <c r="C60" s="1199" t="s">
        <v>1152</v>
      </c>
      <c r="D60" s="1172" t="s">
        <v>1149</v>
      </c>
      <c r="E60" s="1176">
        <f>OP1_CI!K58</f>
        <v>1.75</v>
      </c>
      <c r="F60" s="1188">
        <f>OP1_CI!G58</f>
        <v>17</v>
      </c>
      <c r="G60" s="1307">
        <f>OP1_CI!L58</f>
        <v>30</v>
      </c>
      <c r="H60" s="1176">
        <f>OP1_CI!O58</f>
        <v>13.071428571428571</v>
      </c>
      <c r="I60" s="1174">
        <f t="shared" si="12"/>
        <v>17</v>
      </c>
      <c r="J60" s="1307">
        <f>OP1_CI!P58</f>
        <v>222</v>
      </c>
      <c r="K60" s="1176">
        <f>OP1_CI!W58</f>
        <v>28</v>
      </c>
      <c r="L60" s="1188">
        <f t="shared" si="13"/>
        <v>17</v>
      </c>
      <c r="M60" s="1308">
        <f>OP1_CI!X58</f>
        <v>476</v>
      </c>
      <c r="N60" s="1309">
        <f t="shared" si="14"/>
        <v>728</v>
      </c>
      <c r="O60" s="1327"/>
      <c r="P60" s="1123"/>
    </row>
    <row r="61" spans="2:16" s="1128" customFormat="1" ht="21.9" customHeight="1" x14ac:dyDescent="0.25">
      <c r="B61" s="1170">
        <v>5.8</v>
      </c>
      <c r="C61" s="1199" t="s">
        <v>1153</v>
      </c>
      <c r="D61" s="1172" t="s">
        <v>1149</v>
      </c>
      <c r="E61" s="1176">
        <f>OP1_CI!K59</f>
        <v>2.8</v>
      </c>
      <c r="F61" s="1188">
        <f>OP1_CI!G59</f>
        <v>0</v>
      </c>
      <c r="G61" s="1307">
        <f>OP1_CI!L59</f>
        <v>0</v>
      </c>
      <c r="H61" s="1176">
        <f>OP1_CI!O59</f>
        <v>21.814285714285713</v>
      </c>
      <c r="I61" s="1174">
        <f t="shared" si="12"/>
        <v>0</v>
      </c>
      <c r="J61" s="1307">
        <f>OP1_CI!P59</f>
        <v>0</v>
      </c>
      <c r="K61" s="1176">
        <f>OP1_CI!W59</f>
        <v>46.9</v>
      </c>
      <c r="L61" s="1188">
        <f t="shared" si="13"/>
        <v>0</v>
      </c>
      <c r="M61" s="1308">
        <f>OP1_CI!X59</f>
        <v>0</v>
      </c>
      <c r="N61" s="1309">
        <f t="shared" si="14"/>
        <v>0</v>
      </c>
      <c r="O61" s="1327"/>
      <c r="P61" s="1123"/>
    </row>
    <row r="62" spans="2:16" s="1128" customFormat="1" ht="21.9" customHeight="1" x14ac:dyDescent="0.25">
      <c r="B62" s="1170">
        <v>5.9</v>
      </c>
      <c r="C62" s="1199" t="s">
        <v>614</v>
      </c>
      <c r="D62" s="1172" t="s">
        <v>1149</v>
      </c>
      <c r="E62" s="1176">
        <f>OP1_CI!K60</f>
        <v>2.0999999999999996</v>
      </c>
      <c r="F62" s="1188">
        <f>OP1_CI!G60</f>
        <v>0</v>
      </c>
      <c r="G62" s="1307">
        <f>OP1_CI!L60</f>
        <v>0</v>
      </c>
      <c r="H62" s="1176">
        <f>OP1_CI!O60</f>
        <v>16.285714285714285</v>
      </c>
      <c r="I62" s="1174">
        <f t="shared" si="12"/>
        <v>0</v>
      </c>
      <c r="J62" s="1307">
        <f>OP1_CI!P60</f>
        <v>0</v>
      </c>
      <c r="K62" s="1176">
        <f>OP1_CI!W60</f>
        <v>35</v>
      </c>
      <c r="L62" s="1188">
        <f t="shared" si="13"/>
        <v>0</v>
      </c>
      <c r="M62" s="1308">
        <f>OP1_CI!X60</f>
        <v>0</v>
      </c>
      <c r="N62" s="1309">
        <f t="shared" si="14"/>
        <v>0</v>
      </c>
      <c r="O62" s="1327"/>
      <c r="P62" s="1123"/>
    </row>
    <row r="63" spans="2:16" s="1128" customFormat="1" ht="21.9" customHeight="1" x14ac:dyDescent="0.25">
      <c r="B63" s="1216">
        <v>5.0999999999999996</v>
      </c>
      <c r="C63" s="1199" t="s">
        <v>1031</v>
      </c>
      <c r="D63" s="1172" t="s">
        <v>1149</v>
      </c>
      <c r="E63" s="1176">
        <f>OP1_CI!K61</f>
        <v>2.0999999999999996</v>
      </c>
      <c r="F63" s="1188">
        <f>OP1_CI!G61</f>
        <v>0</v>
      </c>
      <c r="G63" s="1307">
        <f>OP1_CI!L61</f>
        <v>0</v>
      </c>
      <c r="H63" s="1176">
        <f>OP1_CI!O61</f>
        <v>11.485714285714284</v>
      </c>
      <c r="I63" s="1174">
        <f t="shared" si="12"/>
        <v>0</v>
      </c>
      <c r="J63" s="1307">
        <f>OP1_CI!P61</f>
        <v>0</v>
      </c>
      <c r="K63" s="1176">
        <f>OP1_CI!W61</f>
        <v>23.799999999999997</v>
      </c>
      <c r="L63" s="1188">
        <f t="shared" si="13"/>
        <v>0</v>
      </c>
      <c r="M63" s="1308">
        <f>OP1_CI!X61</f>
        <v>0</v>
      </c>
      <c r="N63" s="1309">
        <f t="shared" si="14"/>
        <v>0</v>
      </c>
      <c r="O63" s="1327"/>
      <c r="P63" s="1123"/>
    </row>
    <row r="64" spans="2:16" s="1128" customFormat="1" ht="21.9" customHeight="1" x14ac:dyDescent="0.25">
      <c r="B64" s="1216">
        <v>5.1100000000000003</v>
      </c>
      <c r="C64" s="1199" t="s">
        <v>237</v>
      </c>
      <c r="D64" s="1172" t="s">
        <v>1149</v>
      </c>
      <c r="E64" s="1176">
        <f>OP1_CI!K62</f>
        <v>2.0999999999999996</v>
      </c>
      <c r="F64" s="1188">
        <f>OP1_CI!G62</f>
        <v>12</v>
      </c>
      <c r="G64" s="1307">
        <f>OP1_CI!L62</f>
        <v>25</v>
      </c>
      <c r="H64" s="1176">
        <f>OP1_CI!O62</f>
        <v>11.485714285714284</v>
      </c>
      <c r="I64" s="1174">
        <f t="shared" si="12"/>
        <v>12</v>
      </c>
      <c r="J64" s="1307">
        <f>OP1_CI!P62</f>
        <v>137</v>
      </c>
      <c r="K64" s="1176">
        <f>OP1_CI!W62</f>
        <v>23.799999999999997</v>
      </c>
      <c r="L64" s="1188">
        <f t="shared" si="13"/>
        <v>12</v>
      </c>
      <c r="M64" s="1308">
        <f>OP1_CI!X62</f>
        <v>286</v>
      </c>
      <c r="N64" s="1309">
        <f t="shared" si="14"/>
        <v>448</v>
      </c>
      <c r="O64" s="1327"/>
      <c r="P64" s="1123"/>
    </row>
    <row r="65" spans="2:16" s="1128" customFormat="1" ht="21.9" customHeight="1" x14ac:dyDescent="0.25">
      <c r="B65" s="1216">
        <v>5.12</v>
      </c>
      <c r="C65" s="1199" t="s">
        <v>242</v>
      </c>
      <c r="D65" s="1172" t="s">
        <v>1149</v>
      </c>
      <c r="E65" s="1176">
        <f>OP1_CI!K63</f>
        <v>2.8</v>
      </c>
      <c r="F65" s="1188">
        <f>OP1_CI!G63</f>
        <v>8</v>
      </c>
      <c r="G65" s="1307">
        <f>OP1_CI!L63</f>
        <v>22</v>
      </c>
      <c r="H65" s="1176">
        <f>OP1_CI!O63</f>
        <v>13.714285714285715</v>
      </c>
      <c r="I65" s="1174">
        <f t="shared" si="12"/>
        <v>8</v>
      </c>
      <c r="J65" s="1307">
        <f>OP1_CI!P63</f>
        <v>110</v>
      </c>
      <c r="K65" s="1176">
        <f>OP1_CI!W63</f>
        <v>28</v>
      </c>
      <c r="L65" s="1188">
        <f t="shared" si="13"/>
        <v>8</v>
      </c>
      <c r="M65" s="1308">
        <f>OP1_CI!X63</f>
        <v>224</v>
      </c>
      <c r="N65" s="1309">
        <f t="shared" si="14"/>
        <v>356</v>
      </c>
      <c r="O65" s="1327"/>
      <c r="P65" s="1123"/>
    </row>
    <row r="66" spans="2:16" s="1128" customFormat="1" ht="21.9" customHeight="1" x14ac:dyDescent="0.25">
      <c r="B66" s="1216">
        <v>5.13</v>
      </c>
      <c r="C66" s="1199" t="s">
        <v>1154</v>
      </c>
      <c r="D66" s="1172" t="s">
        <v>1149</v>
      </c>
      <c r="E66" s="1176">
        <f>OP1_CI!K64</f>
        <v>1.4</v>
      </c>
      <c r="F66" s="1188">
        <f>OP1_CI!G64</f>
        <v>8</v>
      </c>
      <c r="G66" s="1307">
        <f>OP1_CI!L64</f>
        <v>11</v>
      </c>
      <c r="H66" s="1176">
        <f>OP1_CI!O64</f>
        <v>6.5571428571428569</v>
      </c>
      <c r="I66" s="1174">
        <f t="shared" si="12"/>
        <v>8</v>
      </c>
      <c r="J66" s="1307">
        <f>OP1_CI!P64</f>
        <v>53</v>
      </c>
      <c r="K66" s="1176">
        <f>OP1_CI!W64</f>
        <v>13.299999999999999</v>
      </c>
      <c r="L66" s="1188">
        <f t="shared" si="13"/>
        <v>8</v>
      </c>
      <c r="M66" s="1308">
        <f>OP1_CI!X64</f>
        <v>106</v>
      </c>
      <c r="N66" s="1309">
        <f t="shared" si="14"/>
        <v>170</v>
      </c>
      <c r="O66" s="1327"/>
      <c r="P66" s="1123"/>
    </row>
    <row r="67" spans="2:16" s="1128" customFormat="1" ht="21.9" customHeight="1" x14ac:dyDescent="0.25">
      <c r="B67" s="1216">
        <v>5.14</v>
      </c>
      <c r="C67" s="1199" t="s">
        <v>1155</v>
      </c>
      <c r="D67" s="1172" t="s">
        <v>1140</v>
      </c>
      <c r="E67" s="1176">
        <f>OP1_CI!K65</f>
        <v>0.35</v>
      </c>
      <c r="F67" s="1188">
        <f>OP1_CI!G65</f>
        <v>51</v>
      </c>
      <c r="G67" s="1307">
        <f>OP1_CI!L65</f>
        <v>18</v>
      </c>
      <c r="H67" s="1176">
        <f>OP1_CI!O65</f>
        <v>1.5642857142857141</v>
      </c>
      <c r="I67" s="1174">
        <f t="shared" si="12"/>
        <v>51</v>
      </c>
      <c r="J67" s="1307">
        <f>OP1_CI!P65</f>
        <v>80</v>
      </c>
      <c r="K67" s="1176">
        <f>OP1_CI!W65</f>
        <v>3.15</v>
      </c>
      <c r="L67" s="1188">
        <f t="shared" si="13"/>
        <v>51</v>
      </c>
      <c r="M67" s="1308">
        <f>OP1_CI!X65</f>
        <v>161</v>
      </c>
      <c r="N67" s="1309">
        <f t="shared" si="14"/>
        <v>259</v>
      </c>
      <c r="O67" s="1327"/>
      <c r="P67" s="1123"/>
    </row>
    <row r="68" spans="2:16" s="1128" customFormat="1" ht="21.9" customHeight="1" x14ac:dyDescent="0.25">
      <c r="B68" s="1216">
        <v>5.15</v>
      </c>
      <c r="C68" s="1199" t="s">
        <v>253</v>
      </c>
      <c r="D68" s="1172" t="s">
        <v>1140</v>
      </c>
      <c r="E68" s="1176">
        <f>OP1_CI!K66</f>
        <v>0.35</v>
      </c>
      <c r="F68" s="1188">
        <f>OP1_CI!G66</f>
        <v>20</v>
      </c>
      <c r="G68" s="1307">
        <f>OP1_CI!L66</f>
        <v>7</v>
      </c>
      <c r="H68" s="1176">
        <f>OP1_CI!O66</f>
        <v>1.5642857142857141</v>
      </c>
      <c r="I68" s="1174">
        <f t="shared" si="12"/>
        <v>20</v>
      </c>
      <c r="J68" s="1307">
        <f>OP1_CI!P66</f>
        <v>31</v>
      </c>
      <c r="K68" s="1176">
        <f>OP1_CI!W66</f>
        <v>3.15</v>
      </c>
      <c r="L68" s="1188">
        <f t="shared" si="13"/>
        <v>20</v>
      </c>
      <c r="M68" s="1308">
        <f>OP1_CI!X66</f>
        <v>63</v>
      </c>
      <c r="N68" s="1309">
        <f t="shared" si="14"/>
        <v>101</v>
      </c>
      <c r="O68" s="1327"/>
      <c r="P68" s="1123"/>
    </row>
    <row r="69" spans="2:16" s="1128" customFormat="1" ht="21.9" customHeight="1" x14ac:dyDescent="0.25">
      <c r="B69" s="1216">
        <v>5.16</v>
      </c>
      <c r="C69" s="1199" t="s">
        <v>1156</v>
      </c>
      <c r="D69" s="1172" t="s">
        <v>1140</v>
      </c>
      <c r="E69" s="1176">
        <f>OP1_CI!K67</f>
        <v>0.35</v>
      </c>
      <c r="F69" s="1217">
        <f>OP1_CI!G67</f>
        <v>20</v>
      </c>
      <c r="G69" s="1307">
        <f>OP1_CI!L67</f>
        <v>7</v>
      </c>
      <c r="H69" s="1176">
        <f>OP1_CI!O67</f>
        <v>1.5642857142857141</v>
      </c>
      <c r="I69" s="1174">
        <f t="shared" si="12"/>
        <v>20</v>
      </c>
      <c r="J69" s="1307">
        <f>OP1_CI!P67</f>
        <v>31</v>
      </c>
      <c r="K69" s="1176">
        <f>OP1_CI!W67</f>
        <v>3.15</v>
      </c>
      <c r="L69" s="1188">
        <f t="shared" si="13"/>
        <v>20</v>
      </c>
      <c r="M69" s="1308">
        <f>OP1_CI!X67</f>
        <v>63</v>
      </c>
      <c r="N69" s="1309">
        <f t="shared" si="14"/>
        <v>101</v>
      </c>
      <c r="O69" s="1327"/>
      <c r="P69" s="1123"/>
    </row>
    <row r="70" spans="2:16" s="1128" customFormat="1" ht="21.9" customHeight="1" x14ac:dyDescent="0.25">
      <c r="B70" s="1216">
        <v>5.17</v>
      </c>
      <c r="C70" s="1199" t="s">
        <v>1157</v>
      </c>
      <c r="D70" s="1172" t="s">
        <v>1140</v>
      </c>
      <c r="E70" s="1176">
        <f>OP1_CI!K68</f>
        <v>0.35</v>
      </c>
      <c r="F70" s="1188">
        <f>OP1_CI!G68</f>
        <v>110</v>
      </c>
      <c r="G70" s="1307">
        <f>OP1_CI!L68</f>
        <v>39</v>
      </c>
      <c r="H70" s="1176">
        <f>OP1_CI!O68</f>
        <v>0.81428571428571428</v>
      </c>
      <c r="I70" s="1174">
        <f t="shared" si="12"/>
        <v>110</v>
      </c>
      <c r="J70" s="1307">
        <f>OP1_CI!P68</f>
        <v>90</v>
      </c>
      <c r="K70" s="1176">
        <f>OP1_CI!W68</f>
        <v>1.4</v>
      </c>
      <c r="L70" s="1188">
        <f t="shared" si="13"/>
        <v>110</v>
      </c>
      <c r="M70" s="1308">
        <f>OP1_CI!X68</f>
        <v>154</v>
      </c>
      <c r="N70" s="1309">
        <f t="shared" si="14"/>
        <v>283</v>
      </c>
      <c r="O70" s="1327"/>
      <c r="P70" s="1123"/>
    </row>
    <row r="71" spans="2:16" s="1128" customFormat="1" ht="21.9" customHeight="1" x14ac:dyDescent="0.25">
      <c r="B71" s="1216">
        <v>5.18</v>
      </c>
      <c r="C71" s="1199" t="s">
        <v>1158</v>
      </c>
      <c r="D71" s="1172" t="s">
        <v>1147</v>
      </c>
      <c r="E71" s="1176">
        <f>OP1_CI!K69</f>
        <v>1.4</v>
      </c>
      <c r="F71" s="1188">
        <f>OP1_CI!G69</f>
        <v>95</v>
      </c>
      <c r="G71" s="1307">
        <f>OP1_CI!L69</f>
        <v>133</v>
      </c>
      <c r="H71" s="1176">
        <f>OP1_CI!O69</f>
        <v>1.0071428571428571</v>
      </c>
      <c r="I71" s="1174">
        <f t="shared" si="12"/>
        <v>95</v>
      </c>
      <c r="J71" s="1307">
        <f>OP1_CI!P69</f>
        <v>95</v>
      </c>
      <c r="K71" s="1176">
        <f>OP1_CI!W69</f>
        <v>0.35</v>
      </c>
      <c r="L71" s="1188">
        <f t="shared" si="13"/>
        <v>95</v>
      </c>
      <c r="M71" s="1308">
        <f>OP1_CI!X69</f>
        <v>33</v>
      </c>
      <c r="N71" s="1309">
        <f t="shared" si="14"/>
        <v>261</v>
      </c>
      <c r="O71" s="1327"/>
      <c r="P71" s="1123"/>
    </row>
    <row r="72" spans="2:16" s="1128" customFormat="1" ht="21.9" customHeight="1" x14ac:dyDescent="0.25">
      <c r="B72" s="1216">
        <v>5.19</v>
      </c>
      <c r="C72" s="1199" t="s">
        <v>1034</v>
      </c>
      <c r="D72" s="1172" t="s">
        <v>1140</v>
      </c>
      <c r="E72" s="1176">
        <f>OP1_CI!K70</f>
        <v>0.35</v>
      </c>
      <c r="F72" s="1188">
        <f>OP1_CI!G70</f>
        <v>0</v>
      </c>
      <c r="G72" s="1307">
        <f>OP1_CI!L70</f>
        <v>0</v>
      </c>
      <c r="H72" s="1176">
        <f>OP1_CI!O70</f>
        <v>0.81428571428571428</v>
      </c>
      <c r="I72" s="1174">
        <f t="shared" si="12"/>
        <v>0</v>
      </c>
      <c r="J72" s="1307">
        <f>OP1_CI!P70</f>
        <v>0</v>
      </c>
      <c r="K72" s="1176">
        <f>OP1_CI!W70</f>
        <v>1.4</v>
      </c>
      <c r="L72" s="1188">
        <f t="shared" si="13"/>
        <v>0</v>
      </c>
      <c r="M72" s="1308">
        <f>OP1_CI!X70</f>
        <v>0</v>
      </c>
      <c r="N72" s="1309">
        <f t="shared" si="14"/>
        <v>0</v>
      </c>
      <c r="O72" s="1327"/>
      <c r="P72" s="1123"/>
    </row>
    <row r="73" spans="2:16" s="1128" customFormat="1" ht="21.9" customHeight="1" x14ac:dyDescent="0.25">
      <c r="B73" s="1216">
        <v>5.2</v>
      </c>
      <c r="C73" s="1199" t="s">
        <v>273</v>
      </c>
      <c r="D73" s="1172" t="s">
        <v>1138</v>
      </c>
      <c r="E73" s="1176">
        <f>OP1_CI!K71</f>
        <v>0.21</v>
      </c>
      <c r="F73" s="1188">
        <f>OP1_CI!G71</f>
        <v>0</v>
      </c>
      <c r="G73" s="1307">
        <f>OP1_CI!L71</f>
        <v>0</v>
      </c>
      <c r="H73" s="1176">
        <f>OP1_CI!O71</f>
        <v>0.27857142857142858</v>
      </c>
      <c r="I73" s="1174">
        <f t="shared" si="12"/>
        <v>0</v>
      </c>
      <c r="J73" s="1307">
        <f>OP1_CI!P71</f>
        <v>0</v>
      </c>
      <c r="K73" s="1176">
        <f>OP1_CI!W71</f>
        <v>0.35</v>
      </c>
      <c r="L73" s="1188">
        <f t="shared" si="13"/>
        <v>0</v>
      </c>
      <c r="M73" s="1308">
        <f>OP1_CI!X71</f>
        <v>0</v>
      </c>
      <c r="N73" s="1309">
        <f t="shared" si="14"/>
        <v>0</v>
      </c>
      <c r="O73" s="1327"/>
      <c r="P73" s="1123"/>
    </row>
    <row r="74" spans="2:16" s="1128" customFormat="1" ht="21.9" customHeight="1" x14ac:dyDescent="0.25">
      <c r="B74" s="1216">
        <v>5.21</v>
      </c>
      <c r="C74" s="1199" t="s">
        <v>277</v>
      </c>
      <c r="D74" s="1172" t="s">
        <v>1147</v>
      </c>
      <c r="E74" s="1176">
        <f>OP1_CI!K72</f>
        <v>1.4</v>
      </c>
      <c r="F74" s="1188">
        <f>OP1_CI!G72</f>
        <v>200</v>
      </c>
      <c r="G74" s="1307">
        <f>OP1_CI!L72</f>
        <v>280</v>
      </c>
      <c r="H74" s="1176">
        <f>OP1_CI!O72</f>
        <v>2.3571428571428572</v>
      </c>
      <c r="I74" s="1174">
        <f t="shared" si="12"/>
        <v>200</v>
      </c>
      <c r="J74" s="1307">
        <f>OP1_CI!P72</f>
        <v>471</v>
      </c>
      <c r="K74" s="1176">
        <f>OP1_CI!W72</f>
        <v>3.5</v>
      </c>
      <c r="L74" s="1188">
        <f t="shared" si="13"/>
        <v>200</v>
      </c>
      <c r="M74" s="1308">
        <f>OP1_CI!X72</f>
        <v>700</v>
      </c>
      <c r="N74" s="1309">
        <f t="shared" si="14"/>
        <v>1451</v>
      </c>
      <c r="O74" s="1327"/>
      <c r="P74" s="1123"/>
    </row>
    <row r="75" spans="2:16" s="1128" customFormat="1" ht="21.9" customHeight="1" x14ac:dyDescent="0.25">
      <c r="B75" s="1170"/>
      <c r="C75" s="1199"/>
      <c r="D75" s="1172"/>
      <c r="E75" s="1176"/>
      <c r="F75" s="1188"/>
      <c r="G75" s="1307"/>
      <c r="H75" s="1176"/>
      <c r="I75" s="1188"/>
      <c r="J75" s="1307"/>
      <c r="K75" s="1176"/>
      <c r="L75" s="1174"/>
      <c r="M75" s="1308"/>
      <c r="N75" s="1318"/>
      <c r="O75" s="1330"/>
      <c r="P75" s="1123"/>
    </row>
    <row r="76" spans="2:16" s="1139" customFormat="1" ht="21.9" customHeight="1" x14ac:dyDescent="0.25">
      <c r="B76" s="1157">
        <v>6</v>
      </c>
      <c r="C76" s="1166" t="s">
        <v>1159</v>
      </c>
      <c r="D76" s="1159"/>
      <c r="E76" s="1203"/>
      <c r="F76" s="1201"/>
      <c r="G76" s="1323"/>
      <c r="H76" s="1203"/>
      <c r="I76" s="1201"/>
      <c r="J76" s="1323"/>
      <c r="K76" s="1203"/>
      <c r="L76" s="1204"/>
      <c r="M76" s="1324"/>
      <c r="N76" s="1329"/>
      <c r="O76" s="1301"/>
      <c r="P76" s="1138"/>
    </row>
    <row r="77" spans="2:16" s="1128" customFormat="1" ht="21.9" customHeight="1" x14ac:dyDescent="0.25">
      <c r="B77" s="1170">
        <v>6.1</v>
      </c>
      <c r="C77" s="1199" t="s">
        <v>1159</v>
      </c>
      <c r="D77" s="1172" t="s">
        <v>1124</v>
      </c>
      <c r="E77" s="1173">
        <f>OP1_CI!K73</f>
        <v>280</v>
      </c>
      <c r="F77" s="1188">
        <f>OP1_CI!G73</f>
        <v>1</v>
      </c>
      <c r="G77" s="1307">
        <f>OP1_CI!L73</f>
        <v>280</v>
      </c>
      <c r="H77" s="1173" t="str">
        <f>OP1_CI!O73</f>
        <v>-</v>
      </c>
      <c r="I77" s="1174">
        <f t="shared" ref="I77" si="15">F77</f>
        <v>1</v>
      </c>
      <c r="J77" s="1307">
        <f>OP1_CI!P73</f>
        <v>441</v>
      </c>
      <c r="K77" s="1176" t="s">
        <v>98</v>
      </c>
      <c r="L77" s="1188">
        <f>F77</f>
        <v>1</v>
      </c>
      <c r="M77" s="1308">
        <f>OP1_CI!X73</f>
        <v>630</v>
      </c>
      <c r="N77" s="1309">
        <f>G77+J77+M77</f>
        <v>1351</v>
      </c>
      <c r="O77" s="1301"/>
      <c r="P77" s="1123"/>
    </row>
    <row r="78" spans="2:16" s="1128" customFormat="1" ht="21.9" customHeight="1" x14ac:dyDescent="0.25">
      <c r="B78" s="1170"/>
      <c r="C78" s="1199"/>
      <c r="D78" s="1172"/>
      <c r="E78" s="1176"/>
      <c r="F78" s="1188"/>
      <c r="G78" s="1307"/>
      <c r="H78" s="1176"/>
      <c r="I78" s="1188"/>
      <c r="J78" s="1307"/>
      <c r="K78" s="1176"/>
      <c r="L78" s="1174"/>
      <c r="M78" s="1308"/>
      <c r="N78" s="1318"/>
      <c r="O78" s="1330"/>
      <c r="P78" s="1123"/>
    </row>
    <row r="79" spans="2:16" s="1128" customFormat="1" ht="21.9" customHeight="1" x14ac:dyDescent="0.25">
      <c r="B79" s="1157">
        <v>7</v>
      </c>
      <c r="C79" s="1166" t="s">
        <v>1160</v>
      </c>
      <c r="D79" s="1172"/>
      <c r="E79" s="1176"/>
      <c r="F79" s="1188"/>
      <c r="G79" s="1307"/>
      <c r="H79" s="1176"/>
      <c r="I79" s="1188"/>
      <c r="J79" s="1307"/>
      <c r="K79" s="1176"/>
      <c r="L79" s="1174"/>
      <c r="M79" s="1308"/>
      <c r="N79" s="1331"/>
      <c r="O79" s="1310"/>
      <c r="P79" s="1123"/>
    </row>
    <row r="80" spans="2:16" s="1128" customFormat="1" ht="21.9" customHeight="1" x14ac:dyDescent="0.25">
      <c r="B80" s="1219">
        <v>7.1</v>
      </c>
      <c r="C80" s="1187" t="s">
        <v>1161</v>
      </c>
      <c r="D80" s="1172"/>
      <c r="E80" s="1176"/>
      <c r="F80" s="1188"/>
      <c r="G80" s="1307"/>
      <c r="H80" s="1176"/>
      <c r="I80" s="1188"/>
      <c r="J80" s="1307"/>
      <c r="K80" s="1176"/>
      <c r="L80" s="1174"/>
      <c r="M80" s="1308"/>
      <c r="N80" s="1331"/>
      <c r="O80" s="1310"/>
      <c r="P80" s="1123"/>
    </row>
    <row r="81" spans="2:16" s="1128" customFormat="1" ht="21.9" customHeight="1" x14ac:dyDescent="0.25">
      <c r="B81" s="1170" t="s">
        <v>1162</v>
      </c>
      <c r="C81" s="1209" t="s">
        <v>1163</v>
      </c>
      <c r="D81" s="1172" t="s">
        <v>152</v>
      </c>
      <c r="E81" s="1176">
        <f>OP1_CI!K75</f>
        <v>0</v>
      </c>
      <c r="F81" s="1188">
        <f>IF(Input_CI!AH57="Yes",OP1_CI!G75,0)</f>
        <v>0</v>
      </c>
      <c r="G81" s="1307">
        <f>OP1_CI!L75</f>
        <v>0</v>
      </c>
      <c r="H81" s="1176">
        <f>OP1_CI!O75</f>
        <v>0</v>
      </c>
      <c r="I81" s="1174">
        <f t="shared" ref="I81:I82" si="16">F81</f>
        <v>0</v>
      </c>
      <c r="J81" s="1307">
        <f>OP1_CI!P75</f>
        <v>0</v>
      </c>
      <c r="K81" s="1176"/>
      <c r="L81" s="1188"/>
      <c r="M81" s="1308"/>
      <c r="N81" s="1309">
        <f>G81+J81+M81</f>
        <v>0</v>
      </c>
      <c r="O81" s="1310"/>
      <c r="P81" s="1123"/>
    </row>
    <row r="82" spans="2:16" s="1128" customFormat="1" ht="21.9" customHeight="1" x14ac:dyDescent="0.25">
      <c r="B82" s="1170" t="s">
        <v>1164</v>
      </c>
      <c r="C82" s="1209" t="s">
        <v>1165</v>
      </c>
      <c r="D82" s="1172" t="s">
        <v>152</v>
      </c>
      <c r="E82" s="1176">
        <f>OP1_CI!K76</f>
        <v>0</v>
      </c>
      <c r="F82" s="1188">
        <f>IF(Input_CI!AH58="Yes",OP1_CI!G76,0)</f>
        <v>0</v>
      </c>
      <c r="G82" s="1307">
        <f>OP1_CI!L76</f>
        <v>0</v>
      </c>
      <c r="H82" s="1176">
        <f>OP1_CI!O76</f>
        <v>0</v>
      </c>
      <c r="I82" s="1174">
        <f t="shared" si="16"/>
        <v>0</v>
      </c>
      <c r="J82" s="1307">
        <f>OP1_CI!P76</f>
        <v>0</v>
      </c>
      <c r="K82" s="1176"/>
      <c r="L82" s="1188"/>
      <c r="M82" s="1308"/>
      <c r="N82" s="1331">
        <f>SUM(G82,M82)</f>
        <v>0</v>
      </c>
      <c r="O82" s="1310"/>
      <c r="P82" s="1123"/>
    </row>
    <row r="83" spans="2:16" s="1128" customFormat="1" ht="28.5" customHeight="1" x14ac:dyDescent="0.25">
      <c r="B83" s="1170" t="s">
        <v>1166</v>
      </c>
      <c r="C83" s="1209" t="s">
        <v>1167</v>
      </c>
      <c r="D83" s="1172" t="s">
        <v>1136</v>
      </c>
      <c r="E83" s="1176"/>
      <c r="F83" s="1188"/>
      <c r="G83" s="1307"/>
      <c r="H83" s="1176">
        <f>OP1_CI!O77</f>
        <v>0.09</v>
      </c>
      <c r="I83" s="1188">
        <f>IF(Input_CI!AH59="Yes",OP1_CI!$G$77,0)</f>
        <v>0</v>
      </c>
      <c r="J83" s="1307">
        <f>OP1_CI!P77</f>
        <v>0</v>
      </c>
      <c r="K83" s="1176">
        <f>OP1_CI!W77</f>
        <v>0.21</v>
      </c>
      <c r="L83" s="1174">
        <f>IF(Input_CI!AH59="Yes",OP1_CI!$G$77,0)</f>
        <v>0</v>
      </c>
      <c r="M83" s="1308">
        <f>K83*L83</f>
        <v>0</v>
      </c>
      <c r="N83" s="1309">
        <f>G83+J83+M83</f>
        <v>0</v>
      </c>
      <c r="O83" s="1310"/>
      <c r="P83" s="1123"/>
    </row>
    <row r="84" spans="2:16" s="1128" customFormat="1" ht="21.9" customHeight="1" x14ac:dyDescent="0.25">
      <c r="B84" s="1170" t="s">
        <v>1168</v>
      </c>
      <c r="C84" s="1209" t="s">
        <v>753</v>
      </c>
      <c r="D84" s="1172" t="s">
        <v>147</v>
      </c>
      <c r="E84" s="1176">
        <f>OP1_CI!K78</f>
        <v>0</v>
      </c>
      <c r="F84" s="1188">
        <f>IF(Input_CI!AH60="Yes",OP1_CI!G78,0)</f>
        <v>0</v>
      </c>
      <c r="G84" s="1307">
        <f>OP1_CI!L78</f>
        <v>0</v>
      </c>
      <c r="H84" s="1176">
        <f>OP1_CI!O78</f>
        <v>0</v>
      </c>
      <c r="I84" s="1174">
        <f>F84</f>
        <v>0</v>
      </c>
      <c r="J84" s="1307">
        <f>OP1_CI!P78</f>
        <v>0</v>
      </c>
      <c r="K84" s="1176">
        <f>OP1_CI!W78</f>
        <v>0</v>
      </c>
      <c r="L84" s="1188">
        <f>IF(Input_CI!AH60="Yes",OP1_CI!$G$78,0)</f>
        <v>0</v>
      </c>
      <c r="M84" s="1308">
        <f>OP1_CI!X78</f>
        <v>0</v>
      </c>
      <c r="N84" s="1331">
        <f>SUM(G84,M84)</f>
        <v>0</v>
      </c>
      <c r="O84" s="1310"/>
      <c r="P84" s="1123"/>
    </row>
    <row r="85" spans="2:16" s="1139" customFormat="1" ht="21.9" customHeight="1" x14ac:dyDescent="0.25">
      <c r="B85" s="1219">
        <v>7.2</v>
      </c>
      <c r="C85" s="1187" t="s">
        <v>1169</v>
      </c>
      <c r="D85" s="1159"/>
      <c r="E85" s="1203"/>
      <c r="F85" s="1201"/>
      <c r="G85" s="1323"/>
      <c r="H85" s="1203"/>
      <c r="I85" s="1201"/>
      <c r="J85" s="1323"/>
      <c r="K85" s="1203"/>
      <c r="L85" s="1204"/>
      <c r="M85" s="1324"/>
      <c r="N85" s="1329"/>
      <c r="O85" s="1301"/>
      <c r="P85" s="1138"/>
    </row>
    <row r="86" spans="2:16" s="1128" customFormat="1" ht="21.9" customHeight="1" x14ac:dyDescent="0.25">
      <c r="B86" s="1170" t="s">
        <v>1170</v>
      </c>
      <c r="C86" s="1209" t="s">
        <v>1171</v>
      </c>
      <c r="D86" s="1172" t="s">
        <v>152</v>
      </c>
      <c r="E86" s="1220" t="s">
        <v>98</v>
      </c>
      <c r="F86" s="1188">
        <f>OP1_CI!G80</f>
        <v>5300</v>
      </c>
      <c r="G86" s="1307">
        <f>OP1_CI!L80</f>
        <v>57</v>
      </c>
      <c r="H86" s="1220" t="s">
        <v>98</v>
      </c>
      <c r="I86" s="1174">
        <f t="shared" ref="I86" si="17">F86</f>
        <v>5300</v>
      </c>
      <c r="J86" s="1307">
        <f>OP1_CI!P80</f>
        <v>312</v>
      </c>
      <c r="K86" s="1220" t="s">
        <v>98</v>
      </c>
      <c r="L86" s="1188">
        <f>F86</f>
        <v>5300</v>
      </c>
      <c r="M86" s="1308">
        <f>OP1_CI!X80</f>
        <v>647</v>
      </c>
      <c r="N86" s="1309">
        <f t="shared" ref="N86:N88" si="18">G86+J86+M86</f>
        <v>1016</v>
      </c>
      <c r="O86" s="1330"/>
      <c r="P86" s="1123"/>
    </row>
    <row r="87" spans="2:16" s="1128" customFormat="1" ht="21.9" customHeight="1" x14ac:dyDescent="0.25">
      <c r="B87" s="1170" t="s">
        <v>1172</v>
      </c>
      <c r="C87" s="1221" t="s">
        <v>767</v>
      </c>
      <c r="D87" s="1172" t="s">
        <v>147</v>
      </c>
      <c r="E87" s="1176"/>
      <c r="F87" s="1188"/>
      <c r="G87" s="1307"/>
      <c r="H87" s="1220" t="s">
        <v>98</v>
      </c>
      <c r="I87" s="1174">
        <f>OP1_CI!G81</f>
        <v>0</v>
      </c>
      <c r="J87" s="1307">
        <f>OP1_CI!P81</f>
        <v>0</v>
      </c>
      <c r="K87" s="1176" t="str">
        <f>OP1_CI!W81</f>
        <v>-</v>
      </c>
      <c r="L87" s="1174">
        <f>OP1_CI!$G$81</f>
        <v>0</v>
      </c>
      <c r="M87" s="1308">
        <f>OP1_CI!X81</f>
        <v>0</v>
      </c>
      <c r="N87" s="1309">
        <f t="shared" si="18"/>
        <v>0</v>
      </c>
      <c r="O87" s="1330"/>
      <c r="P87" s="1123"/>
    </row>
    <row r="88" spans="2:16" s="1128" customFormat="1" ht="21.9" customHeight="1" x14ac:dyDescent="0.25">
      <c r="B88" s="1219">
        <v>7.3</v>
      </c>
      <c r="C88" s="1187" t="s">
        <v>1221</v>
      </c>
      <c r="D88" s="1172" t="s">
        <v>1174</v>
      </c>
      <c r="E88" s="1176"/>
      <c r="F88" s="1188"/>
      <c r="G88" s="1307"/>
      <c r="H88" s="1220" t="s">
        <v>98</v>
      </c>
      <c r="I88" s="1188">
        <f>OP1_CI!G83+OP1_CI!G84</f>
        <v>0</v>
      </c>
      <c r="J88" s="1307">
        <f>OP1_CI!P83+OP1_CI!P84</f>
        <v>0</v>
      </c>
      <c r="K88" s="1222" t="s">
        <v>98</v>
      </c>
      <c r="L88" s="1174">
        <f>OP1_CI!G83+OP1_CI!G84</f>
        <v>0</v>
      </c>
      <c r="M88" s="1308">
        <f>OP1_CI!X83+OP1_CI!X84</f>
        <v>0</v>
      </c>
      <c r="N88" s="1309">
        <f t="shared" si="18"/>
        <v>0</v>
      </c>
      <c r="O88" s="1330"/>
      <c r="P88" s="1123"/>
    </row>
    <row r="89" spans="2:16" s="1128" customFormat="1" ht="21.9" customHeight="1" x14ac:dyDescent="0.25">
      <c r="B89" s="1170"/>
      <c r="C89" s="1221"/>
      <c r="D89" s="1172"/>
      <c r="E89" s="1176"/>
      <c r="F89" s="1188"/>
      <c r="G89" s="1307"/>
      <c r="H89" s="1176"/>
      <c r="I89" s="1188"/>
      <c r="J89" s="1307"/>
      <c r="K89" s="1173"/>
      <c r="L89" s="1174"/>
      <c r="M89" s="1308"/>
      <c r="N89" s="1318"/>
      <c r="O89" s="1330"/>
      <c r="P89" s="1123"/>
    </row>
    <row r="90" spans="2:16" s="1128" customFormat="1" ht="21.9" customHeight="1" x14ac:dyDescent="0.25">
      <c r="B90" s="1157">
        <v>8</v>
      </c>
      <c r="C90" s="1166" t="s">
        <v>1222</v>
      </c>
      <c r="D90" s="1172"/>
      <c r="E90" s="1176"/>
      <c r="F90" s="1188"/>
      <c r="G90" s="1307"/>
      <c r="H90" s="1176"/>
      <c r="I90" s="1188"/>
      <c r="J90" s="1307"/>
      <c r="K90" s="1173"/>
      <c r="L90" s="1174"/>
      <c r="M90" s="1308"/>
      <c r="N90" s="1318"/>
      <c r="O90" s="1330"/>
      <c r="P90" s="1123"/>
    </row>
    <row r="91" spans="2:16" s="1128" customFormat="1" ht="21.9" customHeight="1" x14ac:dyDescent="0.25">
      <c r="B91" s="1219">
        <v>8.1</v>
      </c>
      <c r="C91" s="1187" t="s">
        <v>1223</v>
      </c>
      <c r="D91" s="1172" t="s">
        <v>1174</v>
      </c>
      <c r="E91" s="1176">
        <f>OP1_CI!K90</f>
        <v>165</v>
      </c>
      <c r="F91" s="1188">
        <f>OP1_CI!G90</f>
        <v>0</v>
      </c>
      <c r="G91" s="1307">
        <f>OP1_CI!L90</f>
        <v>0</v>
      </c>
      <c r="H91" s="1176">
        <f>OP1_CI!O90</f>
        <v>0</v>
      </c>
      <c r="I91" s="1188">
        <f>OP1_CI!J90</f>
        <v>0</v>
      </c>
      <c r="J91" s="1307">
        <f>OP1_CI!P90</f>
        <v>0</v>
      </c>
      <c r="K91" s="1173"/>
      <c r="L91" s="1174"/>
      <c r="M91" s="1308"/>
      <c r="N91" s="1309">
        <f>G91+J91+M91</f>
        <v>0</v>
      </c>
      <c r="O91" s="1330"/>
      <c r="P91" s="1123"/>
    </row>
    <row r="92" spans="2:16" s="1123" customFormat="1" ht="21.9" customHeight="1" x14ac:dyDescent="0.25">
      <c r="B92" s="1186"/>
      <c r="C92" s="1187"/>
      <c r="D92" s="1172"/>
      <c r="E92" s="1176"/>
      <c r="F92" s="1188"/>
      <c r="G92" s="1307"/>
      <c r="H92" s="1176"/>
      <c r="I92" s="1188"/>
      <c r="J92" s="1307"/>
      <c r="K92" s="1176"/>
      <c r="L92" s="1174"/>
      <c r="M92" s="1308"/>
      <c r="N92" s="1318"/>
      <c r="O92" s="1332"/>
    </row>
    <row r="93" spans="2:16" s="1139" customFormat="1" ht="21.9" customHeight="1" thickBot="1" x14ac:dyDescent="0.3">
      <c r="B93" s="1190" t="s">
        <v>1175</v>
      </c>
      <c r="C93" s="1191"/>
      <c r="D93" s="1192"/>
      <c r="E93" s="1196"/>
      <c r="F93" s="1224"/>
      <c r="G93" s="1319">
        <f>SUM(G22:G92)</f>
        <v>3658</v>
      </c>
      <c r="H93" s="1196"/>
      <c r="I93" s="1224"/>
      <c r="J93" s="1319">
        <f>SUM(J22:J92)</f>
        <v>4559</v>
      </c>
      <c r="K93" s="1333"/>
      <c r="L93" s="1197"/>
      <c r="M93" s="1321">
        <f>SUM(M22:M92)</f>
        <v>5418</v>
      </c>
      <c r="N93" s="1321">
        <f>SUM(N22:N92)</f>
        <v>13635</v>
      </c>
      <c r="O93" s="1322"/>
      <c r="P93" s="1138"/>
    </row>
    <row r="94" spans="2:16" s="1139" customFormat="1" ht="21.9" customHeight="1" x14ac:dyDescent="0.25">
      <c r="B94" s="1170"/>
      <c r="C94" s="1199"/>
      <c r="D94" s="1172"/>
      <c r="E94" s="1176"/>
      <c r="F94" s="1188"/>
      <c r="G94" s="1307"/>
      <c r="H94" s="1176"/>
      <c r="I94" s="1188"/>
      <c r="J94" s="1307"/>
      <c r="K94" s="1176"/>
      <c r="L94" s="1174"/>
      <c r="M94" s="1308"/>
      <c r="N94" s="1309"/>
      <c r="O94" s="1310"/>
      <c r="P94" s="1138"/>
    </row>
    <row r="95" spans="2:16" s="1128" customFormat="1" ht="21.9" customHeight="1" x14ac:dyDescent="0.25">
      <c r="B95" s="1157" t="s">
        <v>1176</v>
      </c>
      <c r="C95" s="1158" t="s">
        <v>1177</v>
      </c>
      <c r="D95" s="1172"/>
      <c r="E95" s="1176"/>
      <c r="F95" s="1188"/>
      <c r="G95" s="1307"/>
      <c r="H95" s="1176"/>
      <c r="I95" s="1188"/>
      <c r="J95" s="1307"/>
      <c r="K95" s="1176"/>
      <c r="L95" s="1174"/>
      <c r="M95" s="1308"/>
      <c r="N95" s="1331"/>
      <c r="O95" s="1310"/>
      <c r="P95" s="1123"/>
    </row>
    <row r="96" spans="2:16" s="1138" customFormat="1" ht="21.9" customHeight="1" x14ac:dyDescent="0.25">
      <c r="B96" s="1157">
        <v>1</v>
      </c>
      <c r="C96" s="1166" t="s">
        <v>1178</v>
      </c>
      <c r="D96" s="1159"/>
      <c r="E96" s="1203"/>
      <c r="F96" s="1201"/>
      <c r="G96" s="1323"/>
      <c r="H96" s="1203"/>
      <c r="I96" s="1201"/>
      <c r="J96" s="1323"/>
      <c r="K96" s="1203"/>
      <c r="L96" s="1204"/>
      <c r="M96" s="1324"/>
      <c r="N96" s="1325"/>
      <c r="O96" s="1301"/>
    </row>
    <row r="97" spans="2:15" s="1123" customFormat="1" ht="21.9" customHeight="1" x14ac:dyDescent="0.25">
      <c r="B97" s="1170">
        <v>1.1000000000000001</v>
      </c>
      <c r="C97" s="1199" t="s">
        <v>1179</v>
      </c>
      <c r="D97" s="1172"/>
      <c r="E97" s="1176"/>
      <c r="F97" s="1188"/>
      <c r="G97" s="1307"/>
      <c r="H97" s="1176"/>
      <c r="I97" s="1188"/>
      <c r="J97" s="1307"/>
      <c r="K97" s="1176"/>
      <c r="L97" s="1174"/>
      <c r="M97" s="1308"/>
      <c r="N97" s="1318"/>
      <c r="O97" s="1310"/>
    </row>
    <row r="98" spans="2:15" s="1123" customFormat="1" ht="21.9" customHeight="1" x14ac:dyDescent="0.25">
      <c r="B98" s="1170"/>
      <c r="C98" s="1206" t="s">
        <v>1014</v>
      </c>
      <c r="D98" s="1172" t="s">
        <v>147</v>
      </c>
      <c r="E98" s="1176">
        <f>OP1_CI!K93</f>
        <v>4.8999999999999995</v>
      </c>
      <c r="F98" s="1174">
        <f>OP1_CI!G93</f>
        <v>21</v>
      </c>
      <c r="G98" s="1307">
        <f>OP1_CI!L93</f>
        <v>103</v>
      </c>
      <c r="H98" s="1176">
        <f>OP1_CI!O93</f>
        <v>3.0000000000000004</v>
      </c>
      <c r="I98" s="1174">
        <f t="shared" ref="I98:I100" si="19">F98</f>
        <v>21</v>
      </c>
      <c r="J98" s="1307">
        <f>OP1_CI!P93</f>
        <v>63</v>
      </c>
      <c r="K98" s="1334">
        <f>OP1_CI!W93</f>
        <v>0</v>
      </c>
      <c r="L98" s="1188">
        <f>IF(OP1_CI!W93=0,0,OP1_CI!G93)</f>
        <v>0</v>
      </c>
      <c r="M98" s="1308">
        <f>OP1_CI!X93</f>
        <v>0</v>
      </c>
      <c r="N98" s="1309">
        <f t="shared" ref="N98:N100" si="20">G98+J98+M98</f>
        <v>166</v>
      </c>
      <c r="O98" s="1310"/>
    </row>
    <row r="99" spans="2:15" s="1123" customFormat="1" ht="21.9" customHeight="1" x14ac:dyDescent="0.25">
      <c r="B99" s="1170"/>
      <c r="C99" s="1206" t="s">
        <v>1180</v>
      </c>
      <c r="D99" s="1172" t="s">
        <v>147</v>
      </c>
      <c r="E99" s="1176">
        <f>OP1_CI!K94</f>
        <v>2.4499999999999997</v>
      </c>
      <c r="F99" s="1174">
        <f>OP1_CI!G94</f>
        <v>356</v>
      </c>
      <c r="G99" s="1307">
        <f>OP1_CI!L94</f>
        <v>872</v>
      </c>
      <c r="H99" s="1176">
        <f>OP1_CI!O94</f>
        <v>1.5000000000000002</v>
      </c>
      <c r="I99" s="1174">
        <f t="shared" si="19"/>
        <v>356</v>
      </c>
      <c r="J99" s="1307">
        <f>OP1_CI!P94</f>
        <v>534</v>
      </c>
      <c r="K99" s="1335">
        <f>OP1_CI!W94</f>
        <v>0</v>
      </c>
      <c r="L99" s="1188">
        <f>IF(OP1_CI!W94=0,0,OP1_CI!G94)</f>
        <v>0</v>
      </c>
      <c r="M99" s="1308">
        <f>OP1_CI!X94</f>
        <v>0</v>
      </c>
      <c r="N99" s="1309">
        <f t="shared" si="20"/>
        <v>1406</v>
      </c>
      <c r="O99" s="1310"/>
    </row>
    <row r="100" spans="2:15" s="1123" customFormat="1" ht="21.9" customHeight="1" x14ac:dyDescent="0.25">
      <c r="B100" s="1170"/>
      <c r="C100" s="1206" t="s">
        <v>1181</v>
      </c>
      <c r="D100" s="1172" t="s">
        <v>147</v>
      </c>
      <c r="E100" s="1176">
        <f>OP1_CI!K95</f>
        <v>1.0499999999999998</v>
      </c>
      <c r="F100" s="1174">
        <f>OP1_CI!G95</f>
        <v>751</v>
      </c>
      <c r="G100" s="1307">
        <f>OP1_CI!L95</f>
        <v>789</v>
      </c>
      <c r="H100" s="1176">
        <f>OP1_CI!O95</f>
        <v>0.64285714285714279</v>
      </c>
      <c r="I100" s="1174">
        <f t="shared" si="19"/>
        <v>751</v>
      </c>
      <c r="J100" s="1307">
        <f>OP1_CI!P95</f>
        <v>483</v>
      </c>
      <c r="K100" s="1335">
        <f>OP1_CI!W95</f>
        <v>0</v>
      </c>
      <c r="L100" s="1188">
        <f>IF(OP1_CI!W95=0,0,OP1_CI!G95)</f>
        <v>0</v>
      </c>
      <c r="M100" s="1308">
        <f>OP1_CI!X95</f>
        <v>0</v>
      </c>
      <c r="N100" s="1309">
        <f t="shared" si="20"/>
        <v>1272</v>
      </c>
      <c r="O100" s="1310"/>
    </row>
    <row r="101" spans="2:15" s="1123" customFormat="1" ht="21.9" customHeight="1" x14ac:dyDescent="0.25">
      <c r="B101" s="1170"/>
      <c r="C101" s="1206"/>
      <c r="D101" s="1172"/>
      <c r="E101" s="1176"/>
      <c r="F101" s="1174"/>
      <c r="G101" s="1307"/>
      <c r="H101" s="1176"/>
      <c r="I101" s="1174"/>
      <c r="J101" s="1307"/>
      <c r="K101" s="1335"/>
      <c r="L101" s="1226"/>
      <c r="M101" s="1308"/>
      <c r="N101" s="1318"/>
      <c r="O101" s="1310"/>
    </row>
    <row r="102" spans="2:15" s="1138" customFormat="1" ht="21.9" customHeight="1" x14ac:dyDescent="0.25">
      <c r="B102" s="1157">
        <v>2</v>
      </c>
      <c r="C102" s="1166" t="s">
        <v>1182</v>
      </c>
      <c r="D102" s="1159"/>
      <c r="E102" s="1203"/>
      <c r="F102" s="1201"/>
      <c r="G102" s="1323"/>
      <c r="H102" s="1203"/>
      <c r="I102" s="1201"/>
      <c r="J102" s="1323"/>
      <c r="K102" s="1203"/>
      <c r="L102" s="1204"/>
      <c r="M102" s="1324"/>
      <c r="N102" s="1325"/>
      <c r="O102" s="1301"/>
    </row>
    <row r="103" spans="2:15" s="1123" customFormat="1" ht="21.9" customHeight="1" x14ac:dyDescent="0.25">
      <c r="B103" s="1170">
        <v>2.1</v>
      </c>
      <c r="C103" s="1199" t="s">
        <v>347</v>
      </c>
      <c r="D103" s="1172"/>
      <c r="E103" s="1176"/>
      <c r="F103" s="1188"/>
      <c r="G103" s="1307"/>
      <c r="H103" s="1176"/>
      <c r="I103" s="1188"/>
      <c r="J103" s="1307"/>
      <c r="K103" s="1176"/>
      <c r="L103" s="1174"/>
      <c r="M103" s="1308"/>
      <c r="N103" s="1309"/>
      <c r="O103" s="1310"/>
    </row>
    <row r="104" spans="2:15" s="1123" customFormat="1" ht="21.9" customHeight="1" x14ac:dyDescent="0.25">
      <c r="B104" s="1170"/>
      <c r="C104" s="1206" t="s">
        <v>137</v>
      </c>
      <c r="D104" s="1172" t="s">
        <v>1134</v>
      </c>
      <c r="E104" s="1176" t="str">
        <f>OP1_CI!K97</f>
        <v>-</v>
      </c>
      <c r="F104" s="1188">
        <f>OP1_CI!G97</f>
        <v>5</v>
      </c>
      <c r="G104" s="1307">
        <f>OP1_CI!L97</f>
        <v>420</v>
      </c>
      <c r="H104" s="1176" t="str">
        <f>OP1_CI!O97</f>
        <v>-</v>
      </c>
      <c r="I104" s="1174">
        <f t="shared" ref="I104:I108" si="21">F104</f>
        <v>5</v>
      </c>
      <c r="J104" s="1307">
        <f>OP1_CI!P97</f>
        <v>257</v>
      </c>
      <c r="K104" s="1176"/>
      <c r="L104" s="1174"/>
      <c r="M104" s="1308"/>
      <c r="N104" s="1309">
        <f t="shared" ref="N104:N108" si="22">G104+J104+M104</f>
        <v>677</v>
      </c>
      <c r="O104" s="1310"/>
    </row>
    <row r="105" spans="2:15" s="1123" customFormat="1" ht="21.9" customHeight="1" x14ac:dyDescent="0.25">
      <c r="B105" s="1170"/>
      <c r="C105" s="1206" t="s">
        <v>1014</v>
      </c>
      <c r="D105" s="1172" t="s">
        <v>1134</v>
      </c>
      <c r="E105" s="1176">
        <f>OP1_CI!K98</f>
        <v>59.499999999999993</v>
      </c>
      <c r="F105" s="1188">
        <f>OP1_CI!G98</f>
        <v>3</v>
      </c>
      <c r="G105" s="1307">
        <f>OP1_CI!L98</f>
        <v>179</v>
      </c>
      <c r="H105" s="1176">
        <f>OP1_CI!O98</f>
        <v>36.428571428571431</v>
      </c>
      <c r="I105" s="1174">
        <f t="shared" si="21"/>
        <v>3</v>
      </c>
      <c r="J105" s="1307">
        <f>OP1_CI!P98</f>
        <v>109</v>
      </c>
      <c r="K105" s="1176"/>
      <c r="L105" s="1174"/>
      <c r="M105" s="1308"/>
      <c r="N105" s="1309">
        <f t="shared" si="22"/>
        <v>288</v>
      </c>
      <c r="O105" s="1310"/>
    </row>
    <row r="106" spans="2:15" s="1123" customFormat="1" ht="21.9" customHeight="1" x14ac:dyDescent="0.25">
      <c r="B106" s="1170"/>
      <c r="C106" s="1206" t="s">
        <v>1180</v>
      </c>
      <c r="D106" s="1172" t="s">
        <v>1134</v>
      </c>
      <c r="E106" s="1176">
        <f>OP1_CI!K99</f>
        <v>42</v>
      </c>
      <c r="F106" s="1188">
        <f>OP1_CI!G99</f>
        <v>5</v>
      </c>
      <c r="G106" s="1307">
        <f>OP1_CI!L99</f>
        <v>210</v>
      </c>
      <c r="H106" s="1176">
        <f>OP1_CI!O99</f>
        <v>25.714285714285715</v>
      </c>
      <c r="I106" s="1174">
        <f t="shared" si="21"/>
        <v>5</v>
      </c>
      <c r="J106" s="1307">
        <f>OP1_CI!P99</f>
        <v>129</v>
      </c>
      <c r="K106" s="1176"/>
      <c r="L106" s="1174"/>
      <c r="M106" s="1308"/>
      <c r="N106" s="1309">
        <f t="shared" si="22"/>
        <v>339</v>
      </c>
      <c r="O106" s="1310"/>
    </row>
    <row r="107" spans="2:15" s="1123" customFormat="1" ht="21.9" customHeight="1" x14ac:dyDescent="0.25">
      <c r="B107" s="1170"/>
      <c r="C107" s="1206" t="s">
        <v>1181</v>
      </c>
      <c r="D107" s="1172" t="s">
        <v>1134</v>
      </c>
      <c r="E107" s="1176">
        <f>OP1_CI!K100</f>
        <v>42</v>
      </c>
      <c r="F107" s="1188">
        <f>OP1_CI!G100</f>
        <v>8</v>
      </c>
      <c r="G107" s="1307">
        <f>OP1_CI!L100</f>
        <v>336</v>
      </c>
      <c r="H107" s="1176">
        <f>OP1_CI!O100</f>
        <v>25.714285714285715</v>
      </c>
      <c r="I107" s="1174">
        <f t="shared" si="21"/>
        <v>8</v>
      </c>
      <c r="J107" s="1307">
        <f>OP1_CI!P100</f>
        <v>206</v>
      </c>
      <c r="K107" s="1176"/>
      <c r="L107" s="1174"/>
      <c r="M107" s="1308"/>
      <c r="N107" s="1309">
        <f t="shared" si="22"/>
        <v>542</v>
      </c>
      <c r="O107" s="1310"/>
    </row>
    <row r="108" spans="2:15" s="1123" customFormat="1" ht="21.9" customHeight="1" x14ac:dyDescent="0.25">
      <c r="B108" s="1170"/>
      <c r="C108" s="1206" t="s">
        <v>353</v>
      </c>
      <c r="D108" s="1172" t="s">
        <v>1134</v>
      </c>
      <c r="E108" s="1176">
        <f>OP1_CI!K101</f>
        <v>42</v>
      </c>
      <c r="F108" s="1188">
        <f>OP1_CI!G101</f>
        <v>10</v>
      </c>
      <c r="G108" s="1307">
        <f>OP1_CI!L101</f>
        <v>420</v>
      </c>
      <c r="H108" s="1176">
        <f>OP1_CI!O101</f>
        <v>25.714285714285715</v>
      </c>
      <c r="I108" s="1174">
        <f t="shared" si="21"/>
        <v>10</v>
      </c>
      <c r="J108" s="1307">
        <f>OP1_CI!P101</f>
        <v>257</v>
      </c>
      <c r="K108" s="1176"/>
      <c r="L108" s="1174"/>
      <c r="M108" s="1308"/>
      <c r="N108" s="1309">
        <f t="shared" si="22"/>
        <v>677</v>
      </c>
      <c r="O108" s="1310"/>
    </row>
    <row r="109" spans="2:15" s="1123" customFormat="1" ht="21.9" customHeight="1" x14ac:dyDescent="0.25">
      <c r="B109" s="1170"/>
      <c r="C109" s="1206"/>
      <c r="D109" s="1172"/>
      <c r="E109" s="1176"/>
      <c r="F109" s="1188"/>
      <c r="G109" s="1307"/>
      <c r="H109" s="1176"/>
      <c r="I109" s="1188"/>
      <c r="J109" s="1307"/>
      <c r="K109" s="1176"/>
      <c r="L109" s="1174"/>
      <c r="M109" s="1308"/>
      <c r="N109" s="1309"/>
      <c r="O109" s="1310"/>
    </row>
    <row r="110" spans="2:15" s="1123" customFormat="1" ht="21.9" customHeight="1" x14ac:dyDescent="0.25">
      <c r="B110" s="1157">
        <v>3</v>
      </c>
      <c r="C110" s="1166" t="s">
        <v>1183</v>
      </c>
      <c r="D110" s="1172"/>
      <c r="E110" s="1176"/>
      <c r="F110" s="1188"/>
      <c r="G110" s="1307"/>
      <c r="H110" s="1176"/>
      <c r="I110" s="1188"/>
      <c r="J110" s="1307"/>
      <c r="K110" s="1176"/>
      <c r="L110" s="1174"/>
      <c r="M110" s="1308"/>
      <c r="N110" s="1309"/>
      <c r="O110" s="1310"/>
    </row>
    <row r="111" spans="2:15" s="1123" customFormat="1" ht="21.9" customHeight="1" x14ac:dyDescent="0.25">
      <c r="B111" s="1170">
        <v>3.1</v>
      </c>
      <c r="C111" s="1199" t="s">
        <v>355</v>
      </c>
      <c r="D111" s="1172"/>
      <c r="E111" s="1176"/>
      <c r="F111" s="1201"/>
      <c r="G111" s="1307"/>
      <c r="H111" s="1176"/>
      <c r="I111" s="1201"/>
      <c r="J111" s="1307"/>
      <c r="K111" s="1176"/>
      <c r="L111" s="1174"/>
      <c r="M111" s="1308"/>
      <c r="N111" s="1309"/>
      <c r="O111" s="1310"/>
    </row>
    <row r="112" spans="2:15" s="1123" customFormat="1" ht="21.9" customHeight="1" x14ac:dyDescent="0.25">
      <c r="B112" s="1170"/>
      <c r="C112" s="1206" t="s">
        <v>137</v>
      </c>
      <c r="D112" s="1172" t="s">
        <v>1134</v>
      </c>
      <c r="E112" s="1176" t="str">
        <f>OP1_CI!K103</f>
        <v>-</v>
      </c>
      <c r="F112" s="1188">
        <f>OP1_CI!G103</f>
        <v>0</v>
      </c>
      <c r="G112" s="1307">
        <f>OP1_CI!L103</f>
        <v>0</v>
      </c>
      <c r="H112" s="1176" t="str">
        <f>OP1_CI!O103</f>
        <v>-</v>
      </c>
      <c r="I112" s="1174">
        <f t="shared" ref="I112:I116" si="23">F112</f>
        <v>0</v>
      </c>
      <c r="J112" s="1307">
        <f>OP1_CI!P103</f>
        <v>0</v>
      </c>
      <c r="K112" s="1176"/>
      <c r="L112" s="1174"/>
      <c r="M112" s="1308"/>
      <c r="N112" s="1309">
        <f t="shared" ref="N112:N116" si="24">G112+J112+M112</f>
        <v>0</v>
      </c>
      <c r="O112" s="1310"/>
    </row>
    <row r="113" spans="2:16" s="1123" customFormat="1" ht="21.9" customHeight="1" x14ac:dyDescent="0.25">
      <c r="B113" s="1170"/>
      <c r="C113" s="1206" t="s">
        <v>1014</v>
      </c>
      <c r="D113" s="1172" t="s">
        <v>1134</v>
      </c>
      <c r="E113" s="1176" t="str">
        <f>OP1_CI!K104</f>
        <v>-</v>
      </c>
      <c r="F113" s="1188">
        <f>OP1_CI!G104</f>
        <v>0</v>
      </c>
      <c r="G113" s="1307">
        <f>OP1_CI!L104</f>
        <v>0</v>
      </c>
      <c r="H113" s="1176" t="str">
        <f>OP1_CI!O104</f>
        <v>-</v>
      </c>
      <c r="I113" s="1174">
        <f t="shared" si="23"/>
        <v>0</v>
      </c>
      <c r="J113" s="1307">
        <f>OP1_CI!P104</f>
        <v>0</v>
      </c>
      <c r="K113" s="1176"/>
      <c r="L113" s="1174"/>
      <c r="M113" s="1308"/>
      <c r="N113" s="1309">
        <f t="shared" si="24"/>
        <v>0</v>
      </c>
      <c r="O113" s="1310"/>
    </row>
    <row r="114" spans="2:16" s="1123" customFormat="1" ht="21.9" customHeight="1" x14ac:dyDescent="0.25">
      <c r="B114" s="1170"/>
      <c r="C114" s="1206" t="s">
        <v>1180</v>
      </c>
      <c r="D114" s="1172" t="s">
        <v>1134</v>
      </c>
      <c r="E114" s="1176" t="str">
        <f>OP1_CI!K105</f>
        <v>-</v>
      </c>
      <c r="F114" s="1188">
        <f>OP1_CI!G105</f>
        <v>0</v>
      </c>
      <c r="G114" s="1307">
        <f>OP1_CI!L105</f>
        <v>0</v>
      </c>
      <c r="H114" s="1176" t="str">
        <f>OP1_CI!O105</f>
        <v>-</v>
      </c>
      <c r="I114" s="1174">
        <f t="shared" si="23"/>
        <v>0</v>
      </c>
      <c r="J114" s="1307">
        <f>OP1_CI!P105</f>
        <v>0</v>
      </c>
      <c r="K114" s="1176"/>
      <c r="L114" s="1174"/>
      <c r="M114" s="1308"/>
      <c r="N114" s="1309">
        <f t="shared" si="24"/>
        <v>0</v>
      </c>
      <c r="O114" s="1310"/>
    </row>
    <row r="115" spans="2:16" s="1123" customFormat="1" ht="21.9" customHeight="1" x14ac:dyDescent="0.25">
      <c r="B115" s="1170"/>
      <c r="C115" s="1206" t="s">
        <v>1181</v>
      </c>
      <c r="D115" s="1172" t="s">
        <v>1134</v>
      </c>
      <c r="E115" s="1176" t="str">
        <f>OP1_CI!K106</f>
        <v>-</v>
      </c>
      <c r="F115" s="1188">
        <f>OP1_CI!G106</f>
        <v>0</v>
      </c>
      <c r="G115" s="1307">
        <f>OP1_CI!L106</f>
        <v>0</v>
      </c>
      <c r="H115" s="1176" t="str">
        <f>OP1_CI!O106</f>
        <v>-</v>
      </c>
      <c r="I115" s="1174">
        <f t="shared" si="23"/>
        <v>0</v>
      </c>
      <c r="J115" s="1307">
        <f>OP1_CI!P106</f>
        <v>0</v>
      </c>
      <c r="K115" s="1176"/>
      <c r="L115" s="1174"/>
      <c r="M115" s="1308"/>
      <c r="N115" s="1309">
        <f t="shared" si="24"/>
        <v>0</v>
      </c>
      <c r="O115" s="1310"/>
    </row>
    <row r="116" spans="2:16" s="1123" customFormat="1" ht="21.9" customHeight="1" x14ac:dyDescent="0.25">
      <c r="B116" s="1170"/>
      <c r="C116" s="1206" t="s">
        <v>353</v>
      </c>
      <c r="D116" s="1172" t="s">
        <v>1134</v>
      </c>
      <c r="E116" s="1176">
        <f>OP1_CI!K107</f>
        <v>62.999999999999993</v>
      </c>
      <c r="F116" s="1188">
        <f>OP1_CI!G107</f>
        <v>0</v>
      </c>
      <c r="G116" s="1307">
        <f>OP1_CI!L107</f>
        <v>0</v>
      </c>
      <c r="H116" s="1176">
        <f>OP1_CI!O107</f>
        <v>38.571428571428577</v>
      </c>
      <c r="I116" s="1174">
        <f t="shared" si="23"/>
        <v>0</v>
      </c>
      <c r="J116" s="1307">
        <f>OP1_CI!P107</f>
        <v>0</v>
      </c>
      <c r="K116" s="1176"/>
      <c r="L116" s="1174"/>
      <c r="M116" s="1308"/>
      <c r="N116" s="1309">
        <f t="shared" si="24"/>
        <v>0</v>
      </c>
      <c r="O116" s="1310"/>
    </row>
    <row r="117" spans="2:16" s="1128" customFormat="1" ht="21.9" customHeight="1" x14ac:dyDescent="0.25">
      <c r="B117" s="1170">
        <v>3.2</v>
      </c>
      <c r="C117" s="1199" t="s">
        <v>365</v>
      </c>
      <c r="D117" s="1172"/>
      <c r="E117" s="1176"/>
      <c r="F117" s="1188"/>
      <c r="G117" s="1307"/>
      <c r="H117" s="1176"/>
      <c r="I117" s="1188"/>
      <c r="J117" s="1307"/>
      <c r="K117" s="1176"/>
      <c r="L117" s="1174"/>
      <c r="M117" s="1308"/>
      <c r="N117" s="1309"/>
      <c r="O117" s="1310"/>
      <c r="P117" s="1123"/>
    </row>
    <row r="118" spans="2:16" s="1128" customFormat="1" ht="21.9" customHeight="1" x14ac:dyDescent="0.25">
      <c r="B118" s="1170"/>
      <c r="C118" s="1199" t="s">
        <v>1184</v>
      </c>
      <c r="D118" s="1172" t="s">
        <v>138</v>
      </c>
      <c r="E118" s="1176">
        <f>OP1_CI!K109</f>
        <v>17.5</v>
      </c>
      <c r="F118" s="1188">
        <f>OP1_CI!G109</f>
        <v>0</v>
      </c>
      <c r="G118" s="1307">
        <f>OP1_CI!L109</f>
        <v>0</v>
      </c>
      <c r="H118" s="1176">
        <f>OP1_CI!O109</f>
        <v>10.714285714285715</v>
      </c>
      <c r="I118" s="1174">
        <f t="shared" ref="I118:I119" si="25">F118</f>
        <v>0</v>
      </c>
      <c r="J118" s="1307">
        <f>OP1_CI!P109</f>
        <v>0</v>
      </c>
      <c r="K118" s="1176"/>
      <c r="L118" s="1174"/>
      <c r="M118" s="1308"/>
      <c r="N118" s="1309">
        <f t="shared" ref="N118:N119" si="26">G118+J118+M118</f>
        <v>0</v>
      </c>
      <c r="O118" s="1310"/>
      <c r="P118" s="1123"/>
    </row>
    <row r="119" spans="2:16" s="1128" customFormat="1" ht="21.9" customHeight="1" x14ac:dyDescent="0.25">
      <c r="B119" s="1170"/>
      <c r="C119" s="1199" t="s">
        <v>1185</v>
      </c>
      <c r="D119" s="1172" t="s">
        <v>138</v>
      </c>
      <c r="E119" s="1176">
        <f>OP1_CI!K110</f>
        <v>7</v>
      </c>
      <c r="F119" s="1188">
        <f>OP1_CI!G110</f>
        <v>0</v>
      </c>
      <c r="G119" s="1307">
        <f>OP1_CI!L110</f>
        <v>0</v>
      </c>
      <c r="H119" s="1176">
        <f>OP1_CI!O110</f>
        <v>4.2857142857142856</v>
      </c>
      <c r="I119" s="1174">
        <f t="shared" si="25"/>
        <v>0</v>
      </c>
      <c r="J119" s="1307">
        <f>OP1_CI!P110</f>
        <v>0</v>
      </c>
      <c r="K119" s="1176"/>
      <c r="L119" s="1174"/>
      <c r="M119" s="1308"/>
      <c r="N119" s="1309">
        <f t="shared" si="26"/>
        <v>0</v>
      </c>
      <c r="O119" s="1310"/>
      <c r="P119" s="1123"/>
    </row>
    <row r="120" spans="2:16" s="1128" customFormat="1" ht="21.9" customHeight="1" x14ac:dyDescent="0.25">
      <c r="B120" s="1170"/>
      <c r="C120" s="1199"/>
      <c r="D120" s="1172"/>
      <c r="E120" s="1176"/>
      <c r="F120" s="1188"/>
      <c r="G120" s="1307"/>
      <c r="H120" s="1176"/>
      <c r="I120" s="1188"/>
      <c r="J120" s="1307"/>
      <c r="K120" s="1176"/>
      <c r="L120" s="1174"/>
      <c r="M120" s="1308"/>
      <c r="N120" s="1309"/>
      <c r="O120" s="1310"/>
      <c r="P120" s="1123"/>
    </row>
    <row r="121" spans="2:16" s="1123" customFormat="1" ht="21.9" customHeight="1" x14ac:dyDescent="0.25">
      <c r="B121" s="1157">
        <v>4</v>
      </c>
      <c r="C121" s="1166" t="s">
        <v>1186</v>
      </c>
      <c r="D121" s="1172"/>
      <c r="E121" s="1176"/>
      <c r="F121" s="1188"/>
      <c r="G121" s="1307"/>
      <c r="H121" s="1176"/>
      <c r="I121" s="1188"/>
      <c r="J121" s="1307"/>
      <c r="K121" s="1176"/>
      <c r="L121" s="1174"/>
      <c r="M121" s="1308"/>
      <c r="N121" s="1309"/>
      <c r="O121" s="1310"/>
    </row>
    <row r="122" spans="2:16" s="1123" customFormat="1" ht="21.9" customHeight="1" x14ac:dyDescent="0.25">
      <c r="B122" s="1170">
        <v>4.0999999999999996</v>
      </c>
      <c r="C122" s="1199" t="s">
        <v>372</v>
      </c>
      <c r="D122" s="1172"/>
      <c r="E122" s="1176"/>
      <c r="F122" s="1201"/>
      <c r="G122" s="1307"/>
      <c r="H122" s="1176"/>
      <c r="I122" s="1201"/>
      <c r="J122" s="1307"/>
      <c r="K122" s="1176"/>
      <c r="L122" s="1174"/>
      <c r="M122" s="1308"/>
      <c r="N122" s="1309"/>
      <c r="O122" s="1310"/>
    </row>
    <row r="123" spans="2:16" s="1123" customFormat="1" ht="21.9" customHeight="1" x14ac:dyDescent="0.25">
      <c r="B123" s="1170"/>
      <c r="C123" s="1206" t="s">
        <v>137</v>
      </c>
      <c r="D123" s="1172" t="s">
        <v>1134</v>
      </c>
      <c r="E123" s="1176" t="str">
        <f>OP1_CI!K112</f>
        <v>-</v>
      </c>
      <c r="F123" s="1188">
        <f>OP1_CI!G112</f>
        <v>0</v>
      </c>
      <c r="G123" s="1307">
        <f>OP1_CI!L112</f>
        <v>0</v>
      </c>
      <c r="H123" s="1176" t="str">
        <f>OP1_CI!O112</f>
        <v>-</v>
      </c>
      <c r="I123" s="1174">
        <f t="shared" ref="I123:I127" si="27">F123</f>
        <v>0</v>
      </c>
      <c r="J123" s="1307">
        <f>OP1_CI!P112</f>
        <v>0</v>
      </c>
      <c r="K123" s="1176"/>
      <c r="L123" s="1174"/>
      <c r="M123" s="1308"/>
      <c r="N123" s="1309">
        <f t="shared" ref="N123:N127" si="28">G123+J123+M123</f>
        <v>0</v>
      </c>
      <c r="O123" s="1310"/>
    </row>
    <row r="124" spans="2:16" s="1123" customFormat="1" ht="21.9" customHeight="1" x14ac:dyDescent="0.25">
      <c r="B124" s="1170"/>
      <c r="C124" s="1206" t="s">
        <v>1014</v>
      </c>
      <c r="D124" s="1172" t="s">
        <v>1134</v>
      </c>
      <c r="E124" s="1176" t="str">
        <f>OP1_CI!K113</f>
        <v>-</v>
      </c>
      <c r="F124" s="1188">
        <f>OP1_CI!G113</f>
        <v>0</v>
      </c>
      <c r="G124" s="1307">
        <f>OP1_CI!L113</f>
        <v>0</v>
      </c>
      <c r="H124" s="1176" t="str">
        <f>OP1_CI!O113</f>
        <v>-</v>
      </c>
      <c r="I124" s="1174">
        <f t="shared" si="27"/>
        <v>0</v>
      </c>
      <c r="J124" s="1307">
        <f>OP1_CI!P113</f>
        <v>0</v>
      </c>
      <c r="K124" s="1176"/>
      <c r="L124" s="1174"/>
      <c r="M124" s="1308"/>
      <c r="N124" s="1309">
        <f t="shared" si="28"/>
        <v>0</v>
      </c>
      <c r="O124" s="1310"/>
    </row>
    <row r="125" spans="2:16" s="1123" customFormat="1" ht="21.9" customHeight="1" x14ac:dyDescent="0.25">
      <c r="B125" s="1170"/>
      <c r="C125" s="1206" t="s">
        <v>1180</v>
      </c>
      <c r="D125" s="1172" t="s">
        <v>1134</v>
      </c>
      <c r="E125" s="1176" t="str">
        <f>OP1_CI!K114</f>
        <v>-</v>
      </c>
      <c r="F125" s="1188">
        <f>OP1_CI!G114</f>
        <v>0</v>
      </c>
      <c r="G125" s="1307">
        <f>OP1_CI!L114</f>
        <v>0</v>
      </c>
      <c r="H125" s="1176" t="str">
        <f>OP1_CI!O114</f>
        <v>-</v>
      </c>
      <c r="I125" s="1174">
        <f t="shared" si="27"/>
        <v>0</v>
      </c>
      <c r="J125" s="1307">
        <f>OP1_CI!P114</f>
        <v>0</v>
      </c>
      <c r="K125" s="1176"/>
      <c r="L125" s="1174"/>
      <c r="M125" s="1308"/>
      <c r="N125" s="1309">
        <f t="shared" si="28"/>
        <v>0</v>
      </c>
      <c r="O125" s="1310"/>
    </row>
    <row r="126" spans="2:16" s="1123" customFormat="1" ht="21.9" customHeight="1" x14ac:dyDescent="0.25">
      <c r="B126" s="1170"/>
      <c r="C126" s="1206" t="s">
        <v>1181</v>
      </c>
      <c r="D126" s="1172" t="s">
        <v>1134</v>
      </c>
      <c r="E126" s="1176" t="str">
        <f>OP1_CI!K115</f>
        <v>-</v>
      </c>
      <c r="F126" s="1188">
        <f>OP1_CI!G115</f>
        <v>0</v>
      </c>
      <c r="G126" s="1307">
        <f>OP1_CI!L115</f>
        <v>0</v>
      </c>
      <c r="H126" s="1176" t="str">
        <f>OP1_CI!O115</f>
        <v>-</v>
      </c>
      <c r="I126" s="1174">
        <f t="shared" si="27"/>
        <v>0</v>
      </c>
      <c r="J126" s="1307">
        <f>OP1_CI!P115</f>
        <v>0</v>
      </c>
      <c r="K126" s="1176"/>
      <c r="L126" s="1174"/>
      <c r="M126" s="1308"/>
      <c r="N126" s="1309">
        <f t="shared" si="28"/>
        <v>0</v>
      </c>
      <c r="O126" s="1310"/>
    </row>
    <row r="127" spans="2:16" s="1123" customFormat="1" ht="21.9" customHeight="1" x14ac:dyDescent="0.25">
      <c r="B127" s="1170"/>
      <c r="C127" s="1206" t="s">
        <v>353</v>
      </c>
      <c r="D127" s="1172" t="s">
        <v>1134</v>
      </c>
      <c r="E127" s="1176">
        <f>OP1_CI!K116</f>
        <v>35</v>
      </c>
      <c r="F127" s="1188">
        <f>OP1_CI!G116</f>
        <v>0</v>
      </c>
      <c r="G127" s="1307">
        <f>OP1_CI!L116</f>
        <v>0</v>
      </c>
      <c r="H127" s="1176">
        <f>OP1_CI!O116</f>
        <v>21.428571428571431</v>
      </c>
      <c r="I127" s="1174">
        <f t="shared" si="27"/>
        <v>0</v>
      </c>
      <c r="J127" s="1307">
        <f>OP1_CI!P116</f>
        <v>0</v>
      </c>
      <c r="K127" s="1176"/>
      <c r="L127" s="1174"/>
      <c r="M127" s="1308"/>
      <c r="N127" s="1309">
        <f t="shared" si="28"/>
        <v>0</v>
      </c>
      <c r="O127" s="1310"/>
    </row>
    <row r="128" spans="2:16" s="1128" customFormat="1" ht="21.9" customHeight="1" x14ac:dyDescent="0.25">
      <c r="B128" s="1170">
        <v>4.2</v>
      </c>
      <c r="C128" s="1199" t="s">
        <v>1187</v>
      </c>
      <c r="D128" s="1172"/>
      <c r="E128" s="1176"/>
      <c r="F128" s="1188"/>
      <c r="G128" s="1307"/>
      <c r="H128" s="1176"/>
      <c r="I128" s="1188"/>
      <c r="J128" s="1307"/>
      <c r="K128" s="1176"/>
      <c r="L128" s="1174"/>
      <c r="M128" s="1308"/>
      <c r="N128" s="1309"/>
      <c r="O128" s="1310"/>
      <c r="P128" s="1123"/>
    </row>
    <row r="129" spans="2:16" s="1128" customFormat="1" ht="21.9" customHeight="1" x14ac:dyDescent="0.25">
      <c r="B129" s="1170"/>
      <c r="C129" s="1199" t="s">
        <v>1184</v>
      </c>
      <c r="D129" s="1172" t="s">
        <v>138</v>
      </c>
      <c r="E129" s="1176">
        <f>OP1_CI!K118</f>
        <v>35</v>
      </c>
      <c r="F129" s="1188">
        <f>OP1_CI!G118</f>
        <v>0</v>
      </c>
      <c r="G129" s="1307">
        <f>OP1_CI!L118</f>
        <v>0</v>
      </c>
      <c r="H129" s="1176">
        <f>OP1_CI!O118</f>
        <v>27.428571428571431</v>
      </c>
      <c r="I129" s="1174">
        <f t="shared" ref="I129:I130" si="29">F129</f>
        <v>0</v>
      </c>
      <c r="J129" s="1307">
        <f>OP1_CI!P118</f>
        <v>0</v>
      </c>
      <c r="K129" s="1176">
        <f>OP1_CI!W118</f>
        <v>14</v>
      </c>
      <c r="L129" s="1174">
        <f>F129</f>
        <v>0</v>
      </c>
      <c r="M129" s="1308">
        <f>OP1_CI!X118</f>
        <v>0</v>
      </c>
      <c r="N129" s="1309">
        <f t="shared" ref="N129:N130" si="30">G129+J129+M129</f>
        <v>0</v>
      </c>
      <c r="O129" s="1310"/>
      <c r="P129" s="1123"/>
    </row>
    <row r="130" spans="2:16" s="1128" customFormat="1" ht="21.9" customHeight="1" x14ac:dyDescent="0.25">
      <c r="B130" s="1170"/>
      <c r="C130" s="1199" t="s">
        <v>1185</v>
      </c>
      <c r="D130" s="1172" t="s">
        <v>138</v>
      </c>
      <c r="E130" s="1176">
        <f>OP1_CI!K119</f>
        <v>14</v>
      </c>
      <c r="F130" s="1188">
        <f>OP1_CI!G119</f>
        <v>0</v>
      </c>
      <c r="G130" s="1307">
        <f>OP1_CI!L119</f>
        <v>0</v>
      </c>
      <c r="H130" s="1176">
        <f>OP1_CI!O119</f>
        <v>11.571428571428571</v>
      </c>
      <c r="I130" s="1174">
        <f t="shared" si="29"/>
        <v>0</v>
      </c>
      <c r="J130" s="1307">
        <f>OP1_CI!P119</f>
        <v>0</v>
      </c>
      <c r="K130" s="1176">
        <f>OP1_CI!W119</f>
        <v>7</v>
      </c>
      <c r="L130" s="1174">
        <f>F130</f>
        <v>0</v>
      </c>
      <c r="M130" s="1308">
        <f>OP1_CI!X119</f>
        <v>0</v>
      </c>
      <c r="N130" s="1309">
        <f t="shared" si="30"/>
        <v>0</v>
      </c>
      <c r="O130" s="1310"/>
      <c r="P130" s="1123"/>
    </row>
    <row r="131" spans="2:16" s="1128" customFormat="1" ht="21.9" customHeight="1" x14ac:dyDescent="0.25">
      <c r="B131" s="1170"/>
      <c r="C131" s="1199"/>
      <c r="D131" s="1172"/>
      <c r="E131" s="1176"/>
      <c r="F131" s="1188"/>
      <c r="G131" s="1307"/>
      <c r="H131" s="1176"/>
      <c r="I131" s="1188"/>
      <c r="J131" s="1307"/>
      <c r="K131" s="1176"/>
      <c r="L131" s="1174"/>
      <c r="M131" s="1308"/>
      <c r="N131" s="1309"/>
      <c r="O131" s="1310"/>
      <c r="P131" s="1123"/>
    </row>
    <row r="132" spans="2:16" s="1128" customFormat="1" ht="21.9" customHeight="1" x14ac:dyDescent="0.25">
      <c r="B132" s="1157">
        <v>5</v>
      </c>
      <c r="C132" s="1166" t="s">
        <v>1188</v>
      </c>
      <c r="D132" s="1172"/>
      <c r="E132" s="1176"/>
      <c r="F132" s="1188"/>
      <c r="G132" s="1307"/>
      <c r="H132" s="1176"/>
      <c r="I132" s="1188"/>
      <c r="J132" s="1307"/>
      <c r="K132" s="1176"/>
      <c r="L132" s="1174"/>
      <c r="M132" s="1308"/>
      <c r="N132" s="1309"/>
      <c r="O132" s="1330"/>
      <c r="P132" s="1123"/>
    </row>
    <row r="133" spans="2:16" s="1128" customFormat="1" ht="21.9" customHeight="1" x14ac:dyDescent="0.25">
      <c r="B133" s="1170">
        <v>5.0999999999999996</v>
      </c>
      <c r="C133" s="1209" t="s">
        <v>1189</v>
      </c>
      <c r="D133" s="1172" t="s">
        <v>1138</v>
      </c>
      <c r="E133" s="1176" t="str">
        <f>OP1_CI!K121</f>
        <v>-</v>
      </c>
      <c r="F133" s="1188">
        <f>OP1_CI!G121</f>
        <v>6300</v>
      </c>
      <c r="G133" s="1307">
        <f>OP1_CI!L121</f>
        <v>0</v>
      </c>
      <c r="H133" s="1176" t="str">
        <f>OP1_CI!O121</f>
        <v>-</v>
      </c>
      <c r="I133" s="1174">
        <f t="shared" ref="I133:I134" si="31">F133</f>
        <v>6300</v>
      </c>
      <c r="J133" s="1307">
        <f>OP1_CI!P121</f>
        <v>0</v>
      </c>
      <c r="K133" s="1176"/>
      <c r="L133" s="1188"/>
      <c r="M133" s="1308"/>
      <c r="N133" s="1309">
        <f t="shared" ref="N133:N134" si="32">G133+J133+M133</f>
        <v>0</v>
      </c>
      <c r="O133" s="1330"/>
      <c r="P133" s="1123"/>
    </row>
    <row r="134" spans="2:16" s="1128" customFormat="1" ht="21.9" customHeight="1" x14ac:dyDescent="0.25">
      <c r="B134" s="1170">
        <v>5.2</v>
      </c>
      <c r="C134" s="1221" t="s">
        <v>836</v>
      </c>
      <c r="D134" s="1172" t="s">
        <v>1070</v>
      </c>
      <c r="E134" s="1176">
        <f>OP1_CI!K122</f>
        <v>28</v>
      </c>
      <c r="F134" s="1188">
        <f>OP1_CI!G122</f>
        <v>0</v>
      </c>
      <c r="G134" s="1307">
        <f>OP1_CI!L122</f>
        <v>0</v>
      </c>
      <c r="H134" s="1176">
        <f>OP1_CI!O122</f>
        <v>17.142857142857142</v>
      </c>
      <c r="I134" s="1174">
        <f t="shared" si="31"/>
        <v>0</v>
      </c>
      <c r="J134" s="1307">
        <f>OP1_CI!P122</f>
        <v>0</v>
      </c>
      <c r="K134" s="1176"/>
      <c r="L134" s="1188"/>
      <c r="M134" s="1308"/>
      <c r="N134" s="1309">
        <f t="shared" si="32"/>
        <v>0</v>
      </c>
      <c r="O134" s="1330"/>
      <c r="P134" s="1123"/>
    </row>
    <row r="135" spans="2:16" s="1128" customFormat="1" ht="21.9" customHeight="1" x14ac:dyDescent="0.25">
      <c r="B135" s="1170"/>
      <c r="C135" s="1199"/>
      <c r="D135" s="1172"/>
      <c r="E135" s="1176"/>
      <c r="F135" s="1188"/>
      <c r="G135" s="1307"/>
      <c r="H135" s="1176"/>
      <c r="I135" s="1188"/>
      <c r="J135" s="1307"/>
      <c r="K135" s="1176"/>
      <c r="L135" s="1174"/>
      <c r="M135" s="1308"/>
      <c r="N135" s="1318"/>
      <c r="O135" s="1310"/>
      <c r="P135" s="1123"/>
    </row>
    <row r="136" spans="2:16" s="1139" customFormat="1" ht="21.9" customHeight="1" thickBot="1" x14ac:dyDescent="0.3">
      <c r="B136" s="1190" t="s">
        <v>1190</v>
      </c>
      <c r="C136" s="1191"/>
      <c r="D136" s="1192"/>
      <c r="E136" s="1196"/>
      <c r="F136" s="1224"/>
      <c r="G136" s="1319">
        <f>SUM(G95:G135)</f>
        <v>3329</v>
      </c>
      <c r="H136" s="1196"/>
      <c r="I136" s="1224"/>
      <c r="J136" s="1319">
        <f>SUM(J95:J135)</f>
        <v>2038</v>
      </c>
      <c r="K136" s="1333"/>
      <c r="L136" s="1197"/>
      <c r="M136" s="1319">
        <f>SUM(M95:M135)</f>
        <v>0</v>
      </c>
      <c r="N136" s="1336">
        <f>SUM(N95:N135)</f>
        <v>5367</v>
      </c>
      <c r="O136" s="1322"/>
      <c r="P136" s="1138"/>
    </row>
    <row r="137" spans="2:16" s="1128" customFormat="1" ht="21.9" customHeight="1" x14ac:dyDescent="0.25">
      <c r="B137" s="1210"/>
      <c r="C137" s="1199"/>
      <c r="D137" s="1172"/>
      <c r="E137" s="1176"/>
      <c r="F137" s="1188"/>
      <c r="G137" s="1307"/>
      <c r="H137" s="1176"/>
      <c r="I137" s="1188"/>
      <c r="J137" s="1307"/>
      <c r="K137" s="1176"/>
      <c r="L137" s="1174"/>
      <c r="M137" s="1308"/>
      <c r="N137" s="1331"/>
      <c r="O137" s="1310"/>
      <c r="P137" s="1123"/>
    </row>
    <row r="138" spans="2:16" s="1139" customFormat="1" ht="21.9" customHeight="1" x14ac:dyDescent="0.25">
      <c r="B138" s="1157" t="s">
        <v>1191</v>
      </c>
      <c r="C138" s="1158" t="s">
        <v>1192</v>
      </c>
      <c r="D138" s="1159"/>
      <c r="E138" s="1203"/>
      <c r="F138" s="1201"/>
      <c r="G138" s="1323"/>
      <c r="H138" s="1203"/>
      <c r="I138" s="1201"/>
      <c r="J138" s="1323"/>
      <c r="K138" s="1203"/>
      <c r="L138" s="1204"/>
      <c r="M138" s="1324"/>
      <c r="N138" s="1329"/>
      <c r="O138" s="1301"/>
      <c r="P138" s="1138"/>
    </row>
    <row r="139" spans="2:16" s="1139" customFormat="1" ht="21.9" customHeight="1" x14ac:dyDescent="0.25">
      <c r="B139" s="1157">
        <v>1</v>
      </c>
      <c r="C139" s="1166" t="s">
        <v>1193</v>
      </c>
      <c r="D139" s="1159"/>
      <c r="E139" s="1203"/>
      <c r="F139" s="1201"/>
      <c r="G139" s="1323"/>
      <c r="H139" s="1203"/>
      <c r="I139" s="1201"/>
      <c r="J139" s="1323"/>
      <c r="K139" s="1203"/>
      <c r="L139" s="1204"/>
      <c r="M139" s="1324"/>
      <c r="N139" s="1329"/>
      <c r="O139" s="1301"/>
      <c r="P139" s="1138"/>
    </row>
    <row r="140" spans="2:16" s="1128" customFormat="1" ht="21.9" customHeight="1" x14ac:dyDescent="0.25">
      <c r="B140" s="1170">
        <v>1.1000000000000001</v>
      </c>
      <c r="C140" s="1199" t="s">
        <v>1194</v>
      </c>
      <c r="D140" s="1172" t="s">
        <v>1124</v>
      </c>
      <c r="E140" s="1173">
        <f>OP1_CI!K124</f>
        <v>280</v>
      </c>
      <c r="F140" s="1188">
        <f>OP1_CI!G124</f>
        <v>0</v>
      </c>
      <c r="G140" s="1307">
        <f>OP1_CI!L124</f>
        <v>0</v>
      </c>
      <c r="H140" s="1173" t="str">
        <f>OP1_CI!O124</f>
        <v>-</v>
      </c>
      <c r="I140" s="1174">
        <f t="shared" ref="I140" si="33">F140</f>
        <v>0</v>
      </c>
      <c r="J140" s="1307">
        <f>OP1_CI!P124</f>
        <v>0</v>
      </c>
      <c r="K140" s="1176" t="s">
        <v>98</v>
      </c>
      <c r="L140" s="1174">
        <f>F140</f>
        <v>0</v>
      </c>
      <c r="M140" s="1308">
        <f>OP1_CI!X124</f>
        <v>0</v>
      </c>
      <c r="N140" s="1309">
        <f>G140+J140+M140</f>
        <v>0</v>
      </c>
      <c r="O140" s="1301"/>
      <c r="P140" s="1123"/>
    </row>
    <row r="141" spans="2:16" s="1128" customFormat="1" ht="21.9" customHeight="1" x14ac:dyDescent="0.25">
      <c r="B141" s="1228"/>
      <c r="C141" s="1337"/>
      <c r="D141" s="1338"/>
      <c r="E141" s="1339"/>
      <c r="F141" s="1232"/>
      <c r="G141" s="1340"/>
      <c r="H141" s="1233"/>
      <c r="I141" s="1232"/>
      <c r="J141" s="1340"/>
      <c r="K141" s="1233"/>
      <c r="L141" s="1234"/>
      <c r="M141" s="1308"/>
      <c r="N141" s="1341"/>
      <c r="O141" s="1235"/>
      <c r="P141" s="1123"/>
    </row>
    <row r="142" spans="2:16" s="1139" customFormat="1" ht="21.9" customHeight="1" thickBot="1" x14ac:dyDescent="0.3">
      <c r="B142" s="1190" t="s">
        <v>1195</v>
      </c>
      <c r="C142" s="1191"/>
      <c r="D142" s="1342"/>
      <c r="E142" s="1343"/>
      <c r="F142" s="1344"/>
      <c r="G142" s="1319">
        <f>SUM(G138:G141)</f>
        <v>0</v>
      </c>
      <c r="H142" s="1193"/>
      <c r="I142" s="1344"/>
      <c r="J142" s="1319">
        <f>SUM(J138:J141)</f>
        <v>0</v>
      </c>
      <c r="K142" s="1193"/>
      <c r="L142" s="1345"/>
      <c r="M142" s="1321">
        <f>SUM(M138:M141)</f>
        <v>0</v>
      </c>
      <c r="N142" s="1321">
        <f>SUM(N138:N141)</f>
        <v>0</v>
      </c>
      <c r="O142" s="1238"/>
      <c r="P142" s="1138"/>
    </row>
    <row r="143" spans="2:16" s="1139" customFormat="1" ht="21.9" customHeight="1" thickBot="1" x14ac:dyDescent="0.3">
      <c r="B143" s="1239" t="s">
        <v>1196</v>
      </c>
      <c r="C143" s="1240"/>
      <c r="D143" s="1346"/>
      <c r="E143" s="1347"/>
      <c r="F143" s="1243"/>
      <c r="G143" s="1348">
        <f>G20+G93+G136+G142</f>
        <v>8131</v>
      </c>
      <c r="H143" s="1242"/>
      <c r="I143" s="1243"/>
      <c r="J143" s="1348">
        <f>J20+J93+J136+J142</f>
        <v>7247</v>
      </c>
      <c r="K143" s="1242"/>
      <c r="L143" s="1245"/>
      <c r="M143" s="1349">
        <f>M20+M93+M136+M142</f>
        <v>5418</v>
      </c>
      <c r="N143" s="1349">
        <f>N20+N93+N136+N142</f>
        <v>20796</v>
      </c>
      <c r="O143" s="1246"/>
      <c r="P143" s="1247"/>
    </row>
    <row r="144" spans="2:16" s="1128" customFormat="1" ht="21.9" customHeight="1" x14ac:dyDescent="0.25">
      <c r="B144" s="1248" t="s">
        <v>1197</v>
      </c>
      <c r="C144" s="1249"/>
      <c r="D144" s="1249"/>
      <c r="E144" s="1250"/>
      <c r="F144" s="1250"/>
      <c r="G144" s="1250"/>
      <c r="H144" s="1250"/>
      <c r="I144" s="1250"/>
      <c r="J144" s="1250"/>
      <c r="K144" s="1250"/>
      <c r="L144" s="1250"/>
      <c r="M144" s="1250"/>
      <c r="N144" s="1249"/>
      <c r="O144" s="1251"/>
      <c r="P144" s="1123"/>
    </row>
    <row r="145" spans="2:16" s="1128" customFormat="1" ht="21.9" customHeight="1" x14ac:dyDescent="0.25">
      <c r="B145" s="1252" t="s">
        <v>1198</v>
      </c>
      <c r="D145" s="1123"/>
      <c r="E145" s="1253"/>
      <c r="F145" s="1253"/>
      <c r="G145" s="1253"/>
      <c r="H145" s="1253"/>
      <c r="I145" s="1253"/>
      <c r="J145" s="1253"/>
      <c r="K145" s="1123"/>
      <c r="L145" s="1123"/>
      <c r="M145" s="1123"/>
      <c r="N145" s="1123"/>
      <c r="O145" s="1255"/>
      <c r="P145" s="1123"/>
    </row>
    <row r="146" spans="2:16" s="1128" customFormat="1" ht="21.9" customHeight="1" x14ac:dyDescent="0.25">
      <c r="B146" s="1252"/>
      <c r="D146" s="1123"/>
      <c r="E146" s="1253"/>
      <c r="F146" s="1253"/>
      <c r="G146" s="1253"/>
      <c r="H146" s="1253"/>
      <c r="I146" s="1253"/>
      <c r="J146" s="1253"/>
      <c r="K146" s="1253"/>
      <c r="L146" s="1253"/>
      <c r="M146" s="1253"/>
      <c r="N146" s="1123"/>
      <c r="O146" s="1255"/>
      <c r="P146" s="1123"/>
    </row>
    <row r="147" spans="2:16" s="1128" customFormat="1" ht="21.9" customHeight="1" thickBot="1" x14ac:dyDescent="0.3">
      <c r="B147" s="1256"/>
      <c r="C147" s="1257"/>
      <c r="D147" s="1257"/>
      <c r="E147" s="1258"/>
      <c r="F147" s="1258"/>
      <c r="G147" s="1258"/>
      <c r="H147" s="1258"/>
      <c r="I147" s="1258"/>
      <c r="J147" s="1258"/>
      <c r="K147" s="1258"/>
      <c r="L147" s="1258"/>
      <c r="M147" s="1258"/>
      <c r="N147" s="1257"/>
      <c r="O147" s="1259"/>
      <c r="P147" s="1123"/>
    </row>
    <row r="148" spans="2:16" s="1128" customFormat="1" ht="9.9" customHeight="1" x14ac:dyDescent="0.25">
      <c r="B148" s="1123"/>
      <c r="C148" s="1124"/>
      <c r="D148" s="1124"/>
      <c r="E148" s="1253"/>
      <c r="F148" s="1253"/>
      <c r="G148" s="1253"/>
      <c r="H148" s="1253"/>
      <c r="I148" s="1253"/>
      <c r="J148" s="1253"/>
      <c r="K148" s="1253"/>
      <c r="L148" s="1253"/>
      <c r="M148" s="1253"/>
      <c r="N148" s="1123"/>
      <c r="O148" s="1123"/>
      <c r="P148" s="1123"/>
    </row>
    <row r="149" spans="2:16" s="1128" customFormat="1" ht="21.9" customHeight="1" x14ac:dyDescent="0.25">
      <c r="B149" s="1123"/>
      <c r="C149" s="1123"/>
      <c r="D149" s="1261" t="s">
        <v>1199</v>
      </c>
      <c r="E149" s="1261"/>
      <c r="F149" s="1262">
        <f>OP1_CI!F128</f>
        <v>165</v>
      </c>
      <c r="G149" s="1263"/>
      <c r="H149" s="1263"/>
      <c r="I149" s="1263"/>
      <c r="J149" s="1263"/>
      <c r="K149" s="1264"/>
      <c r="L149" s="1265"/>
      <c r="M149" s="1263"/>
      <c r="N149" s="1266"/>
      <c r="O149" s="1260"/>
      <c r="P149" s="1123"/>
    </row>
    <row r="150" spans="2:16" s="1128" customFormat="1" ht="21.9" customHeight="1" x14ac:dyDescent="0.25">
      <c r="B150" s="1123"/>
      <c r="C150" s="1123"/>
      <c r="D150" s="1261" t="s">
        <v>1200</v>
      </c>
      <c r="E150" s="1261"/>
      <c r="F150" s="1261">
        <f>OP1_CI!L129</f>
        <v>49.278787878787881</v>
      </c>
      <c r="G150" s="1267"/>
      <c r="H150" s="1261" t="s">
        <v>1224</v>
      </c>
      <c r="I150" s="1267"/>
      <c r="J150" s="1261">
        <f>OP1_CI!P129</f>
        <v>43.921212121212122</v>
      </c>
      <c r="K150" s="1266"/>
      <c r="L150" s="1261" t="s">
        <v>1201</v>
      </c>
      <c r="M150" s="1265"/>
      <c r="N150" s="1265">
        <f>OP1_CI!X129</f>
        <v>32.836363636363636</v>
      </c>
      <c r="O150" s="1261">
        <f>SUM(F150,J150,N150)</f>
        <v>126.03636363636363</v>
      </c>
      <c r="P150" s="1123"/>
    </row>
    <row r="151" spans="2:16" s="1128" customFormat="1" ht="21.9" customHeight="1" x14ac:dyDescent="0.25">
      <c r="B151" s="1123"/>
      <c r="C151" s="1123"/>
      <c r="D151" s="1261" t="s">
        <v>1202</v>
      </c>
      <c r="E151" s="1261"/>
      <c r="F151" s="1261">
        <f>OP1_CI!F129</f>
        <v>12</v>
      </c>
      <c r="G151" s="1268" t="s">
        <v>1203</v>
      </c>
      <c r="H151" s="1267" t="s">
        <v>1225</v>
      </c>
      <c r="I151" s="1267"/>
      <c r="J151" s="1350">
        <f>OP1_CI!F132</f>
        <v>57000</v>
      </c>
      <c r="K151" s="1270" t="s">
        <v>1099</v>
      </c>
      <c r="L151" s="1261" t="s">
        <v>1204</v>
      </c>
      <c r="M151" s="1350"/>
      <c r="N151" s="1350">
        <f>OP1_CI!F130</f>
        <v>32000</v>
      </c>
      <c r="O151" s="1270" t="s">
        <v>1099</v>
      </c>
      <c r="P151" s="1123"/>
    </row>
    <row r="152" spans="2:16" s="1128" customFormat="1" ht="21.9" customHeight="1" x14ac:dyDescent="0.25">
      <c r="B152" s="1123"/>
      <c r="C152" s="1123"/>
      <c r="D152" s="1261" t="s">
        <v>1205</v>
      </c>
      <c r="E152" s="1261"/>
      <c r="F152" s="1261">
        <f>OP1_CI!L130</f>
        <v>4.1065656565656568</v>
      </c>
      <c r="G152" s="1268" t="s">
        <v>118</v>
      </c>
      <c r="H152" s="1267" t="s">
        <v>1226</v>
      </c>
      <c r="I152" s="1351">
        <f>J143*J151</f>
        <v>413079000</v>
      </c>
      <c r="J152" s="1351"/>
      <c r="K152" s="1270" t="s">
        <v>1099</v>
      </c>
      <c r="L152" s="1261" t="s">
        <v>1206</v>
      </c>
      <c r="M152" s="1351">
        <f>M143*N151</f>
        <v>173376000</v>
      </c>
      <c r="N152" s="1351"/>
      <c r="O152" s="1270" t="s">
        <v>1099</v>
      </c>
      <c r="P152" s="1123"/>
    </row>
    <row r="153" spans="2:16" s="1128" customFormat="1" ht="9.9" customHeight="1" x14ac:dyDescent="0.25">
      <c r="B153" s="1123"/>
      <c r="C153" s="1123"/>
      <c r="D153" s="1123"/>
      <c r="E153" s="1272"/>
      <c r="F153" s="1272"/>
      <c r="G153" s="1272"/>
      <c r="H153" s="1272"/>
      <c r="I153" s="1272"/>
      <c r="J153" s="1272"/>
      <c r="K153" s="1272"/>
      <c r="L153" s="1272"/>
      <c r="M153" s="1272"/>
      <c r="N153" s="1273"/>
      <c r="O153" s="1123"/>
      <c r="P153" s="1123"/>
    </row>
    <row r="154" spans="2:16" s="1128" customFormat="1" ht="20.100000000000001" customHeight="1" x14ac:dyDescent="0.25">
      <c r="B154" s="1123"/>
      <c r="C154" s="1123"/>
      <c r="D154" s="1123"/>
      <c r="E154" s="1275"/>
      <c r="F154" s="1275"/>
      <c r="G154" s="1275"/>
      <c r="H154" s="1275"/>
      <c r="I154" s="1275"/>
      <c r="J154" s="1275"/>
      <c r="K154" s="1253"/>
      <c r="L154" s="1253"/>
      <c r="M154" s="1253"/>
      <c r="N154" s="1253"/>
      <c r="O154" s="1123"/>
      <c r="P154" s="1123"/>
    </row>
    <row r="155" spans="2:16" s="1128" customFormat="1" ht="20.100000000000001" customHeight="1" x14ac:dyDescent="0.25">
      <c r="B155" s="1123"/>
      <c r="C155" s="1123"/>
      <c r="D155" s="1123"/>
      <c r="E155" s="1275"/>
      <c r="F155" s="1275"/>
      <c r="G155" s="1275"/>
      <c r="H155" s="1275"/>
      <c r="I155" s="1275"/>
      <c r="J155" s="1275"/>
      <c r="K155" s="1286"/>
      <c r="L155" s="1286"/>
      <c r="M155" s="1286"/>
      <c r="N155" s="1274"/>
      <c r="O155" s="1123"/>
      <c r="P155" s="1123"/>
    </row>
    <row r="156" spans="2:16" s="1128" customFormat="1" ht="20.100000000000001" customHeight="1" x14ac:dyDescent="0.25">
      <c r="B156" s="1123"/>
      <c r="C156" s="1123"/>
      <c r="D156" s="1123"/>
      <c r="E156" s="1275"/>
      <c r="F156" s="1275"/>
      <c r="G156" s="1275"/>
      <c r="H156" s="1275"/>
      <c r="I156" s="1275"/>
      <c r="J156" s="1275"/>
      <c r="K156" s="1286"/>
      <c r="L156" s="1286"/>
      <c r="M156" s="1286"/>
      <c r="N156" s="1352"/>
      <c r="O156" s="1123"/>
      <c r="P156" s="1123"/>
    </row>
    <row r="157" spans="2:16" s="1128" customFormat="1" ht="20.100000000000001" customHeight="1" x14ac:dyDescent="0.25">
      <c r="B157" s="1123"/>
      <c r="C157" s="1123"/>
      <c r="D157" s="1123"/>
      <c r="E157" s="1275"/>
      <c r="F157" s="1275"/>
      <c r="G157" s="1275"/>
      <c r="H157" s="1275"/>
      <c r="I157" s="1275"/>
      <c r="J157" s="1275"/>
      <c r="K157" s="1286"/>
      <c r="L157" s="1286"/>
      <c r="M157" s="1286"/>
      <c r="N157" s="1352"/>
      <c r="O157" s="1123"/>
      <c r="P157" s="1123"/>
    </row>
    <row r="158" spans="2:16" s="1128" customFormat="1" ht="20.100000000000001" customHeight="1" x14ac:dyDescent="0.25">
      <c r="B158" s="1123"/>
      <c r="C158" s="1123"/>
      <c r="D158" s="1123"/>
      <c r="E158" s="1253"/>
      <c r="F158" s="1253"/>
      <c r="G158" s="1253"/>
      <c r="H158" s="1253"/>
      <c r="I158" s="1253"/>
      <c r="J158" s="1253"/>
      <c r="K158" s="1286"/>
      <c r="L158" s="1286"/>
      <c r="M158" s="1286"/>
      <c r="N158" s="1352"/>
      <c r="O158" s="1123"/>
      <c r="P158" s="1123"/>
    </row>
    <row r="159" spans="2:16" s="1128" customFormat="1" ht="20.100000000000001" customHeight="1" x14ac:dyDescent="0.25">
      <c r="B159" s="1123"/>
      <c r="C159" s="1123"/>
      <c r="D159" s="1123"/>
      <c r="E159" s="1253"/>
      <c r="F159" s="1253"/>
      <c r="G159" s="1253"/>
      <c r="H159" s="1253"/>
      <c r="I159" s="1253"/>
      <c r="J159" s="1253"/>
      <c r="K159" s="1286"/>
      <c r="L159" s="1286"/>
      <c r="M159" s="1286"/>
      <c r="N159" s="1352"/>
      <c r="O159" s="1123"/>
      <c r="P159" s="1123"/>
    </row>
    <row r="160" spans="2:16" s="1128" customFormat="1" ht="20.100000000000001" customHeight="1" x14ac:dyDescent="0.25">
      <c r="B160" s="1123"/>
      <c r="C160" s="1123"/>
      <c r="D160" s="1123"/>
      <c r="E160" s="1253"/>
      <c r="F160" s="1253"/>
      <c r="G160" s="1253"/>
      <c r="H160" s="1253"/>
      <c r="I160" s="1253"/>
      <c r="J160" s="1253"/>
      <c r="K160" s="1286"/>
      <c r="L160" s="1286"/>
      <c r="M160" s="1286"/>
      <c r="N160" s="1352"/>
      <c r="O160" s="1123"/>
      <c r="P160" s="1123"/>
    </row>
    <row r="161" spans="2:16" s="1128" customFormat="1" ht="20.100000000000001" customHeight="1" x14ac:dyDescent="0.25">
      <c r="B161" s="1123"/>
      <c r="C161" s="1123"/>
      <c r="D161" s="1123"/>
      <c r="E161" s="1253"/>
      <c r="F161" s="1253"/>
      <c r="G161" s="1253"/>
      <c r="H161" s="1253"/>
      <c r="I161" s="1253"/>
      <c r="J161" s="1253"/>
      <c r="K161" s="1286"/>
      <c r="L161" s="1286"/>
      <c r="M161" s="1286"/>
      <c r="N161" s="1352"/>
      <c r="O161" s="1123"/>
      <c r="P161" s="1123"/>
    </row>
    <row r="162" spans="2:16" s="1128" customFormat="1" ht="20.100000000000001" customHeight="1" x14ac:dyDescent="0.25">
      <c r="B162" s="1123"/>
      <c r="C162" s="1123"/>
      <c r="D162" s="1123"/>
      <c r="E162" s="1253"/>
      <c r="F162" s="1253"/>
      <c r="G162" s="1253"/>
      <c r="H162" s="1253"/>
      <c r="I162" s="1253"/>
      <c r="J162" s="1253"/>
      <c r="K162" s="1286"/>
      <c r="L162" s="1286"/>
      <c r="M162" s="1286"/>
      <c r="N162" s="1352"/>
      <c r="O162" s="1123"/>
      <c r="P162" s="1123"/>
    </row>
    <row r="163" spans="2:16" s="1128" customFormat="1" ht="12" x14ac:dyDescent="0.25">
      <c r="B163" s="1123"/>
      <c r="C163" s="1123"/>
      <c r="D163" s="1123"/>
      <c r="E163" s="1274"/>
      <c r="F163" s="1274"/>
      <c r="G163" s="1274"/>
      <c r="H163" s="1274"/>
      <c r="I163" s="1274"/>
      <c r="J163" s="1274"/>
      <c r="K163" s="1123"/>
      <c r="L163" s="1123"/>
      <c r="M163" s="1123"/>
      <c r="N163" s="1123"/>
      <c r="O163" s="1123"/>
      <c r="P163" s="1123"/>
    </row>
    <row r="164" spans="2:16" x14ac:dyDescent="0.25">
      <c r="B164" s="1118"/>
      <c r="C164" s="1282"/>
      <c r="D164" s="1118"/>
      <c r="E164" s="1138"/>
      <c r="F164" s="1138"/>
      <c r="G164" s="1138"/>
      <c r="H164" s="1138"/>
      <c r="I164" s="1138"/>
      <c r="J164" s="1138"/>
      <c r="K164" s="1138"/>
      <c r="L164" s="1138"/>
      <c r="M164" s="1138"/>
      <c r="N164" s="1138"/>
      <c r="O164" s="1138"/>
      <c r="P164" s="1118"/>
    </row>
  </sheetData>
  <mergeCells count="6">
    <mergeCell ref="C4:C5"/>
    <mergeCell ref="D4:D5"/>
    <mergeCell ref="N4:N5"/>
    <mergeCell ref="O4:O5"/>
    <mergeCell ref="I152:J152"/>
    <mergeCell ref="M152:N152"/>
  </mergeCells>
  <printOptions gridLinesSet="0"/>
  <pageMargins left="0.55118110236220474" right="0.15748031496062992" top="0.47244094488188981" bottom="0.43307086614173229" header="0.27559055118110237" footer="0.31496062992125984"/>
  <pageSetup paperSize="8" scale="60" fitToHeight="0" orientation="portrait" r:id="rId1"/>
  <headerFooter alignWithMargins="0"/>
  <rowBreaks count="2" manualBreakCount="2">
    <brk id="74" max="12" man="1"/>
    <brk id="136" max="1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CBB83-AF56-4E51-A1C2-476B25491ECC}">
  <sheetPr>
    <tabColor rgb="FFFFC000"/>
    <pageSetUpPr fitToPage="1"/>
  </sheetPr>
  <dimension ref="B1:Q164"/>
  <sheetViews>
    <sheetView showGridLines="0" showZeros="0" view="pageBreakPreview" zoomScale="85" zoomScaleNormal="85" zoomScaleSheetLayoutView="85" workbookViewId="0">
      <pane xSplit="2" ySplit="5" topLeftCell="C23" activePane="bottomRight" state="frozen"/>
      <selection activeCell="J114" sqref="J114"/>
      <selection pane="topRight" activeCell="J114" sqref="J114"/>
      <selection pane="bottomLeft" activeCell="J114" sqref="J114"/>
      <selection pane="bottomRight" activeCell="J114" sqref="J114"/>
    </sheetView>
  </sheetViews>
  <sheetFormatPr defaultColWidth="8" defaultRowHeight="14.4" x14ac:dyDescent="0.25"/>
  <cols>
    <col min="1" max="1" width="1.796875" style="1120" customWidth="1"/>
    <col min="2" max="2" width="8.796875" style="1120" customWidth="1"/>
    <col min="3" max="3" width="40.796875" style="1120" customWidth="1"/>
    <col min="4" max="4" width="6.796875" style="1120" customWidth="1"/>
    <col min="5" max="6" width="9.796875" style="1285" customWidth="1"/>
    <col min="7" max="10" width="10.59765625" style="1285" customWidth="1"/>
    <col min="11" max="12" width="9.796875" style="1286" customWidth="1"/>
    <col min="13" max="13" width="10.59765625" style="1286" customWidth="1"/>
    <col min="14" max="14" width="16.69921875" style="1286" customWidth="1"/>
    <col min="15" max="15" width="30.796875" style="1285" customWidth="1"/>
    <col min="16" max="16" width="1.796875" style="1120" customWidth="1"/>
    <col min="17" max="16384" width="8" style="1120"/>
  </cols>
  <sheetData>
    <row r="1" spans="2:17" ht="35.1" customHeight="1" x14ac:dyDescent="0.25">
      <c r="B1" s="1115" t="s">
        <v>1109</v>
      </c>
      <c r="C1" s="1116"/>
      <c r="D1" s="1116"/>
      <c r="E1" s="1117"/>
      <c r="F1" s="1117"/>
      <c r="G1" s="1117"/>
      <c r="H1" s="1117"/>
      <c r="I1" s="1117"/>
      <c r="J1" s="1117"/>
      <c r="K1" s="1117"/>
      <c r="L1" s="1117"/>
      <c r="M1" s="1117"/>
      <c r="N1" s="1116"/>
      <c r="O1" s="1116"/>
      <c r="P1" s="1118"/>
      <c r="Q1" s="1119" t="s">
        <v>1227</v>
      </c>
    </row>
    <row r="2" spans="2:17" ht="35.1" customHeight="1" x14ac:dyDescent="0.25">
      <c r="B2" s="1288" t="str">
        <f>CONCATENATE("GEC &amp; 외주-종합 Case [",산출기준_CI!A5,"]")</f>
        <v>GEC &amp; 외주-종합 Case [일반 Ver.]</v>
      </c>
      <c r="C2" s="1116"/>
      <c r="D2" s="1116"/>
      <c r="E2" s="1117"/>
      <c r="F2" s="1117"/>
      <c r="G2" s="1117"/>
      <c r="H2" s="1117"/>
      <c r="I2" s="1117"/>
      <c r="J2" s="1117"/>
      <c r="K2" s="1117"/>
      <c r="L2" s="1117"/>
      <c r="M2" s="1117"/>
      <c r="N2" s="1116"/>
      <c r="O2" s="1116"/>
      <c r="P2" s="1118"/>
      <c r="Q2" s="1122" t="s">
        <v>991</v>
      </c>
    </row>
    <row r="3" spans="2:17" s="1128" customFormat="1" ht="20.100000000000001" customHeight="1" thickBot="1" x14ac:dyDescent="0.3">
      <c r="B3" s="1123" t="str">
        <f>OP1_CI!A15</f>
        <v>PROJECT: Promigas CPF Project</v>
      </c>
      <c r="C3" s="1124"/>
      <c r="D3" s="1125"/>
      <c r="E3" s="1126"/>
      <c r="F3" s="1126"/>
      <c r="G3" s="1126"/>
      <c r="H3" s="1126"/>
      <c r="I3" s="1126"/>
      <c r="J3" s="1126"/>
      <c r="K3" s="1126"/>
      <c r="L3" s="1126"/>
      <c r="M3" s="1126"/>
      <c r="N3" s="1125"/>
      <c r="O3" s="1127">
        <f>Input_CI!AK5</f>
        <v>46255</v>
      </c>
      <c r="P3" s="1123"/>
      <c r="Q3" s="1122" t="s">
        <v>1111</v>
      </c>
    </row>
    <row r="4" spans="2:17" s="1139" customFormat="1" ht="21.9" customHeight="1" x14ac:dyDescent="0.25">
      <c r="B4" s="1129" t="s">
        <v>1112</v>
      </c>
      <c r="C4" s="1130" t="s">
        <v>1113</v>
      </c>
      <c r="D4" s="1131" t="s">
        <v>1114</v>
      </c>
      <c r="E4" s="1132" t="s">
        <v>1115</v>
      </c>
      <c r="F4" s="1133"/>
      <c r="G4" s="1134"/>
      <c r="H4" s="1132" t="s">
        <v>1218</v>
      </c>
      <c r="I4" s="1133"/>
      <c r="J4" s="1134"/>
      <c r="K4" s="1132" t="s">
        <v>1228</v>
      </c>
      <c r="L4" s="1133"/>
      <c r="M4" s="1134"/>
      <c r="N4" s="1136" t="s">
        <v>987</v>
      </c>
      <c r="O4" s="1137" t="s">
        <v>1117</v>
      </c>
      <c r="P4" s="1138"/>
    </row>
    <row r="5" spans="2:17" s="1139" customFormat="1" ht="21.9" customHeight="1" thickBot="1" x14ac:dyDescent="0.3">
      <c r="B5" s="1140" t="s">
        <v>1118</v>
      </c>
      <c r="C5" s="1141"/>
      <c r="D5" s="1142"/>
      <c r="E5" s="1143" t="s">
        <v>1003</v>
      </c>
      <c r="F5" s="1144" t="s">
        <v>1119</v>
      </c>
      <c r="G5" s="1289" t="s">
        <v>1120</v>
      </c>
      <c r="H5" s="1143" t="s">
        <v>1003</v>
      </c>
      <c r="I5" s="1144" t="s">
        <v>1119</v>
      </c>
      <c r="J5" s="1289" t="s">
        <v>1120</v>
      </c>
      <c r="K5" s="1143" t="s">
        <v>1003</v>
      </c>
      <c r="L5" s="1144" t="s">
        <v>1119</v>
      </c>
      <c r="M5" s="1145" t="s">
        <v>1120</v>
      </c>
      <c r="N5" s="1146"/>
      <c r="O5" s="1147"/>
      <c r="P5" s="1138"/>
    </row>
    <row r="6" spans="2:17" s="1123" customFormat="1" ht="21.9" customHeight="1" thickTop="1" x14ac:dyDescent="0.25">
      <c r="B6" s="1148"/>
      <c r="C6" s="1149"/>
      <c r="D6" s="1150"/>
      <c r="E6" s="1151"/>
      <c r="F6" s="1353"/>
      <c r="G6" s="1354"/>
      <c r="H6" s="1151"/>
      <c r="I6" s="1353"/>
      <c r="J6" s="1355"/>
      <c r="K6" s="1154"/>
      <c r="L6" s="1353"/>
      <c r="M6" s="1355"/>
      <c r="N6" s="1356"/>
      <c r="O6" s="1156"/>
    </row>
    <row r="7" spans="2:17" s="1138" customFormat="1" ht="21.9" customHeight="1" x14ac:dyDescent="0.25">
      <c r="B7" s="1157" t="s">
        <v>1121</v>
      </c>
      <c r="C7" s="1158" t="s">
        <v>1122</v>
      </c>
      <c r="D7" s="1159"/>
      <c r="E7" s="1163"/>
      <c r="F7" s="1161"/>
      <c r="G7" s="1357"/>
      <c r="H7" s="1160"/>
      <c r="I7" s="1358"/>
      <c r="J7" s="1359"/>
      <c r="K7" s="1163"/>
      <c r="L7" s="1161"/>
      <c r="M7" s="1359"/>
      <c r="N7" s="1360"/>
      <c r="O7" s="1165"/>
    </row>
    <row r="8" spans="2:17" s="1138" customFormat="1" ht="21.9" customHeight="1" x14ac:dyDescent="0.25">
      <c r="B8" s="1157">
        <v>1</v>
      </c>
      <c r="C8" s="1166" t="s">
        <v>672</v>
      </c>
      <c r="D8" s="1159"/>
      <c r="E8" s="1163"/>
      <c r="F8" s="1161"/>
      <c r="G8" s="1361"/>
      <c r="H8" s="1362"/>
      <c r="I8" s="1363"/>
      <c r="J8" s="1364"/>
      <c r="K8" s="1163"/>
      <c r="L8" s="1161"/>
      <c r="M8" s="1364"/>
      <c r="N8" s="1365"/>
      <c r="O8" s="1165"/>
    </row>
    <row r="9" spans="2:17" s="1123" customFormat="1" ht="21.9" customHeight="1" x14ac:dyDescent="0.25">
      <c r="B9" s="1170">
        <v>1.1000000000000001</v>
      </c>
      <c r="C9" s="1171" t="s">
        <v>1123</v>
      </c>
      <c r="D9" s="1172" t="s">
        <v>1124</v>
      </c>
      <c r="E9" s="1173">
        <f>OP1_CI!M21</f>
        <v>72</v>
      </c>
      <c r="F9" s="1174">
        <f>OP1_CI!G21</f>
        <v>1</v>
      </c>
      <c r="G9" s="1307">
        <f>OP1_CI!N21</f>
        <v>72</v>
      </c>
      <c r="H9" s="1173">
        <f>OP1_CI!O21</f>
        <v>51.428571428571431</v>
      </c>
      <c r="I9" s="1174">
        <f>F9</f>
        <v>1</v>
      </c>
      <c r="J9" s="1307">
        <f>OP1_CI!P21</f>
        <v>51</v>
      </c>
      <c r="K9" s="1173">
        <f>OP1_CI!Y21</f>
        <v>17.142857142857142</v>
      </c>
      <c r="L9" s="1174">
        <f>F9</f>
        <v>1</v>
      </c>
      <c r="M9" s="1308">
        <f>OP1_CI!Z21</f>
        <v>17</v>
      </c>
      <c r="N9" s="1309">
        <f>G9+J9+M9</f>
        <v>140</v>
      </c>
      <c r="O9" s="1178"/>
    </row>
    <row r="10" spans="2:17" s="1123" customFormat="1" ht="21.9" customHeight="1" x14ac:dyDescent="0.25">
      <c r="B10" s="1170">
        <v>1.2</v>
      </c>
      <c r="C10" s="1171" t="s">
        <v>103</v>
      </c>
      <c r="D10" s="1172" t="s">
        <v>1124</v>
      </c>
      <c r="E10" s="1173">
        <f>OP1_CI!M22</f>
        <v>108</v>
      </c>
      <c r="F10" s="1174">
        <f>OP1_CI!G22</f>
        <v>1</v>
      </c>
      <c r="G10" s="1307">
        <f>OP1_CI!N22</f>
        <v>108</v>
      </c>
      <c r="H10" s="1173">
        <f>OP1_CI!O22</f>
        <v>77.142857142857153</v>
      </c>
      <c r="I10" s="1174">
        <f t="shared" ref="I10:I18" si="0">F10</f>
        <v>1</v>
      </c>
      <c r="J10" s="1307">
        <f>OP1_CI!P22</f>
        <v>77</v>
      </c>
      <c r="K10" s="1173">
        <f>OP1_CI!Y22</f>
        <v>25.714285714285715</v>
      </c>
      <c r="L10" s="1174">
        <f>F10</f>
        <v>1</v>
      </c>
      <c r="M10" s="1308">
        <f>OP1_CI!Z22</f>
        <v>26</v>
      </c>
      <c r="N10" s="1309">
        <f t="shared" ref="N10:N18" si="1">G10+J10+M10</f>
        <v>211</v>
      </c>
      <c r="O10" s="1178"/>
    </row>
    <row r="11" spans="2:17" s="1123" customFormat="1" ht="21.9" customHeight="1" x14ac:dyDescent="0.25">
      <c r="B11" s="1170">
        <v>1.3</v>
      </c>
      <c r="C11" s="1171" t="s">
        <v>682</v>
      </c>
      <c r="D11" s="1172" t="s">
        <v>1124</v>
      </c>
      <c r="E11" s="1173">
        <f>OP1_CI!M23</f>
        <v>80</v>
      </c>
      <c r="F11" s="1174">
        <f>OP1_CI!G23</f>
        <v>1</v>
      </c>
      <c r="G11" s="1307">
        <f>OP1_CI!N23</f>
        <v>80</v>
      </c>
      <c r="H11" s="1173">
        <f>OP1_CI!O23</f>
        <v>0</v>
      </c>
      <c r="I11" s="1174">
        <f t="shared" si="0"/>
        <v>1</v>
      </c>
      <c r="J11" s="1307">
        <f>OP1_CI!P23</f>
        <v>0</v>
      </c>
      <c r="K11" s="1173">
        <f>OP1_CI!Y23</f>
        <v>11.428571428571429</v>
      </c>
      <c r="L11" s="1174">
        <f>F11</f>
        <v>1</v>
      </c>
      <c r="M11" s="1308">
        <f>OP1_CI!Z23</f>
        <v>11</v>
      </c>
      <c r="N11" s="1309">
        <f t="shared" si="1"/>
        <v>91</v>
      </c>
      <c r="O11" s="1178"/>
    </row>
    <row r="12" spans="2:17" s="1123" customFormat="1" ht="21.9" customHeight="1" x14ac:dyDescent="0.25">
      <c r="B12" s="1170"/>
      <c r="C12" s="1171"/>
      <c r="D12" s="1172"/>
      <c r="E12" s="1173"/>
      <c r="F12" s="1174"/>
      <c r="G12" s="1307"/>
      <c r="H12" s="1173"/>
      <c r="I12" s="1174"/>
      <c r="J12" s="1307"/>
      <c r="K12" s="1173"/>
      <c r="L12" s="1174"/>
      <c r="M12" s="1308"/>
      <c r="N12" s="1309"/>
      <c r="O12" s="1178"/>
    </row>
    <row r="13" spans="2:17" s="1123" customFormat="1" ht="21.9" customHeight="1" x14ac:dyDescent="0.25">
      <c r="B13" s="1157">
        <v>2</v>
      </c>
      <c r="C13" s="1166" t="s">
        <v>688</v>
      </c>
      <c r="D13" s="1179"/>
      <c r="E13" s="1180"/>
      <c r="F13" s="1181"/>
      <c r="G13" s="1366"/>
      <c r="H13" s="1180"/>
      <c r="I13" s="1174"/>
      <c r="J13" s="1366"/>
      <c r="K13" s="1180"/>
      <c r="L13" s="1181"/>
      <c r="M13" s="1367"/>
      <c r="N13" s="1309"/>
      <c r="O13" s="1185"/>
    </row>
    <row r="14" spans="2:17" s="1123" customFormat="1" ht="21.9" customHeight="1" x14ac:dyDescent="0.25">
      <c r="B14" s="1170">
        <v>2.1</v>
      </c>
      <c r="C14" s="1171" t="s">
        <v>1125</v>
      </c>
      <c r="D14" s="1172" t="s">
        <v>1124</v>
      </c>
      <c r="E14" s="1173">
        <f>OP1_CI!M24</f>
        <v>204</v>
      </c>
      <c r="F14" s="1174">
        <f>OP1_CI!G24</f>
        <v>1</v>
      </c>
      <c r="G14" s="1307">
        <f>OP1_CI!N24</f>
        <v>204</v>
      </c>
      <c r="H14" s="1173">
        <f>OP1_CI!O24</f>
        <v>145.71428571428572</v>
      </c>
      <c r="I14" s="1174">
        <f t="shared" si="0"/>
        <v>1</v>
      </c>
      <c r="J14" s="1307">
        <f>OP1_CI!P24</f>
        <v>146</v>
      </c>
      <c r="K14" s="1173">
        <f>OP1_CI!Y24</f>
        <v>48.571428571428577</v>
      </c>
      <c r="L14" s="1174">
        <f t="shared" ref="L14:L18" si="2">F14</f>
        <v>1</v>
      </c>
      <c r="M14" s="1308">
        <f>OP1_CI!Z24</f>
        <v>49</v>
      </c>
      <c r="N14" s="1309">
        <f t="shared" si="1"/>
        <v>399</v>
      </c>
      <c r="O14" s="1178"/>
    </row>
    <row r="15" spans="2:17" s="1123" customFormat="1" ht="21.9" customHeight="1" x14ac:dyDescent="0.25">
      <c r="B15" s="1170">
        <v>2.2000000000000002</v>
      </c>
      <c r="C15" s="1171" t="s">
        <v>117</v>
      </c>
      <c r="D15" s="1172" t="s">
        <v>1124</v>
      </c>
      <c r="E15" s="1222" t="s">
        <v>98</v>
      </c>
      <c r="F15" s="1174">
        <v>1</v>
      </c>
      <c r="G15" s="1307">
        <f>OP1_CI!N25</f>
        <v>240</v>
      </c>
      <c r="H15" s="1222" t="s">
        <v>98</v>
      </c>
      <c r="I15" s="1174">
        <f t="shared" si="0"/>
        <v>1</v>
      </c>
      <c r="J15" s="1307">
        <f>OP1_CI!P25</f>
        <v>171</v>
      </c>
      <c r="K15" s="1222" t="s">
        <v>98</v>
      </c>
      <c r="L15" s="1174">
        <f t="shared" si="2"/>
        <v>1</v>
      </c>
      <c r="M15" s="1308">
        <f>OP1_CI!Z25</f>
        <v>57</v>
      </c>
      <c r="N15" s="1309">
        <f t="shared" si="1"/>
        <v>468</v>
      </c>
      <c r="O15" s="1368"/>
    </row>
    <row r="16" spans="2:17" s="1123" customFormat="1" ht="21.9" customHeight="1" x14ac:dyDescent="0.25">
      <c r="B16" s="1170">
        <v>2.2999999999999998</v>
      </c>
      <c r="C16" s="1171" t="s">
        <v>1127</v>
      </c>
      <c r="D16" s="1172" t="s">
        <v>1124</v>
      </c>
      <c r="E16" s="1222" t="s">
        <v>98</v>
      </c>
      <c r="F16" s="1174">
        <v>1</v>
      </c>
      <c r="G16" s="1307">
        <f>OP1_CI!N26</f>
        <v>240</v>
      </c>
      <c r="H16" s="1222" t="s">
        <v>98</v>
      </c>
      <c r="I16" s="1174">
        <f t="shared" si="0"/>
        <v>1</v>
      </c>
      <c r="J16" s="1307">
        <f>OP1_CI!P26</f>
        <v>171</v>
      </c>
      <c r="K16" s="1222" t="s">
        <v>98</v>
      </c>
      <c r="L16" s="1174">
        <f t="shared" si="2"/>
        <v>1</v>
      </c>
      <c r="M16" s="1308">
        <f>OP1_CI!Z26</f>
        <v>57</v>
      </c>
      <c r="N16" s="1309">
        <f t="shared" si="1"/>
        <v>468</v>
      </c>
      <c r="O16" s="1368"/>
    </row>
    <row r="17" spans="2:16" s="1123" customFormat="1" ht="21.9" customHeight="1" x14ac:dyDescent="0.25">
      <c r="B17" s="1170">
        <v>2.4</v>
      </c>
      <c r="C17" s="1171" t="s">
        <v>1128</v>
      </c>
      <c r="D17" s="1172" t="s">
        <v>1124</v>
      </c>
      <c r="E17" s="1222" t="s">
        <v>98</v>
      </c>
      <c r="F17" s="1174">
        <v>1</v>
      </c>
      <c r="G17" s="1307">
        <f>OP1_CI!N27</f>
        <v>0</v>
      </c>
      <c r="H17" s="1222" t="s">
        <v>98</v>
      </c>
      <c r="I17" s="1174">
        <f t="shared" si="0"/>
        <v>1</v>
      </c>
      <c r="J17" s="1307">
        <f>OP1_CI!P27</f>
        <v>0</v>
      </c>
      <c r="K17" s="1222" t="s">
        <v>98</v>
      </c>
      <c r="L17" s="1174">
        <f t="shared" si="2"/>
        <v>1</v>
      </c>
      <c r="M17" s="1308">
        <f>OP1_CI!Z27</f>
        <v>0</v>
      </c>
      <c r="N17" s="1309">
        <f t="shared" si="1"/>
        <v>0</v>
      </c>
      <c r="O17" s="1368"/>
    </row>
    <row r="18" spans="2:16" s="1123" customFormat="1" ht="21.9" customHeight="1" x14ac:dyDescent="0.25">
      <c r="B18" s="1170">
        <v>2.5</v>
      </c>
      <c r="C18" s="1171" t="s">
        <v>712</v>
      </c>
      <c r="D18" s="1172" t="s">
        <v>1124</v>
      </c>
      <c r="E18" s="1222" t="s">
        <v>98</v>
      </c>
      <c r="F18" s="1174">
        <v>1</v>
      </c>
      <c r="G18" s="1307">
        <f>OP1_CI!N28</f>
        <v>48</v>
      </c>
      <c r="H18" s="1222" t="s">
        <v>98</v>
      </c>
      <c r="I18" s="1174">
        <f t="shared" si="0"/>
        <v>1</v>
      </c>
      <c r="J18" s="1307">
        <f>OP1_CI!P28</f>
        <v>34</v>
      </c>
      <c r="K18" s="1222" t="s">
        <v>98</v>
      </c>
      <c r="L18" s="1174">
        <f t="shared" si="2"/>
        <v>1</v>
      </c>
      <c r="M18" s="1308">
        <f>OP1_CI!Z28</f>
        <v>11</v>
      </c>
      <c r="N18" s="1309">
        <f t="shared" si="1"/>
        <v>93</v>
      </c>
      <c r="O18" s="1368"/>
    </row>
    <row r="19" spans="2:16" s="1123" customFormat="1" ht="21.9" customHeight="1" x14ac:dyDescent="0.25">
      <c r="B19" s="1186"/>
      <c r="C19" s="1187"/>
      <c r="D19" s="1172"/>
      <c r="E19" s="1173"/>
      <c r="F19" s="1188"/>
      <c r="G19" s="1307"/>
      <c r="H19" s="1173"/>
      <c r="I19" s="1188"/>
      <c r="J19" s="1307"/>
      <c r="K19" s="1173"/>
      <c r="L19" s="1188"/>
      <c r="M19" s="1308"/>
      <c r="N19" s="1318"/>
      <c r="O19" s="1178"/>
    </row>
    <row r="20" spans="2:16" s="1139" customFormat="1" ht="21.9" customHeight="1" thickBot="1" x14ac:dyDescent="0.3">
      <c r="B20" s="1190" t="s">
        <v>1129</v>
      </c>
      <c r="C20" s="1191"/>
      <c r="D20" s="1192"/>
      <c r="E20" s="1193"/>
      <c r="F20" s="1194"/>
      <c r="G20" s="1321">
        <f>SUM(G7:G19)</f>
        <v>992</v>
      </c>
      <c r="H20" s="1193"/>
      <c r="I20" s="1194"/>
      <c r="J20" s="1319">
        <f>SUM(J7:J19)</f>
        <v>650</v>
      </c>
      <c r="K20" s="1320"/>
      <c r="L20" s="1194"/>
      <c r="M20" s="1321">
        <f>SUM(M7:M19)</f>
        <v>228</v>
      </c>
      <c r="N20" s="1321">
        <f>SUM(N7:N19)</f>
        <v>1870</v>
      </c>
      <c r="O20" s="1198"/>
      <c r="P20" s="1138"/>
    </row>
    <row r="21" spans="2:16" s="1139" customFormat="1" ht="21.9" customHeight="1" x14ac:dyDescent="0.25">
      <c r="B21" s="1170"/>
      <c r="C21" s="1199"/>
      <c r="D21" s="1172"/>
      <c r="E21" s="1173"/>
      <c r="F21" s="1188"/>
      <c r="G21" s="1307"/>
      <c r="H21" s="1173"/>
      <c r="I21" s="1188"/>
      <c r="J21" s="1307"/>
      <c r="K21" s="1173"/>
      <c r="L21" s="1188"/>
      <c r="M21" s="1308"/>
      <c r="N21" s="1309"/>
      <c r="O21" s="1178"/>
      <c r="P21" s="1138"/>
    </row>
    <row r="22" spans="2:16" s="1139" customFormat="1" ht="21.9" customHeight="1" x14ac:dyDescent="0.25">
      <c r="B22" s="1157" t="s">
        <v>1130</v>
      </c>
      <c r="C22" s="1158" t="s">
        <v>1131</v>
      </c>
      <c r="D22" s="1172"/>
      <c r="E22" s="1173"/>
      <c r="F22" s="1188"/>
      <c r="G22" s="1307"/>
      <c r="H22" s="1173"/>
      <c r="I22" s="1188"/>
      <c r="J22" s="1307"/>
      <c r="K22" s="1173"/>
      <c r="L22" s="1188"/>
      <c r="M22" s="1308"/>
      <c r="N22" s="1318"/>
      <c r="O22" s="1178"/>
      <c r="P22" s="1138"/>
    </row>
    <row r="23" spans="2:16" s="1138" customFormat="1" ht="21.9" customHeight="1" x14ac:dyDescent="0.25">
      <c r="B23" s="1157">
        <v>1</v>
      </c>
      <c r="C23" s="1166" t="s">
        <v>1132</v>
      </c>
      <c r="D23" s="1159"/>
      <c r="E23" s="1200"/>
      <c r="F23" s="1201"/>
      <c r="G23" s="1323"/>
      <c r="H23" s="1200"/>
      <c r="I23" s="1201"/>
      <c r="J23" s="1323"/>
      <c r="K23" s="1200"/>
      <c r="L23" s="1201"/>
      <c r="M23" s="1324"/>
      <c r="N23" s="1325"/>
      <c r="O23" s="1165"/>
    </row>
    <row r="24" spans="2:16" s="1123" customFormat="1" ht="21.9" customHeight="1" x14ac:dyDescent="0.25">
      <c r="B24" s="1170">
        <v>1.1000000000000001</v>
      </c>
      <c r="C24" s="1199" t="s">
        <v>1133</v>
      </c>
      <c r="D24" s="1172"/>
      <c r="E24" s="1173"/>
      <c r="F24" s="1188"/>
      <c r="G24" s="1307"/>
      <c r="H24" s="1173"/>
      <c r="I24" s="1188"/>
      <c r="J24" s="1307"/>
      <c r="K24" s="1173">
        <v>0</v>
      </c>
      <c r="L24" s="1188"/>
      <c r="M24" s="1308"/>
      <c r="N24" s="1309"/>
      <c r="O24" s="1178"/>
    </row>
    <row r="25" spans="2:16" s="1123" customFormat="1" ht="21.9" customHeight="1" x14ac:dyDescent="0.25">
      <c r="B25" s="1170"/>
      <c r="C25" s="1206" t="s">
        <v>137</v>
      </c>
      <c r="D25" s="1172" t="s">
        <v>1134</v>
      </c>
      <c r="E25" s="1173">
        <f>OP1_CI!M31</f>
        <v>72</v>
      </c>
      <c r="F25" s="1174">
        <f>OP1_CI!G31</f>
        <v>0</v>
      </c>
      <c r="G25" s="1307">
        <f>OP1_CI!N31</f>
        <v>0</v>
      </c>
      <c r="H25" s="1173">
        <f>OP1_CI!O31</f>
        <v>51.428571428571431</v>
      </c>
      <c r="I25" s="1174">
        <f t="shared" ref="I25:I29" si="3">F25</f>
        <v>0</v>
      </c>
      <c r="J25" s="1307">
        <f>OP1_CI!P31</f>
        <v>0</v>
      </c>
      <c r="K25" s="1173">
        <f>OP1_CI!Y31</f>
        <v>17.142857142857142</v>
      </c>
      <c r="L25" s="1174">
        <f t="shared" ref="L25:L29" si="4">F25</f>
        <v>0</v>
      </c>
      <c r="M25" s="1308">
        <f>OP1_CI!Z31</f>
        <v>0</v>
      </c>
      <c r="N25" s="1309">
        <f t="shared" ref="N25:N29" si="5">G25+J25+M25</f>
        <v>0</v>
      </c>
      <c r="O25" s="1178"/>
    </row>
    <row r="26" spans="2:16" s="1123" customFormat="1" ht="21.9" customHeight="1" x14ac:dyDescent="0.25">
      <c r="B26" s="1170"/>
      <c r="C26" s="1206" t="s">
        <v>1014</v>
      </c>
      <c r="D26" s="1172" t="s">
        <v>1134</v>
      </c>
      <c r="E26" s="1173">
        <f>OP1_CI!M32</f>
        <v>42</v>
      </c>
      <c r="F26" s="1174">
        <f>OP1_CI!G32</f>
        <v>0</v>
      </c>
      <c r="G26" s="1307">
        <f>OP1_CI!N32</f>
        <v>0</v>
      </c>
      <c r="H26" s="1173">
        <f>OP1_CI!O32</f>
        <v>30.000000000000004</v>
      </c>
      <c r="I26" s="1174">
        <f t="shared" si="3"/>
        <v>0</v>
      </c>
      <c r="J26" s="1307">
        <f>OP1_CI!P32</f>
        <v>0</v>
      </c>
      <c r="K26" s="1173">
        <f>OP1_CI!Y32</f>
        <v>10</v>
      </c>
      <c r="L26" s="1174">
        <f t="shared" si="4"/>
        <v>0</v>
      </c>
      <c r="M26" s="1308">
        <f>OP1_CI!Z32</f>
        <v>0</v>
      </c>
      <c r="N26" s="1309">
        <f t="shared" si="5"/>
        <v>0</v>
      </c>
      <c r="O26" s="1178"/>
    </row>
    <row r="27" spans="2:16" s="1123" customFormat="1" ht="21.9" customHeight="1" x14ac:dyDescent="0.25">
      <c r="B27" s="1170"/>
      <c r="C27" s="1206" t="s">
        <v>141</v>
      </c>
      <c r="D27" s="1172" t="s">
        <v>1134</v>
      </c>
      <c r="E27" s="1173">
        <f>OP1_CI!M33</f>
        <v>21</v>
      </c>
      <c r="F27" s="1174">
        <f>OP1_CI!G33</f>
        <v>0</v>
      </c>
      <c r="G27" s="1307">
        <f>OP1_CI!N33</f>
        <v>0</v>
      </c>
      <c r="H27" s="1173">
        <f>OP1_CI!O33</f>
        <v>15.000000000000002</v>
      </c>
      <c r="I27" s="1174">
        <f t="shared" si="3"/>
        <v>0</v>
      </c>
      <c r="J27" s="1307">
        <f>OP1_CI!P33</f>
        <v>0</v>
      </c>
      <c r="K27" s="1173">
        <f>OP1_CI!Y33</f>
        <v>5</v>
      </c>
      <c r="L27" s="1174">
        <f t="shared" si="4"/>
        <v>0</v>
      </c>
      <c r="M27" s="1308">
        <f>OP1_CI!Z33</f>
        <v>0</v>
      </c>
      <c r="N27" s="1309">
        <f t="shared" si="5"/>
        <v>0</v>
      </c>
      <c r="O27" s="1178"/>
    </row>
    <row r="28" spans="2:16" s="1123" customFormat="1" ht="21.9" customHeight="1" x14ac:dyDescent="0.25">
      <c r="B28" s="1170"/>
      <c r="C28" s="1206" t="s">
        <v>142</v>
      </c>
      <c r="D28" s="1172" t="s">
        <v>1134</v>
      </c>
      <c r="E28" s="1173">
        <f>OP1_CI!M34</f>
        <v>21</v>
      </c>
      <c r="F28" s="1174">
        <f>OP1_CI!G34</f>
        <v>0</v>
      </c>
      <c r="G28" s="1307">
        <f>OP1_CI!N34</f>
        <v>0</v>
      </c>
      <c r="H28" s="1173">
        <f>OP1_CI!O34</f>
        <v>15.000000000000002</v>
      </c>
      <c r="I28" s="1174">
        <f t="shared" si="3"/>
        <v>0</v>
      </c>
      <c r="J28" s="1307">
        <f>OP1_CI!P34</f>
        <v>0</v>
      </c>
      <c r="K28" s="1173">
        <f>OP1_CI!Y34</f>
        <v>5</v>
      </c>
      <c r="L28" s="1174">
        <f t="shared" si="4"/>
        <v>0</v>
      </c>
      <c r="M28" s="1308">
        <f>OP1_CI!Z34</f>
        <v>0</v>
      </c>
      <c r="N28" s="1309">
        <f t="shared" si="5"/>
        <v>0</v>
      </c>
      <c r="O28" s="1178"/>
    </row>
    <row r="29" spans="2:16" s="1123" customFormat="1" ht="21.9" customHeight="1" x14ac:dyDescent="0.25">
      <c r="B29" s="1170">
        <v>1.2</v>
      </c>
      <c r="C29" s="1206" t="s">
        <v>143</v>
      </c>
      <c r="D29" s="1172" t="s">
        <v>97</v>
      </c>
      <c r="E29" s="1173">
        <f>OP1_CI!M35</f>
        <v>204</v>
      </c>
      <c r="F29" s="1174">
        <f>OP1_CI!G35</f>
        <v>1</v>
      </c>
      <c r="G29" s="1307">
        <f>OP1_CI!N35</f>
        <v>204</v>
      </c>
      <c r="H29" s="1173">
        <f>OP1_CI!O35</f>
        <v>145.71428571428572</v>
      </c>
      <c r="I29" s="1174">
        <f t="shared" si="3"/>
        <v>1</v>
      </c>
      <c r="J29" s="1307">
        <f>OP1_CI!P35</f>
        <v>146</v>
      </c>
      <c r="K29" s="1326">
        <f>OP1_CI!Y35</f>
        <v>48.571428571428577</v>
      </c>
      <c r="L29" s="1174">
        <f t="shared" si="4"/>
        <v>1</v>
      </c>
      <c r="M29" s="1308">
        <f>OP1_CI!Z35</f>
        <v>49</v>
      </c>
      <c r="N29" s="1309">
        <f t="shared" si="5"/>
        <v>399</v>
      </c>
      <c r="O29" s="1178"/>
    </row>
    <row r="30" spans="2:16" s="1123" customFormat="1" ht="21.9" customHeight="1" x14ac:dyDescent="0.25">
      <c r="B30" s="1170"/>
      <c r="C30" s="1206"/>
      <c r="D30" s="1172"/>
      <c r="E30" s="1176"/>
      <c r="F30" s="1174"/>
      <c r="G30" s="1307"/>
      <c r="H30" s="1176"/>
      <c r="I30" s="1174"/>
      <c r="J30" s="1307"/>
      <c r="K30" s="1176"/>
      <c r="L30" s="1174"/>
      <c r="M30" s="1308"/>
      <c r="N30" s="1318"/>
      <c r="O30" s="1178"/>
    </row>
    <row r="31" spans="2:16" s="1123" customFormat="1" ht="21.9" customHeight="1" x14ac:dyDescent="0.25">
      <c r="B31" s="1157">
        <v>2</v>
      </c>
      <c r="C31" s="1166" t="s">
        <v>1135</v>
      </c>
      <c r="D31" s="1172"/>
      <c r="E31" s="1176"/>
      <c r="F31" s="1174"/>
      <c r="G31" s="1307"/>
      <c r="H31" s="1176"/>
      <c r="I31" s="1174"/>
      <c r="J31" s="1307"/>
      <c r="K31" s="1176"/>
      <c r="L31" s="1174"/>
      <c r="M31" s="1308"/>
      <c r="N31" s="1318"/>
      <c r="O31" s="1178"/>
    </row>
    <row r="32" spans="2:16" s="1128" customFormat="1" ht="21.9" customHeight="1" x14ac:dyDescent="0.25">
      <c r="B32" s="1170">
        <v>2.1</v>
      </c>
      <c r="C32" s="1199" t="s">
        <v>146</v>
      </c>
      <c r="D32" s="1172" t="s">
        <v>1136</v>
      </c>
      <c r="E32" s="1176">
        <f>OP1_CI!M36</f>
        <v>0.3</v>
      </c>
      <c r="F32" s="1188">
        <f>OP1_CI!G36</f>
        <v>1539</v>
      </c>
      <c r="G32" s="1307">
        <f>OP1_CI!N36</f>
        <v>462</v>
      </c>
      <c r="H32" s="1176">
        <f>OP1_CI!O36</f>
        <v>0.2742857142857143</v>
      </c>
      <c r="I32" s="1174">
        <f t="shared" ref="I32:I40" si="6">F32</f>
        <v>1539</v>
      </c>
      <c r="J32" s="1307">
        <f>OP1_CI!P36</f>
        <v>422</v>
      </c>
      <c r="K32" s="1176">
        <f>OP1_CI!Y36</f>
        <v>0.21142857142857141</v>
      </c>
      <c r="L32" s="1174">
        <f t="shared" ref="L32:L40" si="7">F32</f>
        <v>1539</v>
      </c>
      <c r="M32" s="1308">
        <f>OP1_CI!Z36</f>
        <v>325</v>
      </c>
      <c r="N32" s="1309">
        <f t="shared" ref="N32:N40" si="8">G32+J32+M32</f>
        <v>1209</v>
      </c>
      <c r="O32" s="1208"/>
      <c r="P32" s="1123"/>
    </row>
    <row r="33" spans="2:16" s="1128" customFormat="1" ht="21.9" customHeight="1" x14ac:dyDescent="0.25">
      <c r="B33" s="1170">
        <v>2.2000000000000002</v>
      </c>
      <c r="C33" s="1199" t="s">
        <v>1137</v>
      </c>
      <c r="D33" s="1172" t="s">
        <v>1138</v>
      </c>
      <c r="E33" s="1176">
        <f>OP1_CI!M37</f>
        <v>0.18</v>
      </c>
      <c r="F33" s="1188">
        <f>OP1_CI!G37</f>
        <v>6300</v>
      </c>
      <c r="G33" s="1307">
        <f>OP1_CI!N37</f>
        <v>1134</v>
      </c>
      <c r="H33" s="1176">
        <f>OP1_CI!O37</f>
        <v>0.21857142857142858</v>
      </c>
      <c r="I33" s="1174">
        <f t="shared" si="6"/>
        <v>6300</v>
      </c>
      <c r="J33" s="1307">
        <f>OP1_CI!P37</f>
        <v>1377</v>
      </c>
      <c r="K33" s="1176">
        <f>OP1_CI!Y37</f>
        <v>0.25285714285714284</v>
      </c>
      <c r="L33" s="1174">
        <f t="shared" si="7"/>
        <v>6300</v>
      </c>
      <c r="M33" s="1308">
        <f>OP1_CI!Z37</f>
        <v>1593</v>
      </c>
      <c r="N33" s="1309">
        <f t="shared" si="8"/>
        <v>4104</v>
      </c>
      <c r="O33" s="1208"/>
      <c r="P33" s="1123"/>
    </row>
    <row r="34" spans="2:16" s="1128" customFormat="1" ht="21.9" customHeight="1" x14ac:dyDescent="0.25">
      <c r="B34" s="1170">
        <v>2.2999999999999998</v>
      </c>
      <c r="C34" s="1199" t="s">
        <v>1139</v>
      </c>
      <c r="D34" s="1172" t="s">
        <v>1140</v>
      </c>
      <c r="E34" s="1176">
        <f>OP1_CI!M38</f>
        <v>0.18</v>
      </c>
      <c r="F34" s="1188">
        <f>OP1_CI!G38</f>
        <v>0</v>
      </c>
      <c r="G34" s="1307">
        <f>OP1_CI!N38</f>
        <v>0</v>
      </c>
      <c r="H34" s="1176">
        <f>OP1_CI!O38</f>
        <v>1.3285714285714285</v>
      </c>
      <c r="I34" s="1174">
        <f t="shared" si="6"/>
        <v>0</v>
      </c>
      <c r="J34" s="1307">
        <f>OP1_CI!P38</f>
        <v>0</v>
      </c>
      <c r="K34" s="1176">
        <f>OP1_CI!Y38</f>
        <v>2.8428571428571425</v>
      </c>
      <c r="L34" s="1174">
        <f t="shared" si="7"/>
        <v>0</v>
      </c>
      <c r="M34" s="1308">
        <f>OP1_CI!Z38</f>
        <v>0</v>
      </c>
      <c r="N34" s="1309">
        <f t="shared" si="8"/>
        <v>0</v>
      </c>
      <c r="O34" s="1208"/>
      <c r="P34" s="1123"/>
    </row>
    <row r="35" spans="2:16" s="1128" customFormat="1" ht="21.9" customHeight="1" x14ac:dyDescent="0.25">
      <c r="B35" s="1170">
        <v>2.4</v>
      </c>
      <c r="C35" s="1199" t="s">
        <v>1018</v>
      </c>
      <c r="D35" s="1172" t="s">
        <v>97</v>
      </c>
      <c r="E35" s="1173">
        <f>OP1_CI!M39</f>
        <v>30</v>
      </c>
      <c r="F35" s="1188">
        <f>OP1_CI!G39</f>
        <v>1</v>
      </c>
      <c r="G35" s="1307">
        <f>OP1_CI!N39</f>
        <v>30</v>
      </c>
      <c r="H35" s="1173">
        <f>OP1_CI!O39</f>
        <v>21.428571428571431</v>
      </c>
      <c r="I35" s="1174">
        <f t="shared" si="6"/>
        <v>1</v>
      </c>
      <c r="J35" s="1307">
        <f>OP1_CI!P39</f>
        <v>21</v>
      </c>
      <c r="K35" s="1173">
        <f>OP1_CI!Y39</f>
        <v>7.1428571428571432</v>
      </c>
      <c r="L35" s="1174">
        <f t="shared" si="7"/>
        <v>1</v>
      </c>
      <c r="M35" s="1308">
        <f>OP1_CI!Z39</f>
        <v>7</v>
      </c>
      <c r="N35" s="1309">
        <f t="shared" si="8"/>
        <v>58</v>
      </c>
      <c r="O35" s="1208"/>
      <c r="P35" s="1123"/>
    </row>
    <row r="36" spans="2:16" s="1128" customFormat="1" ht="21.9" customHeight="1" x14ac:dyDescent="0.25">
      <c r="B36" s="1170">
        <v>2.5</v>
      </c>
      <c r="C36" s="1199" t="s">
        <v>167</v>
      </c>
      <c r="D36" s="1172" t="s">
        <v>97</v>
      </c>
      <c r="E36" s="1173">
        <f>OP1_CI!M40</f>
        <v>30</v>
      </c>
      <c r="F36" s="1188">
        <f>OP1_CI!G40</f>
        <v>1</v>
      </c>
      <c r="G36" s="1307">
        <f>OP1_CI!N40</f>
        <v>30</v>
      </c>
      <c r="H36" s="1173">
        <f>OP1_CI!O40</f>
        <v>21.428571428571431</v>
      </c>
      <c r="I36" s="1174">
        <f t="shared" si="6"/>
        <v>1</v>
      </c>
      <c r="J36" s="1307">
        <f>OP1_CI!P40</f>
        <v>21</v>
      </c>
      <c r="K36" s="1173">
        <f>OP1_CI!Y40</f>
        <v>7.1428571428571432</v>
      </c>
      <c r="L36" s="1174">
        <f t="shared" si="7"/>
        <v>1</v>
      </c>
      <c r="M36" s="1308">
        <f>OP1_CI!Z40</f>
        <v>7</v>
      </c>
      <c r="N36" s="1309">
        <f t="shared" si="8"/>
        <v>58</v>
      </c>
      <c r="O36" s="1208"/>
      <c r="P36" s="1123"/>
    </row>
    <row r="37" spans="2:16" s="1128" customFormat="1" ht="21.9" customHeight="1" x14ac:dyDescent="0.25">
      <c r="B37" s="1170">
        <v>2.6</v>
      </c>
      <c r="C37" s="1199" t="s">
        <v>1021</v>
      </c>
      <c r="D37" s="1172" t="s">
        <v>97</v>
      </c>
      <c r="E37" s="1173">
        <f>OP1_CI!M41</f>
        <v>60</v>
      </c>
      <c r="F37" s="1188">
        <f>OP1_CI!G41</f>
        <v>1</v>
      </c>
      <c r="G37" s="1307">
        <f>OP1_CI!N41</f>
        <v>60</v>
      </c>
      <c r="H37" s="1173">
        <f>OP1_CI!O41</f>
        <v>72.857142857142861</v>
      </c>
      <c r="I37" s="1174">
        <f t="shared" si="6"/>
        <v>1</v>
      </c>
      <c r="J37" s="1307">
        <f>OP1_CI!P41</f>
        <v>73</v>
      </c>
      <c r="K37" s="1173">
        <f>OP1_CI!Y41</f>
        <v>84.285714285714292</v>
      </c>
      <c r="L37" s="1174">
        <f t="shared" si="7"/>
        <v>1</v>
      </c>
      <c r="M37" s="1308">
        <f>OP1_CI!Z41</f>
        <v>84</v>
      </c>
      <c r="N37" s="1309">
        <f t="shared" si="8"/>
        <v>217</v>
      </c>
      <c r="O37" s="1208"/>
      <c r="P37" s="1123"/>
    </row>
    <row r="38" spans="2:16" s="1128" customFormat="1" ht="21.9" customHeight="1" x14ac:dyDescent="0.25">
      <c r="B38" s="1170">
        <v>2.7</v>
      </c>
      <c r="C38" s="1199" t="s">
        <v>506</v>
      </c>
      <c r="D38" s="1172" t="s">
        <v>97</v>
      </c>
      <c r="E38" s="1173">
        <f>OP1_CI!M42</f>
        <v>0.06</v>
      </c>
      <c r="F38" s="1188">
        <f>OP1_CI!G42</f>
        <v>555</v>
      </c>
      <c r="G38" s="1307">
        <f>OP1_CI!N42</f>
        <v>33</v>
      </c>
      <c r="H38" s="1173">
        <f>OP1_CI!O42</f>
        <v>4.2857142857142858E-2</v>
      </c>
      <c r="I38" s="1174">
        <f t="shared" si="6"/>
        <v>555</v>
      </c>
      <c r="J38" s="1307">
        <f>OP1_CI!P42</f>
        <v>24</v>
      </c>
      <c r="K38" s="1173">
        <f>OP1_CI!Y42</f>
        <v>1.4285714285714289E-2</v>
      </c>
      <c r="L38" s="1174">
        <f t="shared" si="7"/>
        <v>555</v>
      </c>
      <c r="M38" s="1308">
        <f>OP1_CI!Z42</f>
        <v>8</v>
      </c>
      <c r="N38" s="1309">
        <f t="shared" si="8"/>
        <v>65</v>
      </c>
      <c r="O38" s="1208"/>
      <c r="P38" s="1123"/>
    </row>
    <row r="39" spans="2:16" s="1128" customFormat="1" ht="21.9" customHeight="1" x14ac:dyDescent="0.25">
      <c r="B39" s="1170">
        <v>2.8</v>
      </c>
      <c r="C39" s="1199" t="s">
        <v>514</v>
      </c>
      <c r="D39" s="1172" t="s">
        <v>97</v>
      </c>
      <c r="E39" s="1173">
        <f>OP1_CI!M43</f>
        <v>30</v>
      </c>
      <c r="F39" s="1188">
        <f>OP1_CI!G43</f>
        <v>1</v>
      </c>
      <c r="G39" s="1307">
        <f>OP1_CI!N43</f>
        <v>30</v>
      </c>
      <c r="H39" s="1173">
        <f>OP1_CI!O43</f>
        <v>36.428571428571431</v>
      </c>
      <c r="I39" s="1174">
        <f t="shared" si="6"/>
        <v>1</v>
      </c>
      <c r="J39" s="1307">
        <f>OP1_CI!P43</f>
        <v>36</v>
      </c>
      <c r="K39" s="1173">
        <f>OP1_CI!Y43</f>
        <v>42.142857142857146</v>
      </c>
      <c r="L39" s="1174">
        <f t="shared" si="7"/>
        <v>1</v>
      </c>
      <c r="M39" s="1308">
        <f>OP1_CI!Z43</f>
        <v>42</v>
      </c>
      <c r="N39" s="1309">
        <f t="shared" si="8"/>
        <v>108</v>
      </c>
      <c r="O39" s="1208"/>
      <c r="P39" s="1123"/>
    </row>
    <row r="40" spans="2:16" s="1128" customFormat="1" ht="21.9" customHeight="1" x14ac:dyDescent="0.25">
      <c r="B40" s="1170">
        <v>2.9</v>
      </c>
      <c r="C40" s="1199" t="s">
        <v>1141</v>
      </c>
      <c r="D40" s="1172" t="s">
        <v>97</v>
      </c>
      <c r="E40" s="1173">
        <f>OP1_CI!M44</f>
        <v>30</v>
      </c>
      <c r="F40" s="1188">
        <f>OP1_CI!G44</f>
        <v>1</v>
      </c>
      <c r="G40" s="1307">
        <f>OP1_CI!N44</f>
        <v>30</v>
      </c>
      <c r="H40" s="1173">
        <f>OP1_CI!O44</f>
        <v>36.428571428571431</v>
      </c>
      <c r="I40" s="1174">
        <f t="shared" si="6"/>
        <v>1</v>
      </c>
      <c r="J40" s="1307">
        <f>OP1_CI!P44</f>
        <v>36</v>
      </c>
      <c r="K40" s="1173">
        <f>OP1_CI!Y44</f>
        <v>42.142857142857146</v>
      </c>
      <c r="L40" s="1174">
        <f t="shared" si="7"/>
        <v>1</v>
      </c>
      <c r="M40" s="1308">
        <f>OP1_CI!Z44</f>
        <v>42</v>
      </c>
      <c r="N40" s="1309">
        <f t="shared" si="8"/>
        <v>108</v>
      </c>
      <c r="O40" s="1208"/>
      <c r="P40" s="1123"/>
    </row>
    <row r="41" spans="2:16" s="1123" customFormat="1" ht="21.9" customHeight="1" x14ac:dyDescent="0.25">
      <c r="B41" s="1170"/>
      <c r="C41" s="1206"/>
      <c r="D41" s="1172"/>
      <c r="E41" s="1176"/>
      <c r="F41" s="1174"/>
      <c r="G41" s="1307"/>
      <c r="H41" s="1176"/>
      <c r="I41" s="1174"/>
      <c r="J41" s="1307"/>
      <c r="K41" s="1176"/>
      <c r="L41" s="1174"/>
      <c r="M41" s="1308"/>
      <c r="N41" s="1318"/>
      <c r="O41" s="1178"/>
    </row>
    <row r="42" spans="2:16" s="1123" customFormat="1" ht="21.9" customHeight="1" x14ac:dyDescent="0.25">
      <c r="B42" s="1157">
        <v>3</v>
      </c>
      <c r="C42" s="1166" t="s">
        <v>1142</v>
      </c>
      <c r="D42" s="1172"/>
      <c r="E42" s="1176"/>
      <c r="F42" s="1174"/>
      <c r="G42" s="1307"/>
      <c r="H42" s="1176"/>
      <c r="I42" s="1174"/>
      <c r="J42" s="1307"/>
      <c r="K42" s="1176"/>
      <c r="L42" s="1174"/>
      <c r="M42" s="1308"/>
      <c r="N42" s="1318"/>
      <c r="O42" s="1178"/>
    </row>
    <row r="43" spans="2:16" s="1128" customFormat="1" ht="21.9" customHeight="1" x14ac:dyDescent="0.25">
      <c r="B43" s="1170">
        <v>3.1</v>
      </c>
      <c r="C43" s="1199" t="s">
        <v>1143</v>
      </c>
      <c r="D43" s="1172" t="s">
        <v>1136</v>
      </c>
      <c r="E43" s="1176">
        <f>OP1_CI!M45</f>
        <v>0.3</v>
      </c>
      <c r="F43" s="1188">
        <f>OP1_CI!G45</f>
        <v>0</v>
      </c>
      <c r="G43" s="1307">
        <f>OP1_CI!N45</f>
        <v>0</v>
      </c>
      <c r="H43" s="1176">
        <f>OP1_CI!O45</f>
        <v>0.2142857142857143</v>
      </c>
      <c r="I43" s="1174">
        <f t="shared" ref="I43:I46" si="9">F43</f>
        <v>0</v>
      </c>
      <c r="J43" s="1307">
        <f>OP1_CI!P45</f>
        <v>0</v>
      </c>
      <c r="K43" s="1176">
        <f>OP1_CI!Y45</f>
        <v>7.1428571428571438E-2</v>
      </c>
      <c r="L43" s="1174">
        <f t="shared" ref="L43:L46" si="10">F43</f>
        <v>0</v>
      </c>
      <c r="M43" s="1308">
        <f>OP1_CI!Z45</f>
        <v>0</v>
      </c>
      <c r="N43" s="1309">
        <f t="shared" ref="N43:N46" si="11">G43+J43+M43</f>
        <v>0</v>
      </c>
      <c r="O43" s="1178"/>
      <c r="P43" s="1123"/>
    </row>
    <row r="44" spans="2:16" s="1128" customFormat="1" ht="21.9" customHeight="1" x14ac:dyDescent="0.25">
      <c r="B44" s="1170">
        <v>3.2</v>
      </c>
      <c r="C44" s="1199" t="s">
        <v>1220</v>
      </c>
      <c r="D44" s="1172" t="s">
        <v>1136</v>
      </c>
      <c r="E44" s="1176">
        <f>OP1_CI!M46</f>
        <v>0.3</v>
      </c>
      <c r="F44" s="1188">
        <f>OP1_CI!G46</f>
        <v>0</v>
      </c>
      <c r="G44" s="1307">
        <f>OP1_CI!N46</f>
        <v>0</v>
      </c>
      <c r="H44" s="1176">
        <f>OP1_CI!O46</f>
        <v>0.2142857142857143</v>
      </c>
      <c r="I44" s="1174">
        <f t="shared" si="9"/>
        <v>0</v>
      </c>
      <c r="J44" s="1307">
        <f>OP1_CI!P46</f>
        <v>0</v>
      </c>
      <c r="K44" s="1176">
        <f>OP1_CI!Y46</f>
        <v>7.1428571428571438E-2</v>
      </c>
      <c r="L44" s="1174">
        <f t="shared" si="10"/>
        <v>0</v>
      </c>
      <c r="M44" s="1308">
        <f>OP1_CI!Z46</f>
        <v>0</v>
      </c>
      <c r="N44" s="1309">
        <f t="shared" si="11"/>
        <v>0</v>
      </c>
      <c r="O44" s="1178"/>
      <c r="P44" s="1123"/>
    </row>
    <row r="45" spans="2:16" s="1128" customFormat="1" ht="21.9" customHeight="1" x14ac:dyDescent="0.25">
      <c r="B45" s="1170">
        <v>3.3</v>
      </c>
      <c r="C45" s="1199" t="s">
        <v>541</v>
      </c>
      <c r="D45" s="1172" t="s">
        <v>1136</v>
      </c>
      <c r="E45" s="1176">
        <f>OP1_CI!M47</f>
        <v>0.3</v>
      </c>
      <c r="F45" s="1188">
        <f>OP1_CI!G47</f>
        <v>0</v>
      </c>
      <c r="G45" s="1307">
        <f>OP1_CI!N47</f>
        <v>0</v>
      </c>
      <c r="H45" s="1176">
        <f>OP1_CI!O47</f>
        <v>0.2142857142857143</v>
      </c>
      <c r="I45" s="1174">
        <f t="shared" si="9"/>
        <v>0</v>
      </c>
      <c r="J45" s="1307">
        <f>OP1_CI!P47</f>
        <v>0</v>
      </c>
      <c r="K45" s="1176">
        <f>OP1_CI!Y47</f>
        <v>7.1428571428571438E-2</v>
      </c>
      <c r="L45" s="1174">
        <f t="shared" si="10"/>
        <v>0</v>
      </c>
      <c r="M45" s="1308">
        <f>OP1_CI!Z47</f>
        <v>0</v>
      </c>
      <c r="N45" s="1309">
        <f t="shared" si="11"/>
        <v>0</v>
      </c>
      <c r="O45" s="1178"/>
      <c r="P45" s="1123"/>
    </row>
    <row r="46" spans="2:16" s="1128" customFormat="1" ht="21.9" customHeight="1" x14ac:dyDescent="0.25">
      <c r="B46" s="1170">
        <v>3.4</v>
      </c>
      <c r="C46" s="1199" t="s">
        <v>546</v>
      </c>
      <c r="D46" s="1172" t="s">
        <v>1136</v>
      </c>
      <c r="E46" s="1176">
        <f>OP1_CI!M48</f>
        <v>0.3</v>
      </c>
      <c r="F46" s="1188">
        <f>OP1_CI!G48</f>
        <v>0</v>
      </c>
      <c r="G46" s="1307">
        <f>OP1_CI!N48</f>
        <v>0</v>
      </c>
      <c r="H46" s="1176">
        <f>OP1_CI!O48</f>
        <v>0.2142857142857143</v>
      </c>
      <c r="I46" s="1174">
        <f t="shared" si="9"/>
        <v>0</v>
      </c>
      <c r="J46" s="1307">
        <f>OP1_CI!P48</f>
        <v>0</v>
      </c>
      <c r="K46" s="1176">
        <f>OP1_CI!Y48</f>
        <v>7.1428571428571438E-2</v>
      </c>
      <c r="L46" s="1174">
        <f t="shared" si="10"/>
        <v>0</v>
      </c>
      <c r="M46" s="1308">
        <f>OP1_CI!Z48</f>
        <v>0</v>
      </c>
      <c r="N46" s="1309">
        <f t="shared" si="11"/>
        <v>0</v>
      </c>
      <c r="O46" s="1178"/>
      <c r="P46" s="1123"/>
    </row>
    <row r="47" spans="2:16" s="1128" customFormat="1" ht="21.9" customHeight="1" x14ac:dyDescent="0.25">
      <c r="B47" s="1170"/>
      <c r="C47" s="1199"/>
      <c r="D47" s="1172"/>
      <c r="E47" s="1176"/>
      <c r="F47" s="1188"/>
      <c r="G47" s="1307"/>
      <c r="H47" s="1176"/>
      <c r="I47" s="1188"/>
      <c r="J47" s="1307"/>
      <c r="K47" s="1176"/>
      <c r="L47" s="1188"/>
      <c r="M47" s="1308"/>
      <c r="N47" s="1318"/>
      <c r="O47" s="1178"/>
      <c r="P47" s="1123"/>
    </row>
    <row r="48" spans="2:16" s="1139" customFormat="1" ht="21.9" customHeight="1" x14ac:dyDescent="0.25">
      <c r="B48" s="1157">
        <v>4</v>
      </c>
      <c r="C48" s="1166" t="s">
        <v>1144</v>
      </c>
      <c r="D48" s="1159"/>
      <c r="E48" s="1203"/>
      <c r="F48" s="1201"/>
      <c r="G48" s="1323"/>
      <c r="H48" s="1203"/>
      <c r="I48" s="1201"/>
      <c r="J48" s="1323"/>
      <c r="K48" s="1203"/>
      <c r="L48" s="1201"/>
      <c r="M48" s="1324"/>
      <c r="N48" s="1325"/>
      <c r="O48" s="1165"/>
      <c r="P48" s="1138"/>
    </row>
    <row r="49" spans="2:16" s="1128" customFormat="1" ht="21.9" customHeight="1" x14ac:dyDescent="0.25">
      <c r="B49" s="1170">
        <v>4.0999999999999996</v>
      </c>
      <c r="C49" s="1209" t="s">
        <v>189</v>
      </c>
      <c r="D49" s="1172" t="s">
        <v>1136</v>
      </c>
      <c r="E49" s="1176">
        <f>OP1_CI!M49</f>
        <v>0.89999999999999991</v>
      </c>
      <c r="F49" s="1188">
        <f>OP1_CI!G49</f>
        <v>200</v>
      </c>
      <c r="G49" s="1307">
        <f>OP1_CI!N49</f>
        <v>180</v>
      </c>
      <c r="H49" s="1176">
        <f>OP1_CI!O49</f>
        <v>0.64285714285714279</v>
      </c>
      <c r="I49" s="1174">
        <f t="shared" ref="I49:I51" si="12">F49</f>
        <v>200</v>
      </c>
      <c r="J49" s="1307">
        <f>OP1_CI!P49</f>
        <v>129</v>
      </c>
      <c r="K49" s="1176">
        <f>OP1_CI!Y49</f>
        <v>0.21428571428571433</v>
      </c>
      <c r="L49" s="1174">
        <f t="shared" ref="L49:L51" si="13">F49</f>
        <v>200</v>
      </c>
      <c r="M49" s="1308">
        <f>OP1_CI!Z49</f>
        <v>43</v>
      </c>
      <c r="N49" s="1309">
        <f t="shared" ref="N49:N51" si="14">G49+J49+M49</f>
        <v>352</v>
      </c>
      <c r="O49" s="1178"/>
      <c r="P49" s="1123"/>
    </row>
    <row r="50" spans="2:16" s="1128" customFormat="1" ht="21.9" customHeight="1" x14ac:dyDescent="0.25">
      <c r="B50" s="1170">
        <v>4.2</v>
      </c>
      <c r="C50" s="1199" t="s">
        <v>192</v>
      </c>
      <c r="D50" s="1172" t="s">
        <v>1136</v>
      </c>
      <c r="E50" s="1176">
        <f>OP1_CI!M50</f>
        <v>0.3</v>
      </c>
      <c r="F50" s="1188">
        <f>OP1_CI!G50</f>
        <v>0</v>
      </c>
      <c r="G50" s="1307">
        <f>OP1_CI!N50</f>
        <v>0</v>
      </c>
      <c r="H50" s="1176">
        <f>OP1_CI!O50</f>
        <v>0.2142857142857143</v>
      </c>
      <c r="I50" s="1174">
        <f t="shared" si="12"/>
        <v>0</v>
      </c>
      <c r="J50" s="1307">
        <f>OP1_CI!P50</f>
        <v>0</v>
      </c>
      <c r="K50" s="1176">
        <f>OP1_CI!Y50</f>
        <v>7.1428571428571438E-2</v>
      </c>
      <c r="L50" s="1174">
        <f t="shared" si="13"/>
        <v>0</v>
      </c>
      <c r="M50" s="1308">
        <f>OP1_CI!Z50</f>
        <v>0</v>
      </c>
      <c r="N50" s="1309">
        <f t="shared" si="14"/>
        <v>0</v>
      </c>
      <c r="O50" s="1178"/>
      <c r="P50" s="1123"/>
    </row>
    <row r="51" spans="2:16" s="1128" customFormat="1" ht="21.9" customHeight="1" x14ac:dyDescent="0.25">
      <c r="B51" s="1170">
        <v>4.3</v>
      </c>
      <c r="C51" s="1199" t="s">
        <v>193</v>
      </c>
      <c r="D51" s="1172" t="s">
        <v>1136</v>
      </c>
      <c r="E51" s="1176">
        <f>OP1_CI!M51</f>
        <v>0.18</v>
      </c>
      <c r="F51" s="1188">
        <f>OP1_CI!G51</f>
        <v>0</v>
      </c>
      <c r="G51" s="1307">
        <f>OP1_CI!N51</f>
        <v>0</v>
      </c>
      <c r="H51" s="1176">
        <f>OP1_CI!O51</f>
        <v>0.12857142857142859</v>
      </c>
      <c r="I51" s="1174">
        <f t="shared" si="12"/>
        <v>0</v>
      </c>
      <c r="J51" s="1307">
        <f>OP1_CI!P51</f>
        <v>0</v>
      </c>
      <c r="K51" s="1176">
        <f>OP1_CI!Y51</f>
        <v>4.2857142857142858E-2</v>
      </c>
      <c r="L51" s="1174">
        <f t="shared" si="13"/>
        <v>0</v>
      </c>
      <c r="M51" s="1308">
        <f>OP1_CI!Z51</f>
        <v>0</v>
      </c>
      <c r="N51" s="1309">
        <f t="shared" si="14"/>
        <v>0</v>
      </c>
      <c r="O51" s="1178"/>
      <c r="P51" s="1123"/>
    </row>
    <row r="52" spans="2:16" s="1128" customFormat="1" ht="21.9" customHeight="1" x14ac:dyDescent="0.25">
      <c r="B52" s="1210"/>
      <c r="C52" s="1199"/>
      <c r="D52" s="1211"/>
      <c r="E52" s="1176"/>
      <c r="F52" s="1188"/>
      <c r="G52" s="1307"/>
      <c r="H52" s="1176"/>
      <c r="I52" s="1188"/>
      <c r="J52" s="1307"/>
      <c r="K52" s="1176"/>
      <c r="L52" s="1188"/>
      <c r="M52" s="1308"/>
      <c r="N52" s="1328"/>
      <c r="O52" s="1178"/>
      <c r="P52" s="1123"/>
    </row>
    <row r="53" spans="2:16" s="1139" customFormat="1" ht="21.9" customHeight="1" x14ac:dyDescent="0.25">
      <c r="B53" s="1157">
        <v>5</v>
      </c>
      <c r="C53" s="1166" t="s">
        <v>1145</v>
      </c>
      <c r="D53" s="1159"/>
      <c r="E53" s="1203"/>
      <c r="F53" s="1201"/>
      <c r="G53" s="1323"/>
      <c r="H53" s="1203"/>
      <c r="I53" s="1201"/>
      <c r="J53" s="1323"/>
      <c r="K53" s="1203"/>
      <c r="L53" s="1201"/>
      <c r="M53" s="1324"/>
      <c r="N53" s="1329"/>
      <c r="O53" s="1165"/>
      <c r="P53" s="1138"/>
    </row>
    <row r="54" spans="2:16" s="1128" customFormat="1" ht="21.9" customHeight="1" x14ac:dyDescent="0.25">
      <c r="B54" s="1170">
        <v>5.0999999999999996</v>
      </c>
      <c r="C54" s="1199" t="s">
        <v>1146</v>
      </c>
      <c r="D54" s="1172" t="s">
        <v>1147</v>
      </c>
      <c r="E54" s="1176">
        <f>OP1_CI!M52</f>
        <v>48</v>
      </c>
      <c r="F54" s="1188">
        <f>OP1_CI!G52</f>
        <v>3</v>
      </c>
      <c r="G54" s="1307">
        <f>OP1_CI!N52</f>
        <v>144</v>
      </c>
      <c r="H54" s="1176">
        <f>OP1_CI!O52</f>
        <v>35.485714285714288</v>
      </c>
      <c r="I54" s="1174">
        <f t="shared" ref="I54:I74" si="15">F54</f>
        <v>3</v>
      </c>
      <c r="J54" s="1307">
        <f>OP1_CI!P52</f>
        <v>107</v>
      </c>
      <c r="K54" s="1176">
        <f>OP1_CI!Y52</f>
        <v>14.228571428571428</v>
      </c>
      <c r="L54" s="1174">
        <f t="shared" ref="L54:L74" si="16">F54</f>
        <v>3</v>
      </c>
      <c r="M54" s="1308">
        <f>OP1_CI!Z52</f>
        <v>43</v>
      </c>
      <c r="N54" s="1309">
        <f t="shared" ref="N54:N74" si="17">G54+J54+M54</f>
        <v>294</v>
      </c>
      <c r="O54" s="1215"/>
      <c r="P54" s="1123"/>
    </row>
    <row r="55" spans="2:16" s="1128" customFormat="1" ht="21.9" customHeight="1" x14ac:dyDescent="0.25">
      <c r="B55" s="1170">
        <v>5.2</v>
      </c>
      <c r="C55" s="1199" t="s">
        <v>1148</v>
      </c>
      <c r="D55" s="1172" t="s">
        <v>1147</v>
      </c>
      <c r="E55" s="1176">
        <f>OP1_CI!M53</f>
        <v>3</v>
      </c>
      <c r="F55" s="1188">
        <f>OP1_CI!G53</f>
        <v>2</v>
      </c>
      <c r="G55" s="1307">
        <f>OP1_CI!N53</f>
        <v>6</v>
      </c>
      <c r="H55" s="1176">
        <f>OP1_CI!O53</f>
        <v>8.1428571428571423</v>
      </c>
      <c r="I55" s="1174">
        <f t="shared" si="15"/>
        <v>2</v>
      </c>
      <c r="J55" s="1307">
        <f>OP1_CI!P53</f>
        <v>16</v>
      </c>
      <c r="K55" s="1176">
        <f>OP1_CI!Y53</f>
        <v>14.714285714285714</v>
      </c>
      <c r="L55" s="1174">
        <f t="shared" si="16"/>
        <v>2</v>
      </c>
      <c r="M55" s="1308">
        <f>OP1_CI!Z53</f>
        <v>29</v>
      </c>
      <c r="N55" s="1309">
        <f t="shared" si="17"/>
        <v>51</v>
      </c>
      <c r="O55" s="1215"/>
      <c r="P55" s="1123"/>
    </row>
    <row r="56" spans="2:16" s="1128" customFormat="1" ht="21.9" customHeight="1" x14ac:dyDescent="0.25">
      <c r="B56" s="1170">
        <v>5.3</v>
      </c>
      <c r="C56" s="1199" t="s">
        <v>202</v>
      </c>
      <c r="D56" s="1172" t="s">
        <v>1149</v>
      </c>
      <c r="E56" s="1176">
        <f>OP1_CI!M54</f>
        <v>1.2</v>
      </c>
      <c r="F56" s="1188">
        <f>OP1_CI!G54</f>
        <v>6</v>
      </c>
      <c r="G56" s="1307">
        <f>OP1_CI!N54</f>
        <v>7</v>
      </c>
      <c r="H56" s="1176">
        <f>OP1_CI!O54</f>
        <v>8.3571428571428577</v>
      </c>
      <c r="I56" s="1174">
        <f t="shared" si="15"/>
        <v>6</v>
      </c>
      <c r="J56" s="1307">
        <f>OP1_CI!P54</f>
        <v>50</v>
      </c>
      <c r="K56" s="1176">
        <f>OP1_CI!Y54</f>
        <v>17.785714285714285</v>
      </c>
      <c r="L56" s="1174">
        <f t="shared" si="16"/>
        <v>6</v>
      </c>
      <c r="M56" s="1308">
        <f>OP1_CI!Z54</f>
        <v>107</v>
      </c>
      <c r="N56" s="1309">
        <f t="shared" si="17"/>
        <v>164</v>
      </c>
      <c r="O56" s="1208"/>
      <c r="P56" s="1123"/>
    </row>
    <row r="57" spans="2:16" s="1128" customFormat="1" ht="21.9" customHeight="1" x14ac:dyDescent="0.25">
      <c r="B57" s="1170">
        <v>5.4</v>
      </c>
      <c r="C57" s="1199" t="s">
        <v>1150</v>
      </c>
      <c r="D57" s="1172" t="s">
        <v>1147</v>
      </c>
      <c r="E57" s="1176">
        <f>OP1_CI!M55</f>
        <v>3</v>
      </c>
      <c r="F57" s="1188">
        <f>OP1_CI!G55</f>
        <v>2</v>
      </c>
      <c r="G57" s="1307">
        <f>OP1_CI!N55</f>
        <v>6</v>
      </c>
      <c r="H57" s="1176">
        <f>OP1_CI!O55</f>
        <v>14.142857142857142</v>
      </c>
      <c r="I57" s="1174">
        <f t="shared" si="15"/>
        <v>2</v>
      </c>
      <c r="J57" s="1307">
        <f>OP1_CI!P55</f>
        <v>28</v>
      </c>
      <c r="K57" s="1176">
        <f>OP1_CI!Y55</f>
        <v>28.714285714285715</v>
      </c>
      <c r="L57" s="1174">
        <f t="shared" si="16"/>
        <v>2</v>
      </c>
      <c r="M57" s="1308">
        <f>OP1_CI!Z55</f>
        <v>57</v>
      </c>
      <c r="N57" s="1309">
        <f t="shared" si="17"/>
        <v>91</v>
      </c>
      <c r="O57" s="1208"/>
      <c r="P57" s="1123"/>
    </row>
    <row r="58" spans="2:16" s="1128" customFormat="1" ht="21.9" customHeight="1" x14ac:dyDescent="0.25">
      <c r="B58" s="1170">
        <v>5.5</v>
      </c>
      <c r="C58" s="1199" t="s">
        <v>210</v>
      </c>
      <c r="D58" s="1172" t="s">
        <v>1149</v>
      </c>
      <c r="E58" s="1176">
        <f>OP1_CI!M56</f>
        <v>1.2</v>
      </c>
      <c r="F58" s="1188">
        <f>OP1_CI!G56</f>
        <v>0</v>
      </c>
      <c r="G58" s="1307">
        <f>OP1_CI!N56</f>
        <v>0</v>
      </c>
      <c r="H58" s="1176">
        <f>OP1_CI!O56</f>
        <v>6.5571428571428569</v>
      </c>
      <c r="I58" s="1174">
        <f t="shared" si="15"/>
        <v>0</v>
      </c>
      <c r="J58" s="1307">
        <f>OP1_CI!P56</f>
        <v>0</v>
      </c>
      <c r="K58" s="1176">
        <f>OP1_CI!Y56</f>
        <v>13.585714285714285</v>
      </c>
      <c r="L58" s="1174">
        <f t="shared" si="16"/>
        <v>0</v>
      </c>
      <c r="M58" s="1308">
        <f>OP1_CI!Z56</f>
        <v>0</v>
      </c>
      <c r="N58" s="1309">
        <f t="shared" si="17"/>
        <v>0</v>
      </c>
      <c r="O58" s="1208"/>
      <c r="P58" s="1123"/>
    </row>
    <row r="59" spans="2:16" s="1128" customFormat="1" ht="21.9" customHeight="1" x14ac:dyDescent="0.25">
      <c r="B59" s="1170">
        <v>5.6</v>
      </c>
      <c r="C59" s="1199" t="s">
        <v>1151</v>
      </c>
      <c r="D59" s="1172" t="s">
        <v>1149</v>
      </c>
      <c r="E59" s="1176">
        <f>OP1_CI!M57</f>
        <v>3</v>
      </c>
      <c r="F59" s="1188">
        <f>OP1_CI!G57</f>
        <v>0</v>
      </c>
      <c r="G59" s="1307">
        <f>OP1_CI!N57</f>
        <v>0</v>
      </c>
      <c r="H59" s="1176">
        <f>OP1_CI!O57</f>
        <v>16.842857142857142</v>
      </c>
      <c r="I59" s="1174">
        <f t="shared" si="15"/>
        <v>0</v>
      </c>
      <c r="J59" s="1307">
        <f>OP1_CI!P57</f>
        <v>0</v>
      </c>
      <c r="K59" s="1176">
        <f>OP1_CI!Y57</f>
        <v>35.014285714285712</v>
      </c>
      <c r="L59" s="1174">
        <f t="shared" si="16"/>
        <v>0</v>
      </c>
      <c r="M59" s="1308">
        <f>OP1_CI!Z57</f>
        <v>0</v>
      </c>
      <c r="N59" s="1309">
        <f t="shared" si="17"/>
        <v>0</v>
      </c>
      <c r="O59" s="1208"/>
      <c r="P59" s="1123"/>
    </row>
    <row r="60" spans="2:16" s="1128" customFormat="1" ht="21.9" customHeight="1" x14ac:dyDescent="0.25">
      <c r="B60" s="1170">
        <v>5.7</v>
      </c>
      <c r="C60" s="1199" t="s">
        <v>1152</v>
      </c>
      <c r="D60" s="1172" t="s">
        <v>1149</v>
      </c>
      <c r="E60" s="1176">
        <f>OP1_CI!M58</f>
        <v>1.5</v>
      </c>
      <c r="F60" s="1188">
        <f>OP1_CI!G58</f>
        <v>17</v>
      </c>
      <c r="G60" s="1307">
        <f>OP1_CI!N58</f>
        <v>26</v>
      </c>
      <c r="H60" s="1176">
        <f>OP1_CI!O58</f>
        <v>13.071428571428571</v>
      </c>
      <c r="I60" s="1174">
        <f t="shared" si="15"/>
        <v>17</v>
      </c>
      <c r="J60" s="1307">
        <f>OP1_CI!P58</f>
        <v>222</v>
      </c>
      <c r="K60" s="1176">
        <f>OP1_CI!Y58</f>
        <v>28.357142857142858</v>
      </c>
      <c r="L60" s="1174">
        <f t="shared" si="16"/>
        <v>17</v>
      </c>
      <c r="M60" s="1308">
        <f>OP1_CI!Z58</f>
        <v>482</v>
      </c>
      <c r="N60" s="1309">
        <f t="shared" si="17"/>
        <v>730</v>
      </c>
      <c r="O60" s="1208"/>
      <c r="P60" s="1123"/>
    </row>
    <row r="61" spans="2:16" s="1128" customFormat="1" ht="21.9" customHeight="1" x14ac:dyDescent="0.25">
      <c r="B61" s="1170">
        <v>5.8</v>
      </c>
      <c r="C61" s="1199" t="s">
        <v>1153</v>
      </c>
      <c r="D61" s="1172" t="s">
        <v>1149</v>
      </c>
      <c r="E61" s="1176">
        <f>OP1_CI!M59</f>
        <v>2.4</v>
      </c>
      <c r="F61" s="1188">
        <f>OP1_CI!G59</f>
        <v>0</v>
      </c>
      <c r="G61" s="1307">
        <f>OP1_CI!N59</f>
        <v>0</v>
      </c>
      <c r="H61" s="1176">
        <f>OP1_CI!O59</f>
        <v>21.814285714285713</v>
      </c>
      <c r="I61" s="1174">
        <f t="shared" si="15"/>
        <v>0</v>
      </c>
      <c r="J61" s="1307">
        <f>OP1_CI!P59</f>
        <v>0</v>
      </c>
      <c r="K61" s="1176">
        <f>OP1_CI!Y59</f>
        <v>47.471428571428568</v>
      </c>
      <c r="L61" s="1174">
        <f t="shared" si="16"/>
        <v>0</v>
      </c>
      <c r="M61" s="1308">
        <f>OP1_CI!Z59</f>
        <v>0</v>
      </c>
      <c r="N61" s="1309">
        <f t="shared" si="17"/>
        <v>0</v>
      </c>
      <c r="O61" s="1208"/>
      <c r="P61" s="1123"/>
    </row>
    <row r="62" spans="2:16" s="1128" customFormat="1" ht="21.9" customHeight="1" x14ac:dyDescent="0.25">
      <c r="B62" s="1170">
        <v>5.9</v>
      </c>
      <c r="C62" s="1199" t="s">
        <v>614</v>
      </c>
      <c r="D62" s="1172" t="s">
        <v>1149</v>
      </c>
      <c r="E62" s="1176">
        <f>OP1_CI!M60</f>
        <v>1.7999999999999998</v>
      </c>
      <c r="F62" s="1188">
        <f>OP1_CI!G60</f>
        <v>0</v>
      </c>
      <c r="G62" s="1307">
        <f>OP1_CI!N60</f>
        <v>0</v>
      </c>
      <c r="H62" s="1176">
        <f>OP1_CI!O60</f>
        <v>16.285714285714285</v>
      </c>
      <c r="I62" s="1174">
        <f t="shared" si="15"/>
        <v>0</v>
      </c>
      <c r="J62" s="1307">
        <f>OP1_CI!P60</f>
        <v>0</v>
      </c>
      <c r="K62" s="1176">
        <f>OP1_CI!Y60</f>
        <v>35.428571428571431</v>
      </c>
      <c r="L62" s="1174">
        <f t="shared" si="16"/>
        <v>0</v>
      </c>
      <c r="M62" s="1308">
        <f>OP1_CI!Z60</f>
        <v>0</v>
      </c>
      <c r="N62" s="1309">
        <f t="shared" si="17"/>
        <v>0</v>
      </c>
      <c r="O62" s="1208"/>
      <c r="P62" s="1123"/>
    </row>
    <row r="63" spans="2:16" s="1128" customFormat="1" ht="21.9" customHeight="1" x14ac:dyDescent="0.25">
      <c r="B63" s="1216">
        <v>5.0999999999999996</v>
      </c>
      <c r="C63" s="1199" t="s">
        <v>1031</v>
      </c>
      <c r="D63" s="1172" t="s">
        <v>1149</v>
      </c>
      <c r="E63" s="1176">
        <f>OP1_CI!M61</f>
        <v>1.7999999999999998</v>
      </c>
      <c r="F63" s="1188">
        <f>OP1_CI!G61</f>
        <v>0</v>
      </c>
      <c r="G63" s="1307">
        <f>OP1_CI!N61</f>
        <v>0</v>
      </c>
      <c r="H63" s="1176">
        <f>OP1_CI!O61</f>
        <v>11.485714285714284</v>
      </c>
      <c r="I63" s="1174">
        <f t="shared" si="15"/>
        <v>0</v>
      </c>
      <c r="J63" s="1307">
        <f>OP1_CI!P61</f>
        <v>0</v>
      </c>
      <c r="K63" s="1176">
        <f>OP1_CI!Y61</f>
        <v>24.228571428571424</v>
      </c>
      <c r="L63" s="1174">
        <f t="shared" si="16"/>
        <v>0</v>
      </c>
      <c r="M63" s="1308">
        <f>OP1_CI!Z61</f>
        <v>0</v>
      </c>
      <c r="N63" s="1309">
        <f t="shared" si="17"/>
        <v>0</v>
      </c>
      <c r="O63" s="1208"/>
      <c r="P63" s="1123"/>
    </row>
    <row r="64" spans="2:16" s="1128" customFormat="1" ht="21.9" customHeight="1" x14ac:dyDescent="0.25">
      <c r="B64" s="1216">
        <v>5.1100000000000003</v>
      </c>
      <c r="C64" s="1199" t="s">
        <v>237</v>
      </c>
      <c r="D64" s="1172" t="s">
        <v>1149</v>
      </c>
      <c r="E64" s="1176">
        <f>OP1_CI!M62</f>
        <v>1.7999999999999998</v>
      </c>
      <c r="F64" s="1188">
        <f>OP1_CI!G62</f>
        <v>12</v>
      </c>
      <c r="G64" s="1307">
        <f>OP1_CI!N62</f>
        <v>22</v>
      </c>
      <c r="H64" s="1176">
        <f>OP1_CI!O62</f>
        <v>11.485714285714284</v>
      </c>
      <c r="I64" s="1174">
        <f t="shared" si="15"/>
        <v>12</v>
      </c>
      <c r="J64" s="1307">
        <f>OP1_CI!P62</f>
        <v>137</v>
      </c>
      <c r="K64" s="1176">
        <f>OP1_CI!Y62</f>
        <v>24.228571428571424</v>
      </c>
      <c r="L64" s="1174">
        <f t="shared" si="16"/>
        <v>12</v>
      </c>
      <c r="M64" s="1308">
        <f>OP1_CI!Z62</f>
        <v>291</v>
      </c>
      <c r="N64" s="1309">
        <f t="shared" si="17"/>
        <v>450</v>
      </c>
      <c r="O64" s="1208"/>
      <c r="P64" s="1123"/>
    </row>
    <row r="65" spans="2:16" s="1128" customFormat="1" ht="21.9" customHeight="1" x14ac:dyDescent="0.25">
      <c r="B65" s="1216">
        <v>5.12</v>
      </c>
      <c r="C65" s="1199" t="s">
        <v>242</v>
      </c>
      <c r="D65" s="1172" t="s">
        <v>1149</v>
      </c>
      <c r="E65" s="1176">
        <f>OP1_CI!M63</f>
        <v>2.4</v>
      </c>
      <c r="F65" s="1188">
        <f>OP1_CI!G63</f>
        <v>8</v>
      </c>
      <c r="G65" s="1307">
        <f>OP1_CI!N63</f>
        <v>19</v>
      </c>
      <c r="H65" s="1176">
        <f>OP1_CI!O63</f>
        <v>13.714285714285715</v>
      </c>
      <c r="I65" s="1174">
        <f t="shared" si="15"/>
        <v>8</v>
      </c>
      <c r="J65" s="1307">
        <f>OP1_CI!P63</f>
        <v>110</v>
      </c>
      <c r="K65" s="1176">
        <f>OP1_CI!Y63</f>
        <v>28.571428571428573</v>
      </c>
      <c r="L65" s="1174">
        <f t="shared" si="16"/>
        <v>8</v>
      </c>
      <c r="M65" s="1308">
        <f>OP1_CI!Z63</f>
        <v>229</v>
      </c>
      <c r="N65" s="1309">
        <f t="shared" si="17"/>
        <v>358</v>
      </c>
      <c r="O65" s="1208"/>
      <c r="P65" s="1123"/>
    </row>
    <row r="66" spans="2:16" s="1128" customFormat="1" ht="21.9" customHeight="1" x14ac:dyDescent="0.25">
      <c r="B66" s="1216">
        <v>5.13</v>
      </c>
      <c r="C66" s="1199" t="s">
        <v>1154</v>
      </c>
      <c r="D66" s="1172" t="s">
        <v>1149</v>
      </c>
      <c r="E66" s="1176">
        <f>OP1_CI!M64</f>
        <v>1.2</v>
      </c>
      <c r="F66" s="1188">
        <f>OP1_CI!G64</f>
        <v>8</v>
      </c>
      <c r="G66" s="1307">
        <f>OP1_CI!N64</f>
        <v>10</v>
      </c>
      <c r="H66" s="1176">
        <f>OP1_CI!O64</f>
        <v>6.5571428571428569</v>
      </c>
      <c r="I66" s="1174">
        <f t="shared" si="15"/>
        <v>8</v>
      </c>
      <c r="J66" s="1307">
        <f>OP1_CI!P64</f>
        <v>53</v>
      </c>
      <c r="K66" s="1176">
        <f>OP1_CI!Y64</f>
        <v>13.585714285714285</v>
      </c>
      <c r="L66" s="1174">
        <f t="shared" si="16"/>
        <v>8</v>
      </c>
      <c r="M66" s="1308">
        <f>OP1_CI!Z64</f>
        <v>109</v>
      </c>
      <c r="N66" s="1309">
        <f t="shared" si="17"/>
        <v>172</v>
      </c>
      <c r="O66" s="1208"/>
      <c r="P66" s="1123"/>
    </row>
    <row r="67" spans="2:16" s="1128" customFormat="1" ht="21.9" customHeight="1" x14ac:dyDescent="0.25">
      <c r="B67" s="1216">
        <v>5.14</v>
      </c>
      <c r="C67" s="1199" t="s">
        <v>1155</v>
      </c>
      <c r="D67" s="1172" t="s">
        <v>1140</v>
      </c>
      <c r="E67" s="1176">
        <f>OP1_CI!M65</f>
        <v>0.3</v>
      </c>
      <c r="F67" s="1188">
        <f>OP1_CI!G65</f>
        <v>51</v>
      </c>
      <c r="G67" s="1307">
        <f>OP1_CI!N65</f>
        <v>15</v>
      </c>
      <c r="H67" s="1176">
        <f>OP1_CI!O65</f>
        <v>1.5642857142857141</v>
      </c>
      <c r="I67" s="1174">
        <f t="shared" si="15"/>
        <v>51</v>
      </c>
      <c r="J67" s="1307">
        <f>OP1_CI!P65</f>
        <v>80</v>
      </c>
      <c r="K67" s="1176">
        <f>OP1_CI!Y65</f>
        <v>3.2214285714285715</v>
      </c>
      <c r="L67" s="1174">
        <f t="shared" si="16"/>
        <v>51</v>
      </c>
      <c r="M67" s="1308">
        <f>OP1_CI!Z65</f>
        <v>164</v>
      </c>
      <c r="N67" s="1309">
        <f t="shared" si="17"/>
        <v>259</v>
      </c>
      <c r="O67" s="1208"/>
      <c r="P67" s="1123"/>
    </row>
    <row r="68" spans="2:16" s="1128" customFormat="1" ht="21.9" customHeight="1" x14ac:dyDescent="0.25">
      <c r="B68" s="1216">
        <v>5.15</v>
      </c>
      <c r="C68" s="1199" t="s">
        <v>253</v>
      </c>
      <c r="D68" s="1172" t="s">
        <v>1140</v>
      </c>
      <c r="E68" s="1176">
        <f>OP1_CI!M66</f>
        <v>0.3</v>
      </c>
      <c r="F68" s="1188">
        <f>OP1_CI!G66</f>
        <v>20</v>
      </c>
      <c r="G68" s="1307">
        <f>OP1_CI!N66</f>
        <v>6</v>
      </c>
      <c r="H68" s="1176">
        <f>OP1_CI!O66</f>
        <v>1.5642857142857141</v>
      </c>
      <c r="I68" s="1174">
        <f t="shared" si="15"/>
        <v>20</v>
      </c>
      <c r="J68" s="1307">
        <f>OP1_CI!P66</f>
        <v>31</v>
      </c>
      <c r="K68" s="1176">
        <f>OP1_CI!Y66</f>
        <v>3.2214285714285715</v>
      </c>
      <c r="L68" s="1174">
        <f t="shared" si="16"/>
        <v>20</v>
      </c>
      <c r="M68" s="1308">
        <f>OP1_CI!Z66</f>
        <v>64</v>
      </c>
      <c r="N68" s="1309">
        <f t="shared" si="17"/>
        <v>101</v>
      </c>
      <c r="O68" s="1208"/>
      <c r="P68" s="1123"/>
    </row>
    <row r="69" spans="2:16" s="1128" customFormat="1" ht="21.9" customHeight="1" x14ac:dyDescent="0.25">
      <c r="B69" s="1216">
        <v>5.16</v>
      </c>
      <c r="C69" s="1199" t="s">
        <v>1156</v>
      </c>
      <c r="D69" s="1172" t="s">
        <v>1140</v>
      </c>
      <c r="E69" s="1176">
        <f>OP1_CI!M67</f>
        <v>0.3</v>
      </c>
      <c r="F69" s="1217">
        <f>OP1_CI!G67</f>
        <v>20</v>
      </c>
      <c r="G69" s="1307">
        <f>OP1_CI!N67</f>
        <v>6</v>
      </c>
      <c r="H69" s="1176">
        <f>OP1_CI!O67</f>
        <v>1.5642857142857141</v>
      </c>
      <c r="I69" s="1174">
        <f t="shared" si="15"/>
        <v>20</v>
      </c>
      <c r="J69" s="1307">
        <f>OP1_CI!P67</f>
        <v>31</v>
      </c>
      <c r="K69" s="1176">
        <f>OP1_CI!Y67</f>
        <v>3.2214285714285715</v>
      </c>
      <c r="L69" s="1174">
        <f t="shared" si="16"/>
        <v>20</v>
      </c>
      <c r="M69" s="1308">
        <f>OP1_CI!Z67</f>
        <v>64</v>
      </c>
      <c r="N69" s="1309">
        <f t="shared" si="17"/>
        <v>101</v>
      </c>
      <c r="O69" s="1208"/>
      <c r="P69" s="1123"/>
    </row>
    <row r="70" spans="2:16" s="1128" customFormat="1" ht="21.9" customHeight="1" x14ac:dyDescent="0.25">
      <c r="B70" s="1216">
        <v>5.17</v>
      </c>
      <c r="C70" s="1199" t="s">
        <v>1157</v>
      </c>
      <c r="D70" s="1172" t="s">
        <v>1140</v>
      </c>
      <c r="E70" s="1176">
        <f>OP1_CI!M68</f>
        <v>0.3</v>
      </c>
      <c r="F70" s="1188">
        <f>OP1_CI!G68</f>
        <v>110</v>
      </c>
      <c r="G70" s="1307">
        <f>OP1_CI!N68</f>
        <v>33</v>
      </c>
      <c r="H70" s="1176">
        <f>OP1_CI!O68</f>
        <v>0.81428571428571428</v>
      </c>
      <c r="I70" s="1174">
        <f t="shared" si="15"/>
        <v>110</v>
      </c>
      <c r="J70" s="1307">
        <f>OP1_CI!P68</f>
        <v>90</v>
      </c>
      <c r="K70" s="1176">
        <f>OP1_CI!Y68</f>
        <v>1.4714285714285713</v>
      </c>
      <c r="L70" s="1174">
        <f t="shared" si="16"/>
        <v>110</v>
      </c>
      <c r="M70" s="1308">
        <f>OP1_CI!Z68</f>
        <v>162</v>
      </c>
      <c r="N70" s="1309">
        <f t="shared" si="17"/>
        <v>285</v>
      </c>
      <c r="O70" s="1208"/>
      <c r="P70" s="1123"/>
    </row>
    <row r="71" spans="2:16" s="1128" customFormat="1" ht="21.9" customHeight="1" x14ac:dyDescent="0.25">
      <c r="B71" s="1216">
        <v>5.18</v>
      </c>
      <c r="C71" s="1199" t="s">
        <v>1158</v>
      </c>
      <c r="D71" s="1172" t="s">
        <v>1147</v>
      </c>
      <c r="E71" s="1176">
        <f>OP1_CI!M69</f>
        <v>1.2</v>
      </c>
      <c r="F71" s="1188">
        <f>OP1_CI!G69</f>
        <v>95</v>
      </c>
      <c r="G71" s="1307">
        <f>OP1_CI!N69</f>
        <v>114</v>
      </c>
      <c r="H71" s="1176">
        <f>OP1_CI!O69</f>
        <v>1.0071428571428571</v>
      </c>
      <c r="I71" s="1174">
        <f t="shared" si="15"/>
        <v>95</v>
      </c>
      <c r="J71" s="1307">
        <f>OP1_CI!P69</f>
        <v>95</v>
      </c>
      <c r="K71" s="1176">
        <f>OP1_CI!Y69</f>
        <v>0.63571428571428568</v>
      </c>
      <c r="L71" s="1174">
        <f t="shared" si="16"/>
        <v>95</v>
      </c>
      <c r="M71" s="1308">
        <f>OP1_CI!Z69</f>
        <v>60</v>
      </c>
      <c r="N71" s="1309">
        <f t="shared" si="17"/>
        <v>269</v>
      </c>
      <c r="O71" s="1208"/>
      <c r="P71" s="1123"/>
    </row>
    <row r="72" spans="2:16" s="1128" customFormat="1" ht="21.9" customHeight="1" x14ac:dyDescent="0.25">
      <c r="B72" s="1216">
        <v>5.19</v>
      </c>
      <c r="C72" s="1199" t="s">
        <v>1034</v>
      </c>
      <c r="D72" s="1172" t="s">
        <v>1140</v>
      </c>
      <c r="E72" s="1176">
        <f>OP1_CI!M70</f>
        <v>0.3</v>
      </c>
      <c r="F72" s="1188">
        <f>OP1_CI!G70</f>
        <v>0</v>
      </c>
      <c r="G72" s="1307">
        <f>OP1_CI!N70</f>
        <v>0</v>
      </c>
      <c r="H72" s="1176">
        <f>OP1_CI!O70</f>
        <v>0.81428571428571428</v>
      </c>
      <c r="I72" s="1174">
        <f t="shared" si="15"/>
        <v>0</v>
      </c>
      <c r="J72" s="1307">
        <f>OP1_CI!P70</f>
        <v>0</v>
      </c>
      <c r="K72" s="1176">
        <f>OP1_CI!Y70</f>
        <v>1.4714285714285713</v>
      </c>
      <c r="L72" s="1174">
        <f t="shared" si="16"/>
        <v>0</v>
      </c>
      <c r="M72" s="1308">
        <f>OP1_CI!Z70</f>
        <v>0</v>
      </c>
      <c r="N72" s="1309">
        <f t="shared" si="17"/>
        <v>0</v>
      </c>
      <c r="O72" s="1208"/>
      <c r="P72" s="1123"/>
    </row>
    <row r="73" spans="2:16" s="1128" customFormat="1" ht="21.9" customHeight="1" x14ac:dyDescent="0.25">
      <c r="B73" s="1216">
        <v>5.2</v>
      </c>
      <c r="C73" s="1199" t="s">
        <v>273</v>
      </c>
      <c r="D73" s="1172" t="s">
        <v>1138</v>
      </c>
      <c r="E73" s="1176">
        <f>OP1_CI!M71</f>
        <v>0.18</v>
      </c>
      <c r="F73" s="1188">
        <f>OP1_CI!G71</f>
        <v>0</v>
      </c>
      <c r="G73" s="1307">
        <f>OP1_CI!N71</f>
        <v>0</v>
      </c>
      <c r="H73" s="1176">
        <f>OP1_CI!O71</f>
        <v>0.27857142857142858</v>
      </c>
      <c r="I73" s="1174">
        <f t="shared" si="15"/>
        <v>0</v>
      </c>
      <c r="J73" s="1307">
        <f>OP1_CI!P71</f>
        <v>0</v>
      </c>
      <c r="K73" s="1176">
        <f>OP1_CI!Y71</f>
        <v>0.39285714285714285</v>
      </c>
      <c r="L73" s="1174">
        <f t="shared" si="16"/>
        <v>0</v>
      </c>
      <c r="M73" s="1308">
        <f>OP1_CI!Z71</f>
        <v>0</v>
      </c>
      <c r="N73" s="1309">
        <f t="shared" si="17"/>
        <v>0</v>
      </c>
      <c r="O73" s="1208"/>
      <c r="P73" s="1123"/>
    </row>
    <row r="74" spans="2:16" s="1128" customFormat="1" ht="21.9" customHeight="1" x14ac:dyDescent="0.25">
      <c r="B74" s="1216">
        <v>5.21</v>
      </c>
      <c r="C74" s="1199" t="s">
        <v>277</v>
      </c>
      <c r="D74" s="1172" t="s">
        <v>1147</v>
      </c>
      <c r="E74" s="1176">
        <f>OP1_CI!M72</f>
        <v>1.2</v>
      </c>
      <c r="F74" s="1188">
        <f>OP1_CI!G72</f>
        <v>200</v>
      </c>
      <c r="G74" s="1307">
        <f>OP1_CI!N72</f>
        <v>240</v>
      </c>
      <c r="H74" s="1176">
        <f>OP1_CI!O72</f>
        <v>2.3571428571428572</v>
      </c>
      <c r="I74" s="1174">
        <f t="shared" si="15"/>
        <v>200</v>
      </c>
      <c r="J74" s="1307">
        <f>OP1_CI!P72</f>
        <v>471</v>
      </c>
      <c r="K74" s="1176">
        <f>OP1_CI!Y72</f>
        <v>3.7857142857142856</v>
      </c>
      <c r="L74" s="1174">
        <f t="shared" si="16"/>
        <v>200</v>
      </c>
      <c r="M74" s="1308">
        <f>OP1_CI!Z72</f>
        <v>757</v>
      </c>
      <c r="N74" s="1309">
        <f t="shared" si="17"/>
        <v>1468</v>
      </c>
      <c r="O74" s="1208"/>
      <c r="P74" s="1123"/>
    </row>
    <row r="75" spans="2:16" s="1128" customFormat="1" ht="21.9" customHeight="1" x14ac:dyDescent="0.25">
      <c r="B75" s="1170"/>
      <c r="C75" s="1199"/>
      <c r="D75" s="1172"/>
      <c r="E75" s="1176"/>
      <c r="F75" s="1188"/>
      <c r="G75" s="1307"/>
      <c r="H75" s="1176"/>
      <c r="I75" s="1188"/>
      <c r="J75" s="1307"/>
      <c r="K75" s="1176"/>
      <c r="L75" s="1174"/>
      <c r="M75" s="1308"/>
      <c r="N75" s="1318"/>
      <c r="O75" s="1215"/>
      <c r="P75" s="1123"/>
    </row>
    <row r="76" spans="2:16" s="1139" customFormat="1" ht="21.9" customHeight="1" x14ac:dyDescent="0.25">
      <c r="B76" s="1157">
        <v>6</v>
      </c>
      <c r="C76" s="1166" t="s">
        <v>1159</v>
      </c>
      <c r="D76" s="1159"/>
      <c r="E76" s="1203"/>
      <c r="F76" s="1201"/>
      <c r="G76" s="1323"/>
      <c r="H76" s="1203"/>
      <c r="I76" s="1201"/>
      <c r="J76" s="1323"/>
      <c r="K76" s="1203"/>
      <c r="L76" s="1204"/>
      <c r="M76" s="1324"/>
      <c r="N76" s="1329"/>
      <c r="O76" s="1165"/>
      <c r="P76" s="1138"/>
    </row>
    <row r="77" spans="2:16" s="1128" customFormat="1" ht="21.9" customHeight="1" x14ac:dyDescent="0.25">
      <c r="B77" s="1170">
        <v>6.1</v>
      </c>
      <c r="C77" s="1199" t="s">
        <v>1159</v>
      </c>
      <c r="D77" s="1172" t="s">
        <v>1124</v>
      </c>
      <c r="E77" s="1173">
        <f>OP1_CI!M73</f>
        <v>240</v>
      </c>
      <c r="F77" s="1188">
        <f>OP1_CI!G73</f>
        <v>1</v>
      </c>
      <c r="G77" s="1307">
        <f>OP1_CI!N73</f>
        <v>240</v>
      </c>
      <c r="H77" s="1173" t="str">
        <f>OP1_CI!O73</f>
        <v>-</v>
      </c>
      <c r="I77" s="1174">
        <f t="shared" ref="I77" si="18">F77</f>
        <v>1</v>
      </c>
      <c r="J77" s="1307">
        <f>OP1_CI!P73</f>
        <v>441</v>
      </c>
      <c r="K77" s="1176" t="s">
        <v>98</v>
      </c>
      <c r="L77" s="1174">
        <f t="shared" ref="L77" si="19">F77</f>
        <v>1</v>
      </c>
      <c r="M77" s="1308">
        <f>OP1_CI!Z73</f>
        <v>687</v>
      </c>
      <c r="N77" s="1309">
        <f t="shared" ref="N77" si="20">G77+J77+M77</f>
        <v>1368</v>
      </c>
      <c r="O77" s="1165"/>
      <c r="P77" s="1123"/>
    </row>
    <row r="78" spans="2:16" s="1128" customFormat="1" ht="21.9" customHeight="1" x14ac:dyDescent="0.25">
      <c r="B78" s="1170"/>
      <c r="C78" s="1199"/>
      <c r="D78" s="1172"/>
      <c r="E78" s="1176"/>
      <c r="F78" s="1188"/>
      <c r="G78" s="1307"/>
      <c r="H78" s="1176"/>
      <c r="I78" s="1188"/>
      <c r="J78" s="1307"/>
      <c r="K78" s="1176"/>
      <c r="L78" s="1174"/>
      <c r="M78" s="1308"/>
      <c r="N78" s="1318"/>
      <c r="O78" s="1215"/>
      <c r="P78" s="1123"/>
    </row>
    <row r="79" spans="2:16" s="1128" customFormat="1" ht="21.9" customHeight="1" x14ac:dyDescent="0.25">
      <c r="B79" s="1157">
        <v>7</v>
      </c>
      <c r="C79" s="1166" t="s">
        <v>1160</v>
      </c>
      <c r="D79" s="1172"/>
      <c r="E79" s="1176"/>
      <c r="F79" s="1188"/>
      <c r="G79" s="1307"/>
      <c r="H79" s="1176"/>
      <c r="I79" s="1188"/>
      <c r="J79" s="1307"/>
      <c r="K79" s="1176"/>
      <c r="L79" s="1174"/>
      <c r="M79" s="1308"/>
      <c r="N79" s="1331"/>
      <c r="O79" s="1178"/>
      <c r="P79" s="1123"/>
    </row>
    <row r="80" spans="2:16" s="1128" customFormat="1" ht="21.9" customHeight="1" x14ac:dyDescent="0.25">
      <c r="B80" s="1219">
        <v>7.1</v>
      </c>
      <c r="C80" s="1187" t="s">
        <v>1161</v>
      </c>
      <c r="D80" s="1172"/>
      <c r="E80" s="1176"/>
      <c r="F80" s="1188"/>
      <c r="G80" s="1307"/>
      <c r="H80" s="1176"/>
      <c r="I80" s="1188"/>
      <c r="J80" s="1307"/>
      <c r="K80" s="1176"/>
      <c r="L80" s="1174"/>
      <c r="M80" s="1308"/>
      <c r="N80" s="1331"/>
      <c r="O80" s="1178"/>
      <c r="P80" s="1123"/>
    </row>
    <row r="81" spans="2:16" s="1128" customFormat="1" ht="21.9" customHeight="1" x14ac:dyDescent="0.25">
      <c r="B81" s="1170" t="s">
        <v>1162</v>
      </c>
      <c r="C81" s="1209" t="s">
        <v>1163</v>
      </c>
      <c r="D81" s="1172" t="s">
        <v>152</v>
      </c>
      <c r="E81" s="1176">
        <f>OP1_CI!M75</f>
        <v>0</v>
      </c>
      <c r="F81" s="1188">
        <f>IF(Input_CI!AH57="Yes",OP1_CI!G75,0)</f>
        <v>0</v>
      </c>
      <c r="G81" s="1307">
        <f>OP1_CI!N75</f>
        <v>0</v>
      </c>
      <c r="H81" s="1176">
        <f>OP1_CI!O75</f>
        <v>0</v>
      </c>
      <c r="I81" s="1174">
        <f t="shared" ref="I81:I82" si="21">F81</f>
        <v>0</v>
      </c>
      <c r="J81" s="1307">
        <f>OP1_CI!P75</f>
        <v>0</v>
      </c>
      <c r="K81" s="1176">
        <f>OP1_CI!Y75</f>
        <v>0</v>
      </c>
      <c r="L81" s="1174">
        <f t="shared" ref="L81" si="22">F81</f>
        <v>0</v>
      </c>
      <c r="M81" s="1308">
        <f>OP1_CI!Z75</f>
        <v>0</v>
      </c>
      <c r="N81" s="1309">
        <f t="shared" ref="N81:N84" si="23">G81+J81+M81</f>
        <v>0</v>
      </c>
      <c r="O81" s="1178"/>
      <c r="P81" s="1123"/>
    </row>
    <row r="82" spans="2:16" s="1128" customFormat="1" ht="21.9" customHeight="1" x14ac:dyDescent="0.25">
      <c r="B82" s="1170" t="s">
        <v>1164</v>
      </c>
      <c r="C82" s="1209" t="s">
        <v>1165</v>
      </c>
      <c r="D82" s="1172" t="s">
        <v>152</v>
      </c>
      <c r="E82" s="1176">
        <f>OP1_CI!M76</f>
        <v>0</v>
      </c>
      <c r="F82" s="1188">
        <f>IF(Input_CI!AH58="Yes",OP1_CI!G76,0)</f>
        <v>0</v>
      </c>
      <c r="G82" s="1307">
        <f>OP1_CI!N76</f>
        <v>0</v>
      </c>
      <c r="H82" s="1176">
        <f>OP1_CI!O76</f>
        <v>0</v>
      </c>
      <c r="I82" s="1174">
        <f t="shared" si="21"/>
        <v>0</v>
      </c>
      <c r="J82" s="1307">
        <f>OP1_CI!P76</f>
        <v>0</v>
      </c>
      <c r="K82" s="1176">
        <f>OP1_CI!Y76</f>
        <v>0</v>
      </c>
      <c r="L82" s="1188">
        <f>IF(Input_CI!AH58="Yes",OP1_CI!$G$76,0)</f>
        <v>0</v>
      </c>
      <c r="M82" s="1308">
        <f>OP1_CI!Z76</f>
        <v>0</v>
      </c>
      <c r="N82" s="1309">
        <f t="shared" si="23"/>
        <v>0</v>
      </c>
      <c r="O82" s="1178"/>
      <c r="P82" s="1123"/>
    </row>
    <row r="83" spans="2:16" s="1128" customFormat="1" ht="28.5" customHeight="1" x14ac:dyDescent="0.25">
      <c r="B83" s="1170" t="s">
        <v>1166</v>
      </c>
      <c r="C83" s="1209" t="s">
        <v>1167</v>
      </c>
      <c r="D83" s="1172" t="s">
        <v>1136</v>
      </c>
      <c r="E83" s="1176"/>
      <c r="F83" s="1188"/>
      <c r="G83" s="1307"/>
      <c r="H83" s="1176">
        <f>OP1_CI!O77</f>
        <v>0.09</v>
      </c>
      <c r="I83" s="1188">
        <f>IF(Input_CI!AH59="Yes",OP1_CI!$G$77,0)</f>
        <v>0</v>
      </c>
      <c r="J83" s="1307">
        <f>OP1_CI!P77</f>
        <v>0</v>
      </c>
      <c r="K83" s="1176">
        <f>OP1_CI!Y77</f>
        <v>0.3</v>
      </c>
      <c r="L83" s="1174">
        <f>IF(Input_CI!AH59="Yes",OP1_CI!$G$77,0)</f>
        <v>0</v>
      </c>
      <c r="M83" s="1308">
        <f>K83*L83</f>
        <v>0</v>
      </c>
      <c r="N83" s="1309">
        <f t="shared" si="23"/>
        <v>0</v>
      </c>
      <c r="O83" s="1178"/>
      <c r="P83" s="1123"/>
    </row>
    <row r="84" spans="2:16" s="1128" customFormat="1" ht="21.9" customHeight="1" x14ac:dyDescent="0.25">
      <c r="B84" s="1170" t="s">
        <v>1168</v>
      </c>
      <c r="C84" s="1209" t="s">
        <v>753</v>
      </c>
      <c r="D84" s="1172" t="s">
        <v>147</v>
      </c>
      <c r="E84" s="1176">
        <f>OP1_CI!M78</f>
        <v>0</v>
      </c>
      <c r="F84" s="1188">
        <f>IF(Input_CI!AH60="Yes",OP1_CI!G78,0)</f>
        <v>0</v>
      </c>
      <c r="G84" s="1307">
        <f>OP1_CI!N78</f>
        <v>0</v>
      </c>
      <c r="H84" s="1176">
        <f>OP1_CI!O78</f>
        <v>0</v>
      </c>
      <c r="I84" s="1174">
        <f>F84</f>
        <v>0</v>
      </c>
      <c r="J84" s="1307">
        <f>OP1_CI!P78</f>
        <v>0</v>
      </c>
      <c r="K84" s="1176">
        <f>OP1_CI!Y78</f>
        <v>0</v>
      </c>
      <c r="L84" s="1188">
        <f>IF(Input_CI!AH60="Yes",OP1_CI!$G$78,0)</f>
        <v>0</v>
      </c>
      <c r="M84" s="1308">
        <f>OP1_CI!Z78</f>
        <v>0</v>
      </c>
      <c r="N84" s="1309">
        <f t="shared" si="23"/>
        <v>0</v>
      </c>
      <c r="O84" s="1178"/>
      <c r="P84" s="1123"/>
    </row>
    <row r="85" spans="2:16" s="1139" customFormat="1" ht="21.9" customHeight="1" x14ac:dyDescent="0.25">
      <c r="B85" s="1219">
        <v>7.2</v>
      </c>
      <c r="C85" s="1187" t="s">
        <v>1169</v>
      </c>
      <c r="D85" s="1159"/>
      <c r="E85" s="1203"/>
      <c r="F85" s="1201"/>
      <c r="G85" s="1323"/>
      <c r="H85" s="1203"/>
      <c r="I85" s="1201"/>
      <c r="J85" s="1323"/>
      <c r="K85" s="1203"/>
      <c r="L85" s="1204"/>
      <c r="M85" s="1324"/>
      <c r="N85" s="1329"/>
      <c r="O85" s="1165"/>
      <c r="P85" s="1138"/>
    </row>
    <row r="86" spans="2:16" s="1128" customFormat="1" ht="21.9" customHeight="1" x14ac:dyDescent="0.25">
      <c r="B86" s="1170" t="s">
        <v>1170</v>
      </c>
      <c r="C86" s="1209" t="s">
        <v>1171</v>
      </c>
      <c r="D86" s="1172" t="s">
        <v>152</v>
      </c>
      <c r="E86" s="1220" t="s">
        <v>98</v>
      </c>
      <c r="F86" s="1188">
        <f>OP1_CI!G80</f>
        <v>5300</v>
      </c>
      <c r="G86" s="1307">
        <f>OP1_CI!N80</f>
        <v>49</v>
      </c>
      <c r="H86" s="1220" t="s">
        <v>98</v>
      </c>
      <c r="I86" s="1174">
        <f t="shared" ref="I86" si="24">F86</f>
        <v>5300</v>
      </c>
      <c r="J86" s="1307">
        <f>OP1_CI!P80</f>
        <v>312</v>
      </c>
      <c r="K86" s="1220" t="s">
        <v>98</v>
      </c>
      <c r="L86" s="1174">
        <f>F86</f>
        <v>5300</v>
      </c>
      <c r="M86" s="1308">
        <f>OP1_CI!Z80</f>
        <v>658</v>
      </c>
      <c r="N86" s="1309">
        <f t="shared" ref="N86:N88" si="25">G86+J86+M86</f>
        <v>1019</v>
      </c>
      <c r="O86" s="1215"/>
      <c r="P86" s="1123"/>
    </row>
    <row r="87" spans="2:16" s="1128" customFormat="1" ht="21.9" customHeight="1" x14ac:dyDescent="0.25">
      <c r="B87" s="1170" t="s">
        <v>1172</v>
      </c>
      <c r="C87" s="1221" t="s">
        <v>767</v>
      </c>
      <c r="D87" s="1172" t="s">
        <v>147</v>
      </c>
      <c r="E87" s="1176"/>
      <c r="F87" s="1188"/>
      <c r="G87" s="1307"/>
      <c r="H87" s="1220" t="s">
        <v>98</v>
      </c>
      <c r="I87" s="1174">
        <f>OP1_CI!G81</f>
        <v>0</v>
      </c>
      <c r="J87" s="1307">
        <f>OP1_CI!P81</f>
        <v>0</v>
      </c>
      <c r="K87" s="1176" t="str">
        <f>OP1_CI!Y81</f>
        <v>-</v>
      </c>
      <c r="L87" s="1174">
        <f>OP1_CI!$G$81</f>
        <v>0</v>
      </c>
      <c r="M87" s="1308">
        <f>OP1_CI!Z81</f>
        <v>0</v>
      </c>
      <c r="N87" s="1309">
        <f t="shared" si="25"/>
        <v>0</v>
      </c>
      <c r="O87" s="1215"/>
      <c r="P87" s="1123"/>
    </row>
    <row r="88" spans="2:16" s="1128" customFormat="1" ht="21.9" customHeight="1" x14ac:dyDescent="0.25">
      <c r="B88" s="1219">
        <v>7.3</v>
      </c>
      <c r="C88" s="1187" t="s">
        <v>1221</v>
      </c>
      <c r="D88" s="1172" t="s">
        <v>1174</v>
      </c>
      <c r="E88" s="1176"/>
      <c r="F88" s="1188"/>
      <c r="G88" s="1307"/>
      <c r="H88" s="1220" t="s">
        <v>98</v>
      </c>
      <c r="I88" s="1188">
        <f>OP1_CI!G83+OP1_CI!G84</f>
        <v>0</v>
      </c>
      <c r="J88" s="1307">
        <f>OP1_CI!P83+OP1_CI!P84</f>
        <v>0</v>
      </c>
      <c r="K88" s="1220" t="s">
        <v>98</v>
      </c>
      <c r="L88" s="1174">
        <f>OP1_CI!G83+OP1_CI!G84</f>
        <v>0</v>
      </c>
      <c r="M88" s="1308">
        <f>OP1_CI!Z83+OP1_CI!Z84</f>
        <v>0</v>
      </c>
      <c r="N88" s="1309">
        <f t="shared" si="25"/>
        <v>0</v>
      </c>
      <c r="O88" s="1215"/>
      <c r="P88" s="1123"/>
    </row>
    <row r="89" spans="2:16" s="1128" customFormat="1" ht="21.9" customHeight="1" x14ac:dyDescent="0.25">
      <c r="B89" s="1170"/>
      <c r="C89" s="1221"/>
      <c r="D89" s="1172"/>
      <c r="E89" s="1176"/>
      <c r="F89" s="1188"/>
      <c r="G89" s="1307"/>
      <c r="H89" s="1176"/>
      <c r="I89" s="1188"/>
      <c r="J89" s="1307"/>
      <c r="K89" s="1173"/>
      <c r="L89" s="1174"/>
      <c r="M89" s="1308"/>
      <c r="N89" s="1309"/>
      <c r="O89" s="1215"/>
      <c r="P89" s="1123"/>
    </row>
    <row r="90" spans="2:16" s="1128" customFormat="1" ht="21.9" customHeight="1" x14ac:dyDescent="0.25">
      <c r="B90" s="1157">
        <v>8</v>
      </c>
      <c r="C90" s="1166" t="s">
        <v>1222</v>
      </c>
      <c r="D90" s="1172"/>
      <c r="E90" s="1176"/>
      <c r="F90" s="1188"/>
      <c r="G90" s="1307"/>
      <c r="H90" s="1176"/>
      <c r="I90" s="1188"/>
      <c r="J90" s="1307"/>
      <c r="K90" s="1173"/>
      <c r="L90" s="1174"/>
      <c r="M90" s="1308"/>
      <c r="N90" s="1309"/>
      <c r="O90" s="1215"/>
      <c r="P90" s="1123"/>
    </row>
    <row r="91" spans="2:16" s="1128" customFormat="1" ht="21.9" customHeight="1" x14ac:dyDescent="0.25">
      <c r="B91" s="1219">
        <v>8.1</v>
      </c>
      <c r="C91" s="1187" t="s">
        <v>1223</v>
      </c>
      <c r="D91" s="1172" t="s">
        <v>1174</v>
      </c>
      <c r="E91" s="1176">
        <f>OP1_CI!M90</f>
        <v>165</v>
      </c>
      <c r="F91" s="1188">
        <f>OP1_CI!G90</f>
        <v>0</v>
      </c>
      <c r="G91" s="1307">
        <f>OP1_CI!N90</f>
        <v>0</v>
      </c>
      <c r="H91" s="1176">
        <f>OP1_CI!O90</f>
        <v>0</v>
      </c>
      <c r="I91" s="1188">
        <f>OP1_CI!J90</f>
        <v>0</v>
      </c>
      <c r="J91" s="1307">
        <f>OP1_CI!P90</f>
        <v>0</v>
      </c>
      <c r="K91" s="1173"/>
      <c r="L91" s="1174"/>
      <c r="M91" s="1308"/>
      <c r="N91" s="1309">
        <f t="shared" ref="N91" si="26">G91+J91+M91</f>
        <v>0</v>
      </c>
      <c r="O91" s="1215"/>
      <c r="P91" s="1123"/>
    </row>
    <row r="92" spans="2:16" s="1123" customFormat="1" ht="21.9" customHeight="1" x14ac:dyDescent="0.25">
      <c r="B92" s="1186"/>
      <c r="C92" s="1187"/>
      <c r="D92" s="1172"/>
      <c r="E92" s="1176"/>
      <c r="F92" s="1188"/>
      <c r="G92" s="1307"/>
      <c r="H92" s="1176"/>
      <c r="I92" s="1188"/>
      <c r="J92" s="1307"/>
      <c r="K92" s="1176"/>
      <c r="L92" s="1174"/>
      <c r="M92" s="1308"/>
      <c r="N92" s="1318"/>
      <c r="O92" s="1178"/>
    </row>
    <row r="93" spans="2:16" s="1139" customFormat="1" ht="21.9" customHeight="1" thickBot="1" x14ac:dyDescent="0.3">
      <c r="B93" s="1190" t="s">
        <v>1175</v>
      </c>
      <c r="C93" s="1191"/>
      <c r="D93" s="1192"/>
      <c r="E93" s="1196"/>
      <c r="F93" s="1224"/>
      <c r="G93" s="1321">
        <f>SUM(G22:G92)</f>
        <v>3136</v>
      </c>
      <c r="H93" s="1196"/>
      <c r="I93" s="1224"/>
      <c r="J93" s="1319">
        <f>SUM(J22:J92)</f>
        <v>4559</v>
      </c>
      <c r="K93" s="1333"/>
      <c r="L93" s="1197"/>
      <c r="M93" s="1321">
        <f>SUM(M22:M92)</f>
        <v>6163</v>
      </c>
      <c r="N93" s="1321">
        <f>SUM(N22:N92)</f>
        <v>13858</v>
      </c>
      <c r="O93" s="1198"/>
      <c r="P93" s="1138"/>
    </row>
    <row r="94" spans="2:16" s="1139" customFormat="1" ht="21.9" customHeight="1" x14ac:dyDescent="0.25">
      <c r="B94" s="1170"/>
      <c r="C94" s="1199"/>
      <c r="D94" s="1172"/>
      <c r="E94" s="1176"/>
      <c r="F94" s="1188"/>
      <c r="G94" s="1307"/>
      <c r="H94" s="1176"/>
      <c r="I94" s="1188"/>
      <c r="J94" s="1307"/>
      <c r="K94" s="1176"/>
      <c r="L94" s="1174"/>
      <c r="M94" s="1308"/>
      <c r="N94" s="1309"/>
      <c r="O94" s="1178"/>
      <c r="P94" s="1138"/>
    </row>
    <row r="95" spans="2:16" s="1128" customFormat="1" ht="21.9" customHeight="1" x14ac:dyDescent="0.25">
      <c r="B95" s="1157" t="s">
        <v>1176</v>
      </c>
      <c r="C95" s="1158" t="s">
        <v>1177</v>
      </c>
      <c r="D95" s="1172"/>
      <c r="E95" s="1176"/>
      <c r="F95" s="1188"/>
      <c r="G95" s="1307"/>
      <c r="H95" s="1176"/>
      <c r="I95" s="1188"/>
      <c r="J95" s="1307"/>
      <c r="K95" s="1176"/>
      <c r="L95" s="1174"/>
      <c r="M95" s="1308"/>
      <c r="N95" s="1331"/>
      <c r="O95" s="1178"/>
      <c r="P95" s="1123"/>
    </row>
    <row r="96" spans="2:16" s="1138" customFormat="1" ht="21.9" customHeight="1" x14ac:dyDescent="0.25">
      <c r="B96" s="1157">
        <v>1</v>
      </c>
      <c r="C96" s="1166" t="s">
        <v>1178</v>
      </c>
      <c r="D96" s="1159"/>
      <c r="E96" s="1203"/>
      <c r="F96" s="1201"/>
      <c r="G96" s="1323"/>
      <c r="H96" s="1203"/>
      <c r="I96" s="1201"/>
      <c r="J96" s="1323"/>
      <c r="K96" s="1203"/>
      <c r="L96" s="1204"/>
      <c r="M96" s="1324"/>
      <c r="N96" s="1325"/>
      <c r="O96" s="1165"/>
    </row>
    <row r="97" spans="2:15" s="1123" customFormat="1" ht="21.9" customHeight="1" x14ac:dyDescent="0.25">
      <c r="B97" s="1170">
        <v>1.1000000000000001</v>
      </c>
      <c r="C97" s="1199" t="s">
        <v>1179</v>
      </c>
      <c r="D97" s="1172"/>
      <c r="E97" s="1176"/>
      <c r="F97" s="1188"/>
      <c r="G97" s="1307"/>
      <c r="H97" s="1176"/>
      <c r="I97" s="1188"/>
      <c r="J97" s="1307"/>
      <c r="K97" s="1176"/>
      <c r="L97" s="1174"/>
      <c r="M97" s="1308"/>
      <c r="N97" s="1318"/>
      <c r="O97" s="1178"/>
    </row>
    <row r="98" spans="2:15" s="1123" customFormat="1" ht="21.9" customHeight="1" x14ac:dyDescent="0.25">
      <c r="B98" s="1170"/>
      <c r="C98" s="1206" t="s">
        <v>1014</v>
      </c>
      <c r="D98" s="1172" t="s">
        <v>147</v>
      </c>
      <c r="E98" s="1176">
        <f>OP1_CI!M93</f>
        <v>4.2</v>
      </c>
      <c r="F98" s="1174">
        <f>OP1_CI!G93</f>
        <v>21</v>
      </c>
      <c r="G98" s="1307">
        <f>OP1_CI!N93</f>
        <v>88</v>
      </c>
      <c r="H98" s="1176">
        <f>OP1_CI!O93</f>
        <v>3.0000000000000004</v>
      </c>
      <c r="I98" s="1174">
        <f t="shared" ref="I98:I100" si="27">F98</f>
        <v>21</v>
      </c>
      <c r="J98" s="1307">
        <f>OP1_CI!P93</f>
        <v>63</v>
      </c>
      <c r="K98" s="1334">
        <f>OP1_CI!Y93</f>
        <v>1.0000000000000002</v>
      </c>
      <c r="L98" s="1226">
        <f>F98</f>
        <v>21</v>
      </c>
      <c r="M98" s="1308">
        <f>OP1_CI!Z93</f>
        <v>21</v>
      </c>
      <c r="N98" s="1309">
        <f t="shared" ref="N98:N100" si="28">G98+J98+M98</f>
        <v>172</v>
      </c>
      <c r="O98" s="1178"/>
    </row>
    <row r="99" spans="2:15" s="1123" customFormat="1" ht="21.9" customHeight="1" x14ac:dyDescent="0.25">
      <c r="B99" s="1170"/>
      <c r="C99" s="1206" t="s">
        <v>1180</v>
      </c>
      <c r="D99" s="1172" t="s">
        <v>147</v>
      </c>
      <c r="E99" s="1176">
        <f>OP1_CI!M94</f>
        <v>2.1</v>
      </c>
      <c r="F99" s="1174">
        <f>OP1_CI!G94</f>
        <v>356</v>
      </c>
      <c r="G99" s="1307">
        <f>OP1_CI!N94</f>
        <v>748</v>
      </c>
      <c r="H99" s="1176">
        <f>OP1_CI!O94</f>
        <v>1.5000000000000002</v>
      </c>
      <c r="I99" s="1174">
        <f t="shared" si="27"/>
        <v>356</v>
      </c>
      <c r="J99" s="1307">
        <f>OP1_CI!P94</f>
        <v>534</v>
      </c>
      <c r="K99" s="1335">
        <f>OP1_CI!Y94</f>
        <v>0.50000000000000011</v>
      </c>
      <c r="L99" s="1226">
        <f>F99</f>
        <v>356</v>
      </c>
      <c r="M99" s="1308">
        <f>OP1_CI!Z94</f>
        <v>178</v>
      </c>
      <c r="N99" s="1309">
        <f t="shared" si="28"/>
        <v>1460</v>
      </c>
      <c r="O99" s="1178"/>
    </row>
    <row r="100" spans="2:15" s="1123" customFormat="1" ht="21.9" customHeight="1" x14ac:dyDescent="0.25">
      <c r="B100" s="1170"/>
      <c r="C100" s="1206" t="s">
        <v>1181</v>
      </c>
      <c r="D100" s="1172" t="s">
        <v>147</v>
      </c>
      <c r="E100" s="1176">
        <f>OP1_CI!M95</f>
        <v>0.89999999999999991</v>
      </c>
      <c r="F100" s="1174">
        <f>OP1_CI!G95</f>
        <v>751</v>
      </c>
      <c r="G100" s="1307">
        <f>OP1_CI!N95</f>
        <v>676</v>
      </c>
      <c r="H100" s="1176">
        <f>OP1_CI!O95</f>
        <v>0.64285714285714279</v>
      </c>
      <c r="I100" s="1174">
        <f t="shared" si="27"/>
        <v>751</v>
      </c>
      <c r="J100" s="1307">
        <f>OP1_CI!P95</f>
        <v>483</v>
      </c>
      <c r="K100" s="1335">
        <f>OP1_CI!Y95</f>
        <v>0.21428571428571433</v>
      </c>
      <c r="L100" s="1226">
        <f>F100</f>
        <v>751</v>
      </c>
      <c r="M100" s="1308">
        <f>OP1_CI!Z95</f>
        <v>161</v>
      </c>
      <c r="N100" s="1309">
        <f t="shared" si="28"/>
        <v>1320</v>
      </c>
      <c r="O100" s="1178"/>
    </row>
    <row r="101" spans="2:15" s="1123" customFormat="1" ht="21.9" customHeight="1" x14ac:dyDescent="0.25">
      <c r="B101" s="1170"/>
      <c r="C101" s="1206"/>
      <c r="D101" s="1172"/>
      <c r="E101" s="1176"/>
      <c r="F101" s="1174"/>
      <c r="G101" s="1307"/>
      <c r="H101" s="1176"/>
      <c r="I101" s="1174"/>
      <c r="J101" s="1307"/>
      <c r="K101" s="1335"/>
      <c r="L101" s="1226"/>
      <c r="M101" s="1308"/>
      <c r="N101" s="1318"/>
      <c r="O101" s="1178"/>
    </row>
    <row r="102" spans="2:15" s="1138" customFormat="1" ht="21.9" customHeight="1" x14ac:dyDescent="0.25">
      <c r="B102" s="1157">
        <v>2</v>
      </c>
      <c r="C102" s="1166" t="s">
        <v>1182</v>
      </c>
      <c r="D102" s="1159"/>
      <c r="E102" s="1203"/>
      <c r="F102" s="1201"/>
      <c r="G102" s="1323"/>
      <c r="H102" s="1203"/>
      <c r="I102" s="1201"/>
      <c r="J102" s="1323"/>
      <c r="K102" s="1203"/>
      <c r="L102" s="1204"/>
      <c r="M102" s="1324"/>
      <c r="N102" s="1325"/>
      <c r="O102" s="1165"/>
    </row>
    <row r="103" spans="2:15" s="1123" customFormat="1" ht="21.9" customHeight="1" x14ac:dyDescent="0.25">
      <c r="B103" s="1170">
        <v>2.1</v>
      </c>
      <c r="C103" s="1199" t="s">
        <v>347</v>
      </c>
      <c r="D103" s="1172"/>
      <c r="E103" s="1176"/>
      <c r="F103" s="1188"/>
      <c r="G103" s="1307"/>
      <c r="H103" s="1176"/>
      <c r="I103" s="1188"/>
      <c r="J103" s="1307"/>
      <c r="K103" s="1176"/>
      <c r="L103" s="1174"/>
      <c r="M103" s="1308"/>
      <c r="N103" s="1309"/>
      <c r="O103" s="1178"/>
    </row>
    <row r="104" spans="2:15" s="1123" customFormat="1" ht="21.9" customHeight="1" x14ac:dyDescent="0.25">
      <c r="B104" s="1170"/>
      <c r="C104" s="1206" t="s">
        <v>137</v>
      </c>
      <c r="D104" s="1172" t="s">
        <v>1134</v>
      </c>
      <c r="E104" s="1176" t="str">
        <f>OP1_CI!M97</f>
        <v>-</v>
      </c>
      <c r="F104" s="1188">
        <f>OP1_CI!G97</f>
        <v>5</v>
      </c>
      <c r="G104" s="1307">
        <f>OP1_CI!N97</f>
        <v>360</v>
      </c>
      <c r="H104" s="1176" t="str">
        <f>OP1_CI!O97</f>
        <v>-</v>
      </c>
      <c r="I104" s="1174">
        <f t="shared" ref="I104:I108" si="29">F104</f>
        <v>5</v>
      </c>
      <c r="J104" s="1307">
        <f>OP1_CI!P97</f>
        <v>257</v>
      </c>
      <c r="K104" s="1176" t="str">
        <f>OP1_CI!Y97</f>
        <v>-</v>
      </c>
      <c r="L104" s="1174">
        <f>F104</f>
        <v>5</v>
      </c>
      <c r="M104" s="1308">
        <f>OP1_CI!Z97</f>
        <v>86</v>
      </c>
      <c r="N104" s="1309">
        <f t="shared" ref="N104:N108" si="30">G104+J104+M104</f>
        <v>703</v>
      </c>
      <c r="O104" s="1178"/>
    </row>
    <row r="105" spans="2:15" s="1123" customFormat="1" ht="21.9" customHeight="1" x14ac:dyDescent="0.25">
      <c r="B105" s="1170"/>
      <c r="C105" s="1206" t="s">
        <v>1014</v>
      </c>
      <c r="D105" s="1172" t="s">
        <v>1134</v>
      </c>
      <c r="E105" s="1176">
        <f>OP1_CI!M98</f>
        <v>51</v>
      </c>
      <c r="F105" s="1188">
        <f>OP1_CI!G98</f>
        <v>3</v>
      </c>
      <c r="G105" s="1307">
        <f>OP1_CI!N98</f>
        <v>153</v>
      </c>
      <c r="H105" s="1176">
        <f>OP1_CI!O98</f>
        <v>36.428571428571431</v>
      </c>
      <c r="I105" s="1174">
        <f t="shared" si="29"/>
        <v>3</v>
      </c>
      <c r="J105" s="1307">
        <f>OP1_CI!P98</f>
        <v>109</v>
      </c>
      <c r="K105" s="1176">
        <f>OP1_CI!Y98</f>
        <v>12.142857142857144</v>
      </c>
      <c r="L105" s="1174">
        <f t="shared" ref="L105:L108" si="31">F105</f>
        <v>3</v>
      </c>
      <c r="M105" s="1308">
        <f>OP1_CI!Z98</f>
        <v>36</v>
      </c>
      <c r="N105" s="1309">
        <f t="shared" si="30"/>
        <v>298</v>
      </c>
      <c r="O105" s="1178"/>
    </row>
    <row r="106" spans="2:15" s="1123" customFormat="1" ht="21.9" customHeight="1" x14ac:dyDescent="0.25">
      <c r="B106" s="1170"/>
      <c r="C106" s="1206" t="s">
        <v>1180</v>
      </c>
      <c r="D106" s="1172" t="s">
        <v>1134</v>
      </c>
      <c r="E106" s="1176">
        <f>OP1_CI!M99</f>
        <v>36</v>
      </c>
      <c r="F106" s="1188">
        <f>OP1_CI!G99</f>
        <v>5</v>
      </c>
      <c r="G106" s="1307">
        <f>OP1_CI!N99</f>
        <v>180</v>
      </c>
      <c r="H106" s="1176">
        <f>OP1_CI!O99</f>
        <v>25.714285714285715</v>
      </c>
      <c r="I106" s="1174">
        <f t="shared" si="29"/>
        <v>5</v>
      </c>
      <c r="J106" s="1307">
        <f>OP1_CI!P99</f>
        <v>129</v>
      </c>
      <c r="K106" s="1176">
        <f>OP1_CI!Y99</f>
        <v>8.5714285714285712</v>
      </c>
      <c r="L106" s="1174">
        <f t="shared" si="31"/>
        <v>5</v>
      </c>
      <c r="M106" s="1308">
        <f>OP1_CI!Z99</f>
        <v>43</v>
      </c>
      <c r="N106" s="1309">
        <f t="shared" si="30"/>
        <v>352</v>
      </c>
      <c r="O106" s="1178"/>
    </row>
    <row r="107" spans="2:15" s="1123" customFormat="1" ht="21.9" customHeight="1" x14ac:dyDescent="0.25">
      <c r="B107" s="1170"/>
      <c r="C107" s="1206" t="s">
        <v>1181</v>
      </c>
      <c r="D107" s="1172" t="s">
        <v>1134</v>
      </c>
      <c r="E107" s="1176">
        <f>OP1_CI!M100</f>
        <v>36</v>
      </c>
      <c r="F107" s="1188">
        <f>OP1_CI!G100</f>
        <v>8</v>
      </c>
      <c r="G107" s="1307">
        <f>OP1_CI!N100</f>
        <v>288</v>
      </c>
      <c r="H107" s="1176">
        <f>OP1_CI!O100</f>
        <v>25.714285714285715</v>
      </c>
      <c r="I107" s="1174">
        <f t="shared" si="29"/>
        <v>8</v>
      </c>
      <c r="J107" s="1307">
        <f>OP1_CI!P100</f>
        <v>206</v>
      </c>
      <c r="K107" s="1176">
        <f>OP1_CI!Y100</f>
        <v>8.5714285714285712</v>
      </c>
      <c r="L107" s="1174">
        <f t="shared" si="31"/>
        <v>8</v>
      </c>
      <c r="M107" s="1308">
        <f>OP1_CI!Z100</f>
        <v>69</v>
      </c>
      <c r="N107" s="1309">
        <f t="shared" si="30"/>
        <v>563</v>
      </c>
      <c r="O107" s="1178"/>
    </row>
    <row r="108" spans="2:15" s="1123" customFormat="1" ht="21.9" customHeight="1" x14ac:dyDescent="0.25">
      <c r="B108" s="1170"/>
      <c r="C108" s="1206" t="s">
        <v>353</v>
      </c>
      <c r="D108" s="1172" t="s">
        <v>1134</v>
      </c>
      <c r="E108" s="1176">
        <f>OP1_CI!M101</f>
        <v>36</v>
      </c>
      <c r="F108" s="1188">
        <f>OP1_CI!G101</f>
        <v>10</v>
      </c>
      <c r="G108" s="1307">
        <f>OP1_CI!N101</f>
        <v>360</v>
      </c>
      <c r="H108" s="1176">
        <f>OP1_CI!O101</f>
        <v>25.714285714285715</v>
      </c>
      <c r="I108" s="1174">
        <f t="shared" si="29"/>
        <v>10</v>
      </c>
      <c r="J108" s="1307">
        <f>OP1_CI!P101</f>
        <v>257</v>
      </c>
      <c r="K108" s="1176">
        <f>OP1_CI!Y101</f>
        <v>8.5714285714285712</v>
      </c>
      <c r="L108" s="1174">
        <f t="shared" si="31"/>
        <v>10</v>
      </c>
      <c r="M108" s="1308">
        <f>OP1_CI!Z101</f>
        <v>86</v>
      </c>
      <c r="N108" s="1309">
        <f t="shared" si="30"/>
        <v>703</v>
      </c>
      <c r="O108" s="1178"/>
    </row>
    <row r="109" spans="2:15" s="1123" customFormat="1" ht="21.9" customHeight="1" x14ac:dyDescent="0.25">
      <c r="B109" s="1170"/>
      <c r="C109" s="1206"/>
      <c r="D109" s="1172"/>
      <c r="E109" s="1176"/>
      <c r="F109" s="1188"/>
      <c r="G109" s="1307"/>
      <c r="H109" s="1176"/>
      <c r="I109" s="1188"/>
      <c r="J109" s="1307"/>
      <c r="K109" s="1176"/>
      <c r="L109" s="1174"/>
      <c r="M109" s="1308"/>
      <c r="N109" s="1309"/>
      <c r="O109" s="1178"/>
    </row>
    <row r="110" spans="2:15" s="1123" customFormat="1" ht="21.9" customHeight="1" x14ac:dyDescent="0.25">
      <c r="B110" s="1157">
        <v>3</v>
      </c>
      <c r="C110" s="1166" t="s">
        <v>1183</v>
      </c>
      <c r="D110" s="1172"/>
      <c r="E110" s="1176"/>
      <c r="F110" s="1188"/>
      <c r="G110" s="1307"/>
      <c r="H110" s="1176"/>
      <c r="I110" s="1188"/>
      <c r="J110" s="1307"/>
      <c r="K110" s="1176"/>
      <c r="L110" s="1174"/>
      <c r="M110" s="1308"/>
      <c r="N110" s="1309"/>
      <c r="O110" s="1178"/>
    </row>
    <row r="111" spans="2:15" s="1123" customFormat="1" ht="21.9" customHeight="1" x14ac:dyDescent="0.25">
      <c r="B111" s="1170">
        <v>3.1</v>
      </c>
      <c r="C111" s="1199" t="s">
        <v>355</v>
      </c>
      <c r="D111" s="1172"/>
      <c r="E111" s="1176"/>
      <c r="F111" s="1201"/>
      <c r="G111" s="1307"/>
      <c r="H111" s="1176"/>
      <c r="I111" s="1201"/>
      <c r="J111" s="1307"/>
      <c r="K111" s="1176">
        <v>0</v>
      </c>
      <c r="L111" s="1174">
        <v>0</v>
      </c>
      <c r="M111" s="1308"/>
      <c r="N111" s="1309"/>
      <c r="O111" s="1178"/>
    </row>
    <row r="112" spans="2:15" s="1123" customFormat="1" ht="21.9" customHeight="1" x14ac:dyDescent="0.25">
      <c r="B112" s="1170"/>
      <c r="C112" s="1206" t="s">
        <v>137</v>
      </c>
      <c r="D112" s="1172" t="s">
        <v>1134</v>
      </c>
      <c r="E112" s="1176" t="str">
        <f>OP1_CI!M103</f>
        <v>-</v>
      </c>
      <c r="F112" s="1188">
        <f>OP1_CI!G103</f>
        <v>0</v>
      </c>
      <c r="G112" s="1307">
        <f>OP1_CI!N103</f>
        <v>0</v>
      </c>
      <c r="H112" s="1176" t="str">
        <f>OP1_CI!O103</f>
        <v>-</v>
      </c>
      <c r="I112" s="1174">
        <f t="shared" ref="I112:I116" si="32">F112</f>
        <v>0</v>
      </c>
      <c r="J112" s="1307">
        <f>OP1_CI!P103</f>
        <v>0</v>
      </c>
      <c r="K112" s="1176" t="str">
        <f>OP1_CI!Y103</f>
        <v>-</v>
      </c>
      <c r="L112" s="1174">
        <f>F112</f>
        <v>0</v>
      </c>
      <c r="M112" s="1308">
        <f>OP1_CI!Z103</f>
        <v>0</v>
      </c>
      <c r="N112" s="1309">
        <f t="shared" ref="N112:N116" si="33">G112+J112+M112</f>
        <v>0</v>
      </c>
      <c r="O112" s="1178"/>
    </row>
    <row r="113" spans="2:16" s="1123" customFormat="1" ht="21.9" customHeight="1" x14ac:dyDescent="0.25">
      <c r="B113" s="1170"/>
      <c r="C113" s="1206" t="s">
        <v>1014</v>
      </c>
      <c r="D113" s="1172" t="s">
        <v>1134</v>
      </c>
      <c r="E113" s="1176" t="str">
        <f>OP1_CI!M104</f>
        <v>-</v>
      </c>
      <c r="F113" s="1188">
        <f>OP1_CI!G104</f>
        <v>0</v>
      </c>
      <c r="G113" s="1307">
        <f>OP1_CI!N104</f>
        <v>0</v>
      </c>
      <c r="H113" s="1176" t="str">
        <f>OP1_CI!O104</f>
        <v>-</v>
      </c>
      <c r="I113" s="1174">
        <f t="shared" si="32"/>
        <v>0</v>
      </c>
      <c r="J113" s="1307">
        <f>OP1_CI!P104</f>
        <v>0</v>
      </c>
      <c r="K113" s="1176" t="str">
        <f>OP1_CI!Y104</f>
        <v>-</v>
      </c>
      <c r="L113" s="1174">
        <f t="shared" ref="L113:L116" si="34">F113</f>
        <v>0</v>
      </c>
      <c r="M113" s="1308">
        <f>OP1_CI!Z104</f>
        <v>0</v>
      </c>
      <c r="N113" s="1309">
        <f t="shared" si="33"/>
        <v>0</v>
      </c>
      <c r="O113" s="1178"/>
    </row>
    <row r="114" spans="2:16" s="1123" customFormat="1" ht="21.9" customHeight="1" x14ac:dyDescent="0.25">
      <c r="B114" s="1170"/>
      <c r="C114" s="1206" t="s">
        <v>1180</v>
      </c>
      <c r="D114" s="1172" t="s">
        <v>1134</v>
      </c>
      <c r="E114" s="1176" t="str">
        <f>OP1_CI!M105</f>
        <v>-</v>
      </c>
      <c r="F114" s="1188">
        <f>OP1_CI!G105</f>
        <v>0</v>
      </c>
      <c r="G114" s="1307">
        <f>OP1_CI!N105</f>
        <v>0</v>
      </c>
      <c r="H114" s="1176" t="str">
        <f>OP1_CI!O105</f>
        <v>-</v>
      </c>
      <c r="I114" s="1174">
        <f t="shared" si="32"/>
        <v>0</v>
      </c>
      <c r="J114" s="1307">
        <f>OP1_CI!P105</f>
        <v>0</v>
      </c>
      <c r="K114" s="1176" t="str">
        <f>OP1_CI!Y105</f>
        <v>-</v>
      </c>
      <c r="L114" s="1174">
        <f t="shared" si="34"/>
        <v>0</v>
      </c>
      <c r="M114" s="1308">
        <f>OP1_CI!Z105</f>
        <v>0</v>
      </c>
      <c r="N114" s="1309">
        <f t="shared" si="33"/>
        <v>0</v>
      </c>
      <c r="O114" s="1178"/>
    </row>
    <row r="115" spans="2:16" s="1123" customFormat="1" ht="21.9" customHeight="1" x14ac:dyDescent="0.25">
      <c r="B115" s="1170"/>
      <c r="C115" s="1206" t="s">
        <v>1181</v>
      </c>
      <c r="D115" s="1172" t="s">
        <v>1134</v>
      </c>
      <c r="E115" s="1176" t="str">
        <f>OP1_CI!M106</f>
        <v>-</v>
      </c>
      <c r="F115" s="1188">
        <f>OP1_CI!G106</f>
        <v>0</v>
      </c>
      <c r="G115" s="1307">
        <f>OP1_CI!N106</f>
        <v>0</v>
      </c>
      <c r="H115" s="1176" t="str">
        <f>OP1_CI!O106</f>
        <v>-</v>
      </c>
      <c r="I115" s="1174">
        <f t="shared" si="32"/>
        <v>0</v>
      </c>
      <c r="J115" s="1307">
        <f>OP1_CI!P106</f>
        <v>0</v>
      </c>
      <c r="K115" s="1176" t="str">
        <f>OP1_CI!Y106</f>
        <v>-</v>
      </c>
      <c r="L115" s="1174">
        <f t="shared" si="34"/>
        <v>0</v>
      </c>
      <c r="M115" s="1308">
        <f>OP1_CI!Z106</f>
        <v>0</v>
      </c>
      <c r="N115" s="1309">
        <f t="shared" si="33"/>
        <v>0</v>
      </c>
      <c r="O115" s="1178"/>
    </row>
    <row r="116" spans="2:16" s="1123" customFormat="1" ht="21.9" customHeight="1" x14ac:dyDescent="0.25">
      <c r="B116" s="1170"/>
      <c r="C116" s="1206" t="s">
        <v>353</v>
      </c>
      <c r="D116" s="1172" t="s">
        <v>1134</v>
      </c>
      <c r="E116" s="1176">
        <f>OP1_CI!M107</f>
        <v>54</v>
      </c>
      <c r="F116" s="1188">
        <f>OP1_CI!G107</f>
        <v>0</v>
      </c>
      <c r="G116" s="1307">
        <f>OP1_CI!N107</f>
        <v>0</v>
      </c>
      <c r="H116" s="1176">
        <f>OP1_CI!O107</f>
        <v>38.571428571428577</v>
      </c>
      <c r="I116" s="1174">
        <f t="shared" si="32"/>
        <v>0</v>
      </c>
      <c r="J116" s="1307">
        <f>OP1_CI!P107</f>
        <v>0</v>
      </c>
      <c r="K116" s="1176">
        <f>OP1_CI!Y107</f>
        <v>12.857142857142858</v>
      </c>
      <c r="L116" s="1174">
        <f t="shared" si="34"/>
        <v>0</v>
      </c>
      <c r="M116" s="1308">
        <f>OP1_CI!Z107</f>
        <v>0</v>
      </c>
      <c r="N116" s="1309">
        <f t="shared" si="33"/>
        <v>0</v>
      </c>
      <c r="O116" s="1178"/>
    </row>
    <row r="117" spans="2:16" s="1128" customFormat="1" ht="21.9" customHeight="1" x14ac:dyDescent="0.25">
      <c r="B117" s="1170">
        <v>3.2</v>
      </c>
      <c r="C117" s="1199" t="s">
        <v>365</v>
      </c>
      <c r="D117" s="1172"/>
      <c r="E117" s="1176"/>
      <c r="F117" s="1188"/>
      <c r="G117" s="1307"/>
      <c r="H117" s="1176"/>
      <c r="I117" s="1188"/>
      <c r="J117" s="1307"/>
      <c r="K117" s="1176"/>
      <c r="L117" s="1174"/>
      <c r="M117" s="1308"/>
      <c r="N117" s="1309"/>
      <c r="O117" s="1178"/>
      <c r="P117" s="1123"/>
    </row>
    <row r="118" spans="2:16" s="1128" customFormat="1" ht="21.9" customHeight="1" x14ac:dyDescent="0.25">
      <c r="B118" s="1170"/>
      <c r="C118" s="1199" t="s">
        <v>1184</v>
      </c>
      <c r="D118" s="1172" t="s">
        <v>138</v>
      </c>
      <c r="E118" s="1176">
        <f>OP1_CI!M109</f>
        <v>15</v>
      </c>
      <c r="F118" s="1188">
        <f>OP1_CI!G109</f>
        <v>0</v>
      </c>
      <c r="G118" s="1307">
        <f>OP1_CI!N109</f>
        <v>0</v>
      </c>
      <c r="H118" s="1176">
        <f>OP1_CI!O109</f>
        <v>10.714285714285715</v>
      </c>
      <c r="I118" s="1174">
        <f t="shared" ref="I118:I119" si="35">F118</f>
        <v>0</v>
      </c>
      <c r="J118" s="1307">
        <f>OP1_CI!P109</f>
        <v>0</v>
      </c>
      <c r="K118" s="1176">
        <f>OP1_CI!Y109</f>
        <v>3.5714285714285716</v>
      </c>
      <c r="L118" s="1174">
        <f>F118</f>
        <v>0</v>
      </c>
      <c r="M118" s="1308">
        <f>OP1_CI!Z109</f>
        <v>0</v>
      </c>
      <c r="N118" s="1309">
        <f t="shared" ref="N118:N119" si="36">G118+J118+M118</f>
        <v>0</v>
      </c>
      <c r="O118" s="1178"/>
      <c r="P118" s="1123"/>
    </row>
    <row r="119" spans="2:16" s="1128" customFormat="1" ht="21.9" customHeight="1" x14ac:dyDescent="0.25">
      <c r="B119" s="1170"/>
      <c r="C119" s="1199" t="s">
        <v>1185</v>
      </c>
      <c r="D119" s="1172" t="s">
        <v>138</v>
      </c>
      <c r="E119" s="1176">
        <f>OP1_CI!M110</f>
        <v>6</v>
      </c>
      <c r="F119" s="1188">
        <f>OP1_CI!G110</f>
        <v>0</v>
      </c>
      <c r="G119" s="1307">
        <f>OP1_CI!N110</f>
        <v>0</v>
      </c>
      <c r="H119" s="1176">
        <f>OP1_CI!O110</f>
        <v>4.2857142857142856</v>
      </c>
      <c r="I119" s="1174">
        <f t="shared" si="35"/>
        <v>0</v>
      </c>
      <c r="J119" s="1307">
        <f>OP1_CI!P110</f>
        <v>0</v>
      </c>
      <c r="K119" s="1176">
        <f>OP1_CI!Y110</f>
        <v>1.4285714285714286</v>
      </c>
      <c r="L119" s="1174">
        <f>F119</f>
        <v>0</v>
      </c>
      <c r="M119" s="1308">
        <f>OP1_CI!Z110</f>
        <v>0</v>
      </c>
      <c r="N119" s="1309">
        <f t="shared" si="36"/>
        <v>0</v>
      </c>
      <c r="O119" s="1178"/>
      <c r="P119" s="1123"/>
    </row>
    <row r="120" spans="2:16" s="1128" customFormat="1" ht="21.9" customHeight="1" x14ac:dyDescent="0.25">
      <c r="B120" s="1170"/>
      <c r="C120" s="1199"/>
      <c r="D120" s="1172"/>
      <c r="E120" s="1176"/>
      <c r="F120" s="1188"/>
      <c r="G120" s="1307"/>
      <c r="H120" s="1176"/>
      <c r="I120" s="1188"/>
      <c r="J120" s="1307"/>
      <c r="K120" s="1176"/>
      <c r="L120" s="1174"/>
      <c r="M120" s="1308"/>
      <c r="N120" s="1309"/>
      <c r="O120" s="1178"/>
      <c r="P120" s="1123"/>
    </row>
    <row r="121" spans="2:16" s="1123" customFormat="1" ht="21.9" customHeight="1" x14ac:dyDescent="0.25">
      <c r="B121" s="1157">
        <v>4</v>
      </c>
      <c r="C121" s="1166" t="s">
        <v>1186</v>
      </c>
      <c r="D121" s="1172"/>
      <c r="E121" s="1176"/>
      <c r="F121" s="1188"/>
      <c r="G121" s="1307"/>
      <c r="H121" s="1176"/>
      <c r="I121" s="1188"/>
      <c r="J121" s="1307"/>
      <c r="K121" s="1176"/>
      <c r="L121" s="1174"/>
      <c r="M121" s="1308"/>
      <c r="N121" s="1309"/>
      <c r="O121" s="1178"/>
    </row>
    <row r="122" spans="2:16" s="1123" customFormat="1" ht="21.9" customHeight="1" x14ac:dyDescent="0.25">
      <c r="B122" s="1170">
        <v>4.0999999999999996</v>
      </c>
      <c r="C122" s="1199" t="s">
        <v>372</v>
      </c>
      <c r="D122" s="1172"/>
      <c r="E122" s="1176"/>
      <c r="F122" s="1201"/>
      <c r="G122" s="1307"/>
      <c r="H122" s="1176"/>
      <c r="I122" s="1201"/>
      <c r="J122" s="1307"/>
      <c r="K122" s="1176"/>
      <c r="L122" s="1174"/>
      <c r="M122" s="1308"/>
      <c r="N122" s="1309"/>
      <c r="O122" s="1178"/>
    </row>
    <row r="123" spans="2:16" s="1123" customFormat="1" ht="21.9" customHeight="1" x14ac:dyDescent="0.25">
      <c r="B123" s="1170"/>
      <c r="C123" s="1206" t="s">
        <v>137</v>
      </c>
      <c r="D123" s="1172" t="s">
        <v>1134</v>
      </c>
      <c r="E123" s="1176" t="str">
        <f>OP1_CI!M112</f>
        <v>-</v>
      </c>
      <c r="F123" s="1188">
        <f>OP1_CI!G112</f>
        <v>0</v>
      </c>
      <c r="G123" s="1307">
        <f>OP1_CI!N112</f>
        <v>0</v>
      </c>
      <c r="H123" s="1176" t="str">
        <f>OP1_CI!O112</f>
        <v>-</v>
      </c>
      <c r="I123" s="1174">
        <f t="shared" ref="I123:I127" si="37">F123</f>
        <v>0</v>
      </c>
      <c r="J123" s="1307">
        <f>OP1_CI!P112</f>
        <v>0</v>
      </c>
      <c r="K123" s="1176" t="str">
        <f>OP1_CI!Y112</f>
        <v>-</v>
      </c>
      <c r="L123" s="1174">
        <f>F123</f>
        <v>0</v>
      </c>
      <c r="M123" s="1308">
        <f>OP1_CI!Z112</f>
        <v>0</v>
      </c>
      <c r="N123" s="1309">
        <f t="shared" ref="N123:N127" si="38">G123+J123+M123</f>
        <v>0</v>
      </c>
      <c r="O123" s="1178"/>
    </row>
    <row r="124" spans="2:16" s="1123" customFormat="1" ht="21.9" customHeight="1" x14ac:dyDescent="0.25">
      <c r="B124" s="1170"/>
      <c r="C124" s="1206" t="s">
        <v>1014</v>
      </c>
      <c r="D124" s="1172" t="s">
        <v>1134</v>
      </c>
      <c r="E124" s="1176" t="str">
        <f>OP1_CI!M113</f>
        <v>-</v>
      </c>
      <c r="F124" s="1188">
        <f>OP1_CI!G113</f>
        <v>0</v>
      </c>
      <c r="G124" s="1307">
        <f>OP1_CI!N113</f>
        <v>0</v>
      </c>
      <c r="H124" s="1176" t="str">
        <f>OP1_CI!O113</f>
        <v>-</v>
      </c>
      <c r="I124" s="1174">
        <f t="shared" si="37"/>
        <v>0</v>
      </c>
      <c r="J124" s="1307">
        <f>OP1_CI!P113</f>
        <v>0</v>
      </c>
      <c r="K124" s="1176" t="str">
        <f>OP1_CI!Y113</f>
        <v>-</v>
      </c>
      <c r="L124" s="1174">
        <f>F124</f>
        <v>0</v>
      </c>
      <c r="M124" s="1308">
        <f>OP1_CI!Z113</f>
        <v>0</v>
      </c>
      <c r="N124" s="1309">
        <f t="shared" si="38"/>
        <v>0</v>
      </c>
      <c r="O124" s="1178"/>
    </row>
    <row r="125" spans="2:16" s="1123" customFormat="1" ht="21.9" customHeight="1" x14ac:dyDescent="0.25">
      <c r="B125" s="1170"/>
      <c r="C125" s="1206" t="s">
        <v>1180</v>
      </c>
      <c r="D125" s="1172" t="s">
        <v>1134</v>
      </c>
      <c r="E125" s="1176" t="str">
        <f>OP1_CI!M114</f>
        <v>-</v>
      </c>
      <c r="F125" s="1188">
        <f>OP1_CI!G114</f>
        <v>0</v>
      </c>
      <c r="G125" s="1307">
        <f>OP1_CI!N114</f>
        <v>0</v>
      </c>
      <c r="H125" s="1176" t="str">
        <f>OP1_CI!O114</f>
        <v>-</v>
      </c>
      <c r="I125" s="1174">
        <f t="shared" si="37"/>
        <v>0</v>
      </c>
      <c r="J125" s="1307">
        <f>OP1_CI!P114</f>
        <v>0</v>
      </c>
      <c r="K125" s="1176" t="str">
        <f>OP1_CI!Y114</f>
        <v>-</v>
      </c>
      <c r="L125" s="1174">
        <f>F125</f>
        <v>0</v>
      </c>
      <c r="M125" s="1308">
        <f>OP1_CI!Z114</f>
        <v>0</v>
      </c>
      <c r="N125" s="1309">
        <f t="shared" si="38"/>
        <v>0</v>
      </c>
      <c r="O125" s="1178"/>
    </row>
    <row r="126" spans="2:16" s="1123" customFormat="1" ht="21.9" customHeight="1" x14ac:dyDescent="0.25">
      <c r="B126" s="1170"/>
      <c r="C126" s="1206" t="s">
        <v>1181</v>
      </c>
      <c r="D126" s="1172" t="s">
        <v>1134</v>
      </c>
      <c r="E126" s="1176" t="str">
        <f>OP1_CI!M115</f>
        <v>-</v>
      </c>
      <c r="F126" s="1188">
        <f>OP1_CI!G115</f>
        <v>0</v>
      </c>
      <c r="G126" s="1307">
        <f>OP1_CI!N115</f>
        <v>0</v>
      </c>
      <c r="H126" s="1176" t="str">
        <f>OP1_CI!O115</f>
        <v>-</v>
      </c>
      <c r="I126" s="1174">
        <f t="shared" si="37"/>
        <v>0</v>
      </c>
      <c r="J126" s="1307">
        <f>OP1_CI!P115</f>
        <v>0</v>
      </c>
      <c r="K126" s="1176" t="str">
        <f>OP1_CI!Y115</f>
        <v>-</v>
      </c>
      <c r="L126" s="1174">
        <f>F126</f>
        <v>0</v>
      </c>
      <c r="M126" s="1308">
        <f>OP1_CI!Z115</f>
        <v>0</v>
      </c>
      <c r="N126" s="1309">
        <f t="shared" si="38"/>
        <v>0</v>
      </c>
      <c r="O126" s="1178"/>
    </row>
    <row r="127" spans="2:16" s="1123" customFormat="1" ht="21.9" customHeight="1" x14ac:dyDescent="0.25">
      <c r="B127" s="1170"/>
      <c r="C127" s="1206" t="s">
        <v>353</v>
      </c>
      <c r="D127" s="1172" t="s">
        <v>1134</v>
      </c>
      <c r="E127" s="1176">
        <f>OP1_CI!M116</f>
        <v>30</v>
      </c>
      <c r="F127" s="1188">
        <f>OP1_CI!G116</f>
        <v>0</v>
      </c>
      <c r="G127" s="1307">
        <f>OP1_CI!N116</f>
        <v>0</v>
      </c>
      <c r="H127" s="1176">
        <f>OP1_CI!O116</f>
        <v>21.428571428571431</v>
      </c>
      <c r="I127" s="1174">
        <f t="shared" si="37"/>
        <v>0</v>
      </c>
      <c r="J127" s="1307">
        <f>OP1_CI!P116</f>
        <v>0</v>
      </c>
      <c r="K127" s="1176">
        <f>OP1_CI!Y116</f>
        <v>7.1428571428571432</v>
      </c>
      <c r="L127" s="1174">
        <f>F127</f>
        <v>0</v>
      </c>
      <c r="M127" s="1308">
        <f>OP1_CI!Z116</f>
        <v>0</v>
      </c>
      <c r="N127" s="1309">
        <f t="shared" si="38"/>
        <v>0</v>
      </c>
      <c r="O127" s="1178"/>
    </row>
    <row r="128" spans="2:16" s="1128" customFormat="1" ht="21.9" customHeight="1" x14ac:dyDescent="0.25">
      <c r="B128" s="1170">
        <v>4.2</v>
      </c>
      <c r="C128" s="1199" t="s">
        <v>1187</v>
      </c>
      <c r="D128" s="1172"/>
      <c r="E128" s="1176"/>
      <c r="F128" s="1188"/>
      <c r="G128" s="1307"/>
      <c r="H128" s="1176"/>
      <c r="I128" s="1188"/>
      <c r="J128" s="1307"/>
      <c r="K128" s="1176"/>
      <c r="L128" s="1174"/>
      <c r="M128" s="1308"/>
      <c r="N128" s="1309"/>
      <c r="O128" s="1178"/>
      <c r="P128" s="1123"/>
    </row>
    <row r="129" spans="2:16" s="1128" customFormat="1" ht="21.9" customHeight="1" x14ac:dyDescent="0.25">
      <c r="B129" s="1170"/>
      <c r="C129" s="1199" t="s">
        <v>1184</v>
      </c>
      <c r="D129" s="1172" t="s">
        <v>138</v>
      </c>
      <c r="E129" s="1176">
        <f>OP1_CI!M118</f>
        <v>30</v>
      </c>
      <c r="F129" s="1188">
        <f>OP1_CI!G118</f>
        <v>0</v>
      </c>
      <c r="G129" s="1307">
        <f>OP1_CI!N118</f>
        <v>0</v>
      </c>
      <c r="H129" s="1176">
        <f>OP1_CI!O118</f>
        <v>27.428571428571431</v>
      </c>
      <c r="I129" s="1174">
        <f t="shared" ref="I129:I130" si="39">F129</f>
        <v>0</v>
      </c>
      <c r="J129" s="1307">
        <f>OP1_CI!P118</f>
        <v>0</v>
      </c>
      <c r="K129" s="1176">
        <f>OP1_CI!Y118</f>
        <v>21.142857142857142</v>
      </c>
      <c r="L129" s="1174">
        <f>F129</f>
        <v>0</v>
      </c>
      <c r="M129" s="1308">
        <f>OP1_CI!Z118</f>
        <v>0</v>
      </c>
      <c r="N129" s="1309">
        <f t="shared" ref="N129:N130" si="40">G129+J129+M129</f>
        <v>0</v>
      </c>
      <c r="O129" s="1178"/>
      <c r="P129" s="1123"/>
    </row>
    <row r="130" spans="2:16" s="1128" customFormat="1" ht="21.9" customHeight="1" x14ac:dyDescent="0.25">
      <c r="B130" s="1170"/>
      <c r="C130" s="1199" t="s">
        <v>1185</v>
      </c>
      <c r="D130" s="1172" t="s">
        <v>138</v>
      </c>
      <c r="E130" s="1176">
        <f>OP1_CI!M119</f>
        <v>12</v>
      </c>
      <c r="F130" s="1188">
        <f>OP1_CI!G119</f>
        <v>0</v>
      </c>
      <c r="G130" s="1307">
        <f>OP1_CI!N119</f>
        <v>0</v>
      </c>
      <c r="H130" s="1176">
        <f>OP1_CI!O119</f>
        <v>11.571428571428571</v>
      </c>
      <c r="I130" s="1174">
        <f t="shared" si="39"/>
        <v>0</v>
      </c>
      <c r="J130" s="1307">
        <f>OP1_CI!P119</f>
        <v>0</v>
      </c>
      <c r="K130" s="1176">
        <f>OP1_CI!Y119</f>
        <v>9.8571428571428577</v>
      </c>
      <c r="L130" s="1174">
        <f>F130</f>
        <v>0</v>
      </c>
      <c r="M130" s="1308">
        <f>OP1_CI!Z119</f>
        <v>0</v>
      </c>
      <c r="N130" s="1309">
        <f t="shared" si="40"/>
        <v>0</v>
      </c>
      <c r="O130" s="1178"/>
      <c r="P130" s="1123"/>
    </row>
    <row r="131" spans="2:16" s="1128" customFormat="1" ht="21.9" customHeight="1" x14ac:dyDescent="0.25">
      <c r="B131" s="1170"/>
      <c r="C131" s="1199"/>
      <c r="D131" s="1172"/>
      <c r="E131" s="1176"/>
      <c r="F131" s="1188"/>
      <c r="G131" s="1307"/>
      <c r="H131" s="1176"/>
      <c r="I131" s="1188"/>
      <c r="J131" s="1307"/>
      <c r="K131" s="1176"/>
      <c r="L131" s="1174"/>
      <c r="M131" s="1308"/>
      <c r="N131" s="1309"/>
      <c r="O131" s="1178"/>
      <c r="P131" s="1123"/>
    </row>
    <row r="132" spans="2:16" s="1128" customFormat="1" ht="21.9" customHeight="1" x14ac:dyDescent="0.25">
      <c r="B132" s="1157">
        <v>5</v>
      </c>
      <c r="C132" s="1166" t="s">
        <v>1188</v>
      </c>
      <c r="D132" s="1172"/>
      <c r="E132" s="1176"/>
      <c r="F132" s="1188"/>
      <c r="G132" s="1307"/>
      <c r="H132" s="1176"/>
      <c r="I132" s="1188"/>
      <c r="J132" s="1307"/>
      <c r="K132" s="1176"/>
      <c r="L132" s="1174"/>
      <c r="M132" s="1308"/>
      <c r="N132" s="1309"/>
      <c r="O132" s="1215"/>
      <c r="P132" s="1123"/>
    </row>
    <row r="133" spans="2:16" s="1128" customFormat="1" ht="21.9" customHeight="1" x14ac:dyDescent="0.25">
      <c r="B133" s="1170">
        <v>5.0999999999999996</v>
      </c>
      <c r="C133" s="1209" t="s">
        <v>1189</v>
      </c>
      <c r="D133" s="1172" t="s">
        <v>1138</v>
      </c>
      <c r="E133" s="1176" t="str">
        <f>OP1_CI!M121</f>
        <v>-</v>
      </c>
      <c r="F133" s="1188">
        <f>OP1_CI!G121</f>
        <v>6300</v>
      </c>
      <c r="G133" s="1307">
        <f>OP1_CI!N121</f>
        <v>0</v>
      </c>
      <c r="H133" s="1176" t="str">
        <f>OP1_CI!O121</f>
        <v>-</v>
      </c>
      <c r="I133" s="1174">
        <f t="shared" ref="I133:I134" si="41">F133</f>
        <v>6300</v>
      </c>
      <c r="J133" s="1307">
        <f>OP1_CI!P121</f>
        <v>0</v>
      </c>
      <c r="K133" s="1176" t="str">
        <f>OP1_CI!Y121</f>
        <v>-</v>
      </c>
      <c r="L133" s="1188">
        <f>F133</f>
        <v>6300</v>
      </c>
      <c r="M133" s="1308">
        <f>OP1_CI!Z121</f>
        <v>0</v>
      </c>
      <c r="N133" s="1309">
        <f t="shared" ref="N133:N134" si="42">G133+J133+M133</f>
        <v>0</v>
      </c>
      <c r="O133" s="1215"/>
      <c r="P133" s="1123"/>
    </row>
    <row r="134" spans="2:16" s="1128" customFormat="1" ht="21.9" customHeight="1" x14ac:dyDescent="0.25">
      <c r="B134" s="1170">
        <v>5.2</v>
      </c>
      <c r="C134" s="1221" t="s">
        <v>836</v>
      </c>
      <c r="D134" s="1172" t="s">
        <v>1070</v>
      </c>
      <c r="E134" s="1176">
        <f>OP1_CI!M122</f>
        <v>24</v>
      </c>
      <c r="F134" s="1188">
        <f>OP1_CI!G122</f>
        <v>0</v>
      </c>
      <c r="G134" s="1307">
        <f>OP1_CI!N122</f>
        <v>0</v>
      </c>
      <c r="H134" s="1176">
        <f>OP1_CI!O122</f>
        <v>17.142857142857142</v>
      </c>
      <c r="I134" s="1174">
        <f t="shared" si="41"/>
        <v>0</v>
      </c>
      <c r="J134" s="1307">
        <f>OP1_CI!P122</f>
        <v>0</v>
      </c>
      <c r="K134" s="1176">
        <f>OP1_CI!Y122</f>
        <v>5.7142857142857144</v>
      </c>
      <c r="L134" s="1188">
        <f>F134</f>
        <v>0</v>
      </c>
      <c r="M134" s="1308">
        <f>OP1_CI!Z122</f>
        <v>0</v>
      </c>
      <c r="N134" s="1309">
        <f t="shared" si="42"/>
        <v>0</v>
      </c>
      <c r="O134" s="1215"/>
      <c r="P134" s="1123"/>
    </row>
    <row r="135" spans="2:16" s="1128" customFormat="1" ht="21.9" customHeight="1" x14ac:dyDescent="0.25">
      <c r="B135" s="1170"/>
      <c r="C135" s="1199"/>
      <c r="D135" s="1172"/>
      <c r="E135" s="1176"/>
      <c r="F135" s="1188"/>
      <c r="G135" s="1307"/>
      <c r="H135" s="1176"/>
      <c r="I135" s="1188"/>
      <c r="J135" s="1307"/>
      <c r="K135" s="1176"/>
      <c r="L135" s="1174"/>
      <c r="M135" s="1308"/>
      <c r="N135" s="1318"/>
      <c r="O135" s="1178"/>
      <c r="P135" s="1123"/>
    </row>
    <row r="136" spans="2:16" s="1139" customFormat="1" ht="21.9" customHeight="1" thickBot="1" x14ac:dyDescent="0.3">
      <c r="B136" s="1190" t="s">
        <v>1190</v>
      </c>
      <c r="C136" s="1191"/>
      <c r="D136" s="1192"/>
      <c r="E136" s="1196"/>
      <c r="F136" s="1224"/>
      <c r="G136" s="1321">
        <f>SUM(G95:G135)</f>
        <v>2853</v>
      </c>
      <c r="H136" s="1196"/>
      <c r="I136" s="1224"/>
      <c r="J136" s="1319">
        <f>SUM(J95:J135)</f>
        <v>2038</v>
      </c>
      <c r="K136" s="1333"/>
      <c r="L136" s="1197"/>
      <c r="M136" s="1321">
        <f>SUM(M95:M135)</f>
        <v>680</v>
      </c>
      <c r="N136" s="1321">
        <f>SUM(N95:N135)</f>
        <v>5571</v>
      </c>
      <c r="O136" s="1198"/>
      <c r="P136" s="1138"/>
    </row>
    <row r="137" spans="2:16" s="1128" customFormat="1" ht="21.9" customHeight="1" x14ac:dyDescent="0.25">
      <c r="B137" s="1210"/>
      <c r="C137" s="1199"/>
      <c r="D137" s="1172"/>
      <c r="E137" s="1176"/>
      <c r="F137" s="1188"/>
      <c r="G137" s="1307"/>
      <c r="H137" s="1176"/>
      <c r="I137" s="1188"/>
      <c r="J137" s="1307"/>
      <c r="K137" s="1176"/>
      <c r="L137" s="1174"/>
      <c r="M137" s="1308"/>
      <c r="N137" s="1331"/>
      <c r="O137" s="1178"/>
      <c r="P137" s="1123"/>
    </row>
    <row r="138" spans="2:16" s="1139" customFormat="1" ht="21.9" customHeight="1" x14ac:dyDescent="0.25">
      <c r="B138" s="1157" t="s">
        <v>1191</v>
      </c>
      <c r="C138" s="1158" t="s">
        <v>1192</v>
      </c>
      <c r="D138" s="1159"/>
      <c r="E138" s="1203"/>
      <c r="F138" s="1201"/>
      <c r="G138" s="1323"/>
      <c r="H138" s="1203"/>
      <c r="I138" s="1201"/>
      <c r="J138" s="1323"/>
      <c r="K138" s="1203"/>
      <c r="L138" s="1204"/>
      <c r="M138" s="1324"/>
      <c r="N138" s="1329"/>
      <c r="O138" s="1165"/>
      <c r="P138" s="1138"/>
    </row>
    <row r="139" spans="2:16" s="1139" customFormat="1" ht="21.9" customHeight="1" x14ac:dyDescent="0.25">
      <c r="B139" s="1157">
        <v>1</v>
      </c>
      <c r="C139" s="1166" t="s">
        <v>1193</v>
      </c>
      <c r="D139" s="1159"/>
      <c r="E139" s="1203"/>
      <c r="F139" s="1201"/>
      <c r="G139" s="1323"/>
      <c r="H139" s="1203"/>
      <c r="I139" s="1201"/>
      <c r="J139" s="1323"/>
      <c r="K139" s="1203"/>
      <c r="L139" s="1204"/>
      <c r="M139" s="1324"/>
      <c r="N139" s="1329"/>
      <c r="O139" s="1165"/>
      <c r="P139" s="1138"/>
    </row>
    <row r="140" spans="2:16" s="1128" customFormat="1" ht="21.9" customHeight="1" x14ac:dyDescent="0.25">
      <c r="B140" s="1170">
        <v>1.1000000000000001</v>
      </c>
      <c r="C140" s="1199" t="s">
        <v>1194</v>
      </c>
      <c r="D140" s="1172" t="s">
        <v>1124</v>
      </c>
      <c r="E140" s="1173">
        <f>OP1_CI!M124</f>
        <v>240</v>
      </c>
      <c r="F140" s="1188">
        <f>OP1_CI!G124</f>
        <v>0</v>
      </c>
      <c r="G140" s="1307">
        <f>OP1_CI!N124</f>
        <v>0</v>
      </c>
      <c r="H140" s="1173" t="str">
        <f>OP1_CI!O124</f>
        <v>-</v>
      </c>
      <c r="I140" s="1174">
        <f t="shared" ref="I140" si="43">F140</f>
        <v>0</v>
      </c>
      <c r="J140" s="1307">
        <f>OP1_CI!P124</f>
        <v>0</v>
      </c>
      <c r="K140" s="1176" t="s">
        <v>98</v>
      </c>
      <c r="L140" s="1174">
        <f>F140</f>
        <v>0</v>
      </c>
      <c r="M140" s="1308">
        <f>OP1_CI!Z124</f>
        <v>0</v>
      </c>
      <c r="N140" s="1309">
        <f t="shared" ref="N140" si="44">G140+J140+M140</f>
        <v>0</v>
      </c>
      <c r="O140" s="1165"/>
      <c r="P140" s="1123"/>
    </row>
    <row r="141" spans="2:16" s="1128" customFormat="1" ht="21.9" customHeight="1" x14ac:dyDescent="0.25">
      <c r="B141" s="1228"/>
      <c r="C141" s="1229"/>
      <c r="D141" s="1230"/>
      <c r="E141" s="1233"/>
      <c r="F141" s="1232"/>
      <c r="G141" s="1340"/>
      <c r="H141" s="1233"/>
      <c r="I141" s="1232"/>
      <c r="J141" s="1340"/>
      <c r="K141" s="1233"/>
      <c r="L141" s="1234"/>
      <c r="M141" s="1308"/>
      <c r="N141" s="1341"/>
      <c r="O141" s="1235"/>
      <c r="P141" s="1123"/>
    </row>
    <row r="142" spans="2:16" s="1139" customFormat="1" ht="21.9" customHeight="1" thickBot="1" x14ac:dyDescent="0.3">
      <c r="B142" s="1190" t="s">
        <v>1195</v>
      </c>
      <c r="C142" s="1191"/>
      <c r="D142" s="1342"/>
      <c r="E142" s="1343"/>
      <c r="F142" s="1344"/>
      <c r="G142" s="1321">
        <f>SUM(G138:G141)</f>
        <v>0</v>
      </c>
      <c r="H142" s="1193"/>
      <c r="I142" s="1344"/>
      <c r="J142" s="1319">
        <f>SUM(J138:J141)</f>
        <v>0</v>
      </c>
      <c r="K142" s="1193"/>
      <c r="L142" s="1345"/>
      <c r="M142" s="1321">
        <f>SUM(M138:M141)</f>
        <v>0</v>
      </c>
      <c r="N142" s="1321">
        <f>SUM(N138:N141)</f>
        <v>0</v>
      </c>
      <c r="O142" s="1238"/>
      <c r="P142" s="1138"/>
    </row>
    <row r="143" spans="2:16" s="1139" customFormat="1" ht="21.9" customHeight="1" thickBot="1" x14ac:dyDescent="0.3">
      <c r="B143" s="1239" t="s">
        <v>1196</v>
      </c>
      <c r="C143" s="1240"/>
      <c r="D143" s="1346"/>
      <c r="E143" s="1347"/>
      <c r="F143" s="1243"/>
      <c r="G143" s="1349">
        <f>G20+G93+G136+G142</f>
        <v>6981</v>
      </c>
      <c r="H143" s="1242"/>
      <c r="I143" s="1243"/>
      <c r="J143" s="1348">
        <f>J20+J93+J136+J142</f>
        <v>7247</v>
      </c>
      <c r="K143" s="1242"/>
      <c r="L143" s="1245"/>
      <c r="M143" s="1349">
        <f>M20+M93+M136+M142</f>
        <v>7071</v>
      </c>
      <c r="N143" s="1349">
        <f>N20+N93+N136+N142</f>
        <v>21299</v>
      </c>
      <c r="O143" s="1246"/>
      <c r="P143" s="1247"/>
    </row>
    <row r="144" spans="2:16" s="1128" customFormat="1" ht="21.9" customHeight="1" x14ac:dyDescent="0.25">
      <c r="B144" s="1248" t="s">
        <v>1197</v>
      </c>
      <c r="C144" s="1249"/>
      <c r="D144" s="1249"/>
      <c r="E144" s="1250"/>
      <c r="F144" s="1250"/>
      <c r="G144" s="1250"/>
      <c r="H144" s="1250"/>
      <c r="I144" s="1250"/>
      <c r="J144" s="1250"/>
      <c r="K144" s="1250"/>
      <c r="L144" s="1250"/>
      <c r="M144" s="1250"/>
      <c r="N144" s="1249"/>
      <c r="O144" s="1251"/>
      <c r="P144" s="1123"/>
    </row>
    <row r="145" spans="2:16" s="1128" customFormat="1" ht="21.9" customHeight="1" x14ac:dyDescent="0.25">
      <c r="B145" s="1252" t="s">
        <v>1198</v>
      </c>
      <c r="D145" s="1123"/>
      <c r="E145" s="1253"/>
      <c r="F145" s="1253"/>
      <c r="G145" s="1253"/>
      <c r="H145" s="1253"/>
      <c r="I145" s="1253"/>
      <c r="J145" s="1253"/>
      <c r="K145" s="1123"/>
      <c r="L145" s="1123"/>
      <c r="M145" s="1123"/>
      <c r="N145" s="1123"/>
      <c r="O145" s="1255"/>
      <c r="P145" s="1123"/>
    </row>
    <row r="146" spans="2:16" s="1128" customFormat="1" ht="21.9" customHeight="1" x14ac:dyDescent="0.25">
      <c r="B146" s="1252"/>
      <c r="D146" s="1123"/>
      <c r="E146" s="1253"/>
      <c r="F146" s="1253"/>
      <c r="G146" s="1253"/>
      <c r="H146" s="1253"/>
      <c r="I146" s="1253"/>
      <c r="J146" s="1253"/>
      <c r="K146" s="1253"/>
      <c r="L146" s="1253"/>
      <c r="M146" s="1253"/>
      <c r="N146" s="1123"/>
      <c r="O146" s="1255"/>
      <c r="P146" s="1123"/>
    </row>
    <row r="147" spans="2:16" s="1128" customFormat="1" ht="21.9" customHeight="1" thickBot="1" x14ac:dyDescent="0.3">
      <c r="B147" s="1256"/>
      <c r="C147" s="1257"/>
      <c r="D147" s="1257"/>
      <c r="E147" s="1258"/>
      <c r="F147" s="1258"/>
      <c r="G147" s="1258"/>
      <c r="H147" s="1258"/>
      <c r="I147" s="1258"/>
      <c r="J147" s="1258"/>
      <c r="K147" s="1258"/>
      <c r="L147" s="1258"/>
      <c r="M147" s="1258"/>
      <c r="N147" s="1257"/>
      <c r="O147" s="1259"/>
      <c r="P147" s="1123"/>
    </row>
    <row r="148" spans="2:16" s="1128" customFormat="1" ht="9.9" customHeight="1" x14ac:dyDescent="0.25">
      <c r="B148" s="1123"/>
      <c r="C148" s="1124"/>
      <c r="D148" s="1124"/>
      <c r="E148" s="1253"/>
      <c r="F148" s="1253"/>
      <c r="G148" s="1253"/>
      <c r="H148" s="1253"/>
      <c r="I148" s="1253"/>
      <c r="J148" s="1253"/>
      <c r="K148" s="1253"/>
      <c r="L148" s="1253"/>
      <c r="M148" s="1253"/>
      <c r="N148" s="1123"/>
      <c r="O148" s="1123"/>
      <c r="P148" s="1123"/>
    </row>
    <row r="149" spans="2:16" s="1128" customFormat="1" ht="21.9" customHeight="1" x14ac:dyDescent="0.25">
      <c r="B149" s="1123"/>
      <c r="C149" s="1260"/>
      <c r="D149" s="1261" t="s">
        <v>1199</v>
      </c>
      <c r="E149" s="1261"/>
      <c r="F149" s="1262">
        <f>OP1_CI!F128</f>
        <v>165</v>
      </c>
      <c r="G149" s="1263"/>
      <c r="H149" s="1263"/>
      <c r="I149" s="1263"/>
      <c r="J149" s="1263"/>
      <c r="K149" s="1264"/>
      <c r="L149" s="1265"/>
      <c r="M149" s="1263"/>
      <c r="N149" s="1266"/>
      <c r="O149" s="1260"/>
      <c r="P149" s="1123"/>
    </row>
    <row r="150" spans="2:16" s="1128" customFormat="1" ht="21.9" customHeight="1" x14ac:dyDescent="0.25">
      <c r="B150" s="1123"/>
      <c r="C150" s="1260"/>
      <c r="D150" s="1261" t="s">
        <v>1200</v>
      </c>
      <c r="E150" s="1261"/>
      <c r="F150" s="1261">
        <f>OP1_CI!N129</f>
        <v>42.309090909090912</v>
      </c>
      <c r="G150" s="1267"/>
      <c r="H150" s="1261" t="s">
        <v>1224</v>
      </c>
      <c r="I150" s="1267"/>
      <c r="J150" s="1261">
        <f>OP1_CI!P129</f>
        <v>43.921212121212122</v>
      </c>
      <c r="K150" s="1266"/>
      <c r="L150" s="1261" t="s">
        <v>1201</v>
      </c>
      <c r="M150" s="1265"/>
      <c r="N150" s="1265">
        <f>OP1_CI!Z129</f>
        <v>42.854545454545452</v>
      </c>
      <c r="O150" s="1261">
        <f>SUM(F150,J150,N150)</f>
        <v>129.08484848484849</v>
      </c>
      <c r="P150" s="1123"/>
    </row>
    <row r="151" spans="2:16" s="1128" customFormat="1" ht="21.9" customHeight="1" x14ac:dyDescent="0.25">
      <c r="B151" s="1123"/>
      <c r="C151" s="1260"/>
      <c r="D151" s="1261" t="s">
        <v>1202</v>
      </c>
      <c r="E151" s="1261"/>
      <c r="F151" s="1261">
        <f>OP1_CI!F129</f>
        <v>12</v>
      </c>
      <c r="G151" s="1268" t="s">
        <v>1203</v>
      </c>
      <c r="H151" s="1267" t="s">
        <v>1225</v>
      </c>
      <c r="I151" s="1267"/>
      <c r="J151" s="1350">
        <f>OP1_CI!F132</f>
        <v>57000</v>
      </c>
      <c r="K151" s="1270" t="s">
        <v>1099</v>
      </c>
      <c r="L151" s="1261" t="s">
        <v>1204</v>
      </c>
      <c r="M151" s="1350"/>
      <c r="N151" s="1350">
        <f>OP1_CI!F131</f>
        <v>39000</v>
      </c>
      <c r="O151" s="1270" t="s">
        <v>1099</v>
      </c>
      <c r="P151" s="1123"/>
    </row>
    <row r="152" spans="2:16" s="1128" customFormat="1" ht="21.9" customHeight="1" x14ac:dyDescent="0.25">
      <c r="B152" s="1123"/>
      <c r="C152" s="1260"/>
      <c r="D152" s="1261" t="s">
        <v>1205</v>
      </c>
      <c r="E152" s="1261"/>
      <c r="F152" s="1261">
        <f>OP1_CI!N130</f>
        <v>3.5257575757575759</v>
      </c>
      <c r="G152" s="1268" t="s">
        <v>118</v>
      </c>
      <c r="H152" s="1267" t="s">
        <v>1226</v>
      </c>
      <c r="I152" s="1351">
        <f>J143*J151</f>
        <v>413079000</v>
      </c>
      <c r="J152" s="1351"/>
      <c r="K152" s="1270" t="s">
        <v>1099</v>
      </c>
      <c r="L152" s="1261" t="s">
        <v>1206</v>
      </c>
      <c r="M152" s="1351">
        <f>M143*N151</f>
        <v>275769000</v>
      </c>
      <c r="N152" s="1351"/>
      <c r="O152" s="1270" t="s">
        <v>1099</v>
      </c>
      <c r="P152" s="1123"/>
    </row>
    <row r="153" spans="2:16" s="1128" customFormat="1" ht="9.9" customHeight="1" x14ac:dyDescent="0.25">
      <c r="B153" s="1123"/>
      <c r="C153" s="1123"/>
      <c r="D153" s="1123"/>
      <c r="E153" s="1272"/>
      <c r="F153" s="1272"/>
      <c r="G153" s="1272"/>
      <c r="H153" s="1272"/>
      <c r="I153" s="1272"/>
      <c r="J153" s="1272"/>
      <c r="K153" s="1272"/>
      <c r="L153" s="1272"/>
      <c r="M153" s="1272"/>
      <c r="N153" s="1273"/>
      <c r="O153" s="1123"/>
      <c r="P153" s="1123"/>
    </row>
    <row r="154" spans="2:16" s="1128" customFormat="1" ht="20.100000000000001" customHeight="1" x14ac:dyDescent="0.25">
      <c r="B154" s="1123"/>
      <c r="C154" s="1123"/>
      <c r="D154" s="1123"/>
      <c r="E154" s="1275"/>
      <c r="F154" s="1275"/>
      <c r="G154" s="1275"/>
      <c r="H154" s="1275"/>
      <c r="I154" s="1275"/>
      <c r="J154" s="1275"/>
      <c r="K154" s="1253"/>
      <c r="L154" s="1253"/>
      <c r="M154" s="1253"/>
      <c r="N154" s="1253"/>
      <c r="O154" s="1123"/>
      <c r="P154" s="1123"/>
    </row>
    <row r="155" spans="2:16" s="1128" customFormat="1" ht="20.100000000000001" customHeight="1" x14ac:dyDescent="0.25">
      <c r="B155" s="1123"/>
      <c r="C155" s="1123"/>
      <c r="D155" s="1123"/>
      <c r="E155" s="1275"/>
      <c r="F155" s="1275"/>
      <c r="G155" s="1275"/>
      <c r="H155" s="1275"/>
      <c r="I155" s="1275"/>
      <c r="J155" s="1275"/>
      <c r="K155" s="1286"/>
      <c r="L155" s="1286"/>
      <c r="M155" s="1286"/>
      <c r="N155" s="1274"/>
      <c r="O155" s="1123"/>
      <c r="P155" s="1123"/>
    </row>
    <row r="156" spans="2:16" s="1128" customFormat="1" ht="20.100000000000001" customHeight="1" x14ac:dyDescent="0.25">
      <c r="B156" s="1123"/>
      <c r="C156" s="1123"/>
      <c r="D156" s="1123"/>
      <c r="E156" s="1275"/>
      <c r="F156" s="1275"/>
      <c r="G156" s="1275"/>
      <c r="H156" s="1275"/>
      <c r="I156" s="1275"/>
      <c r="J156" s="1275"/>
      <c r="K156" s="1286"/>
      <c r="L156" s="1286"/>
      <c r="M156" s="1286"/>
      <c r="N156" s="1352"/>
      <c r="O156" s="1123"/>
      <c r="P156" s="1123"/>
    </row>
    <row r="157" spans="2:16" s="1128" customFormat="1" ht="20.100000000000001" customHeight="1" x14ac:dyDescent="0.25">
      <c r="B157" s="1123"/>
      <c r="C157" s="1123"/>
      <c r="D157" s="1123"/>
      <c r="E157" s="1275"/>
      <c r="F157" s="1275"/>
      <c r="G157" s="1275"/>
      <c r="H157" s="1275"/>
      <c r="I157" s="1275"/>
      <c r="J157" s="1275"/>
      <c r="K157" s="1286"/>
      <c r="L157" s="1286"/>
      <c r="M157" s="1286"/>
      <c r="N157" s="1352"/>
      <c r="O157" s="1123"/>
      <c r="P157" s="1123"/>
    </row>
    <row r="158" spans="2:16" s="1128" customFormat="1" ht="20.100000000000001" customHeight="1" x14ac:dyDescent="0.25">
      <c r="B158" s="1123"/>
      <c r="C158" s="1123"/>
      <c r="D158" s="1123"/>
      <c r="E158" s="1253"/>
      <c r="F158" s="1253"/>
      <c r="G158" s="1253"/>
      <c r="H158" s="1253"/>
      <c r="I158" s="1253"/>
      <c r="J158" s="1253"/>
      <c r="K158" s="1286"/>
      <c r="L158" s="1286"/>
      <c r="M158" s="1286"/>
      <c r="N158" s="1352"/>
      <c r="O158" s="1123"/>
      <c r="P158" s="1123"/>
    </row>
    <row r="159" spans="2:16" s="1128" customFormat="1" ht="20.100000000000001" customHeight="1" x14ac:dyDescent="0.25">
      <c r="B159" s="1123"/>
      <c r="C159" s="1123"/>
      <c r="D159" s="1123"/>
      <c r="E159" s="1253"/>
      <c r="F159" s="1253"/>
      <c r="G159" s="1253"/>
      <c r="H159" s="1253"/>
      <c r="I159" s="1253"/>
      <c r="J159" s="1253"/>
      <c r="K159" s="1286"/>
      <c r="L159" s="1286"/>
      <c r="M159" s="1286"/>
      <c r="N159" s="1352"/>
      <c r="O159" s="1123"/>
      <c r="P159" s="1123"/>
    </row>
    <row r="160" spans="2:16" s="1128" customFormat="1" ht="20.100000000000001" customHeight="1" x14ac:dyDescent="0.25">
      <c r="B160" s="1123"/>
      <c r="C160" s="1123"/>
      <c r="D160" s="1123"/>
      <c r="E160" s="1253"/>
      <c r="F160" s="1253"/>
      <c r="G160" s="1253"/>
      <c r="H160" s="1253"/>
      <c r="I160" s="1253"/>
      <c r="J160" s="1253"/>
      <c r="K160" s="1286"/>
      <c r="L160" s="1286"/>
      <c r="M160" s="1286"/>
      <c r="N160" s="1352"/>
      <c r="O160" s="1123"/>
      <c r="P160" s="1123"/>
    </row>
    <row r="161" spans="2:16" s="1128" customFormat="1" ht="20.100000000000001" customHeight="1" x14ac:dyDescent="0.25">
      <c r="B161" s="1123"/>
      <c r="C161" s="1123"/>
      <c r="D161" s="1123"/>
      <c r="E161" s="1253"/>
      <c r="F161" s="1253"/>
      <c r="G161" s="1253"/>
      <c r="H161" s="1253"/>
      <c r="I161" s="1253"/>
      <c r="J161" s="1253"/>
      <c r="K161" s="1286"/>
      <c r="L161" s="1286"/>
      <c r="M161" s="1286"/>
      <c r="N161" s="1352"/>
      <c r="O161" s="1123"/>
      <c r="P161" s="1123"/>
    </row>
    <row r="162" spans="2:16" s="1128" customFormat="1" ht="20.100000000000001" customHeight="1" x14ac:dyDescent="0.25">
      <c r="B162" s="1123"/>
      <c r="C162" s="1123"/>
      <c r="D162" s="1123"/>
      <c r="E162" s="1253"/>
      <c r="F162" s="1253"/>
      <c r="G162" s="1253"/>
      <c r="H162" s="1253"/>
      <c r="I162" s="1253"/>
      <c r="J162" s="1253"/>
      <c r="K162" s="1286"/>
      <c r="L162" s="1286"/>
      <c r="M162" s="1286"/>
      <c r="N162" s="1352"/>
      <c r="O162" s="1123"/>
      <c r="P162" s="1123"/>
    </row>
    <row r="163" spans="2:16" s="1128" customFormat="1" ht="12" x14ac:dyDescent="0.25">
      <c r="B163" s="1123"/>
      <c r="C163" s="1123"/>
      <c r="D163" s="1123"/>
      <c r="E163" s="1274"/>
      <c r="F163" s="1274"/>
      <c r="G163" s="1274"/>
      <c r="H163" s="1274"/>
      <c r="I163" s="1274"/>
      <c r="J163" s="1274"/>
      <c r="K163" s="1123"/>
      <c r="L163" s="1123"/>
      <c r="M163" s="1123"/>
      <c r="N163" s="1123"/>
      <c r="O163" s="1123"/>
      <c r="P163" s="1123"/>
    </row>
    <row r="164" spans="2:16" x14ac:dyDescent="0.25">
      <c r="B164" s="1118"/>
      <c r="C164" s="1282"/>
      <c r="D164" s="1118"/>
      <c r="E164" s="1138"/>
      <c r="F164" s="1138"/>
      <c r="G164" s="1138"/>
      <c r="H164" s="1138"/>
      <c r="I164" s="1138"/>
      <c r="J164" s="1138"/>
      <c r="K164" s="1138"/>
      <c r="L164" s="1138"/>
      <c r="M164" s="1138"/>
      <c r="N164" s="1138"/>
      <c r="O164" s="1138"/>
      <c r="P164" s="1118"/>
    </row>
  </sheetData>
  <mergeCells count="6">
    <mergeCell ref="C4:C5"/>
    <mergeCell ref="D4:D5"/>
    <mergeCell ref="N4:N5"/>
    <mergeCell ref="O4:O5"/>
    <mergeCell ref="I152:J152"/>
    <mergeCell ref="M152:N152"/>
  </mergeCells>
  <printOptions gridLinesSet="0"/>
  <pageMargins left="0.55118110236220474" right="0.15748031496062992" top="0.47244094488188981" bottom="0.43307086614173229" header="0.27559055118110237" footer="0.31496062992125984"/>
  <pageSetup paperSize="9" scale="41" fitToHeight="0" orientation="portrait" r:id="rId1"/>
  <headerFooter alignWithMargins="0"/>
  <rowBreaks count="1" manualBreakCount="1">
    <brk id="84"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65E79-9287-43F7-8EC1-41BA4D07AAD4}">
  <sheetPr>
    <tabColor rgb="FF00FF00"/>
    <pageSetUpPr fitToPage="1"/>
  </sheetPr>
  <dimension ref="A1:U174"/>
  <sheetViews>
    <sheetView showGridLines="0" view="pageBreakPreview" zoomScale="85" zoomScaleNormal="100" zoomScaleSheetLayoutView="85" workbookViewId="0">
      <pane xSplit="5" ySplit="9" topLeftCell="F52" activePane="bottomRight" state="frozen"/>
      <selection activeCell="J114" sqref="J114"/>
      <selection pane="topRight" activeCell="J114" sqref="J114"/>
      <selection pane="bottomLeft" activeCell="J114" sqref="J114"/>
      <selection pane="bottomRight" activeCell="J114" sqref="J114"/>
    </sheetView>
  </sheetViews>
  <sheetFormatPr defaultColWidth="7.09765625" defaultRowHeight="12" x14ac:dyDescent="0.15"/>
  <cols>
    <col min="1" max="1" width="4.59765625" style="303" customWidth="1"/>
    <col min="2" max="2" width="7.09765625" style="303" hidden="1" customWidth="1"/>
    <col min="3" max="3" width="3" style="303" customWidth="1"/>
    <col min="4" max="4" width="40.796875" style="304" customWidth="1"/>
    <col min="5" max="5" width="5.796875" style="63" customWidth="1"/>
    <col min="6" max="6" width="6.09765625" style="63" customWidth="1"/>
    <col min="7" max="13" width="6.796875" style="63" customWidth="1"/>
    <col min="14" max="14" width="54.09765625" style="63" customWidth="1"/>
    <col min="15" max="16" width="11.19921875" style="63" customWidth="1"/>
    <col min="17" max="17" width="54.796875" style="63" customWidth="1"/>
    <col min="18" max="18" width="1.69921875" style="63" customWidth="1"/>
    <col min="19" max="19" width="1.19921875" style="63" customWidth="1"/>
    <col min="20" max="20" width="46.59765625" style="63" hidden="1" customWidth="1"/>
    <col min="21" max="205" width="7.09765625" style="63"/>
    <col min="206" max="206" width="4.796875" style="63" customWidth="1"/>
    <col min="207" max="207" width="3" style="63" customWidth="1"/>
    <col min="208" max="208" width="37.19921875" style="63" customWidth="1"/>
    <col min="209" max="211" width="5.796875" style="63" customWidth="1"/>
    <col min="212" max="213" width="7.3984375" style="63" customWidth="1"/>
    <col min="214" max="214" width="14.3984375" style="63" bestFit="1" customWidth="1"/>
    <col min="215" max="215" width="15.796875" style="63" bestFit="1" customWidth="1"/>
    <col min="216" max="216" width="10.296875" style="63" customWidth="1"/>
    <col min="217" max="217" width="7.09765625" style="63"/>
    <col min="218" max="218" width="12.3984375" style="63" bestFit="1" customWidth="1"/>
    <col min="219" max="219" width="12.69921875" style="63" bestFit="1" customWidth="1"/>
    <col min="220" max="220" width="7.796875" style="63" bestFit="1" customWidth="1"/>
    <col min="221" max="221" width="7.09765625" style="63"/>
    <col min="222" max="222" width="8.59765625" style="63" bestFit="1" customWidth="1"/>
    <col min="223" max="461" width="7.09765625" style="63"/>
    <col min="462" max="462" width="4.796875" style="63" customWidth="1"/>
    <col min="463" max="463" width="3" style="63" customWidth="1"/>
    <col min="464" max="464" width="37.19921875" style="63" customWidth="1"/>
    <col min="465" max="467" width="5.796875" style="63" customWidth="1"/>
    <col min="468" max="469" width="7.3984375" style="63" customWidth="1"/>
    <col min="470" max="470" width="14.3984375" style="63" bestFit="1" customWidth="1"/>
    <col min="471" max="471" width="15.796875" style="63" bestFit="1" customWidth="1"/>
    <col min="472" max="472" width="10.296875" style="63" customWidth="1"/>
    <col min="473" max="473" width="7.09765625" style="63"/>
    <col min="474" max="474" width="12.3984375" style="63" bestFit="1" customWidth="1"/>
    <col min="475" max="475" width="12.69921875" style="63" bestFit="1" customWidth="1"/>
    <col min="476" max="476" width="7.796875" style="63" bestFit="1" customWidth="1"/>
    <col min="477" max="477" width="7.09765625" style="63"/>
    <col min="478" max="478" width="8.59765625" style="63" bestFit="1" customWidth="1"/>
    <col min="479" max="717" width="7.09765625" style="63"/>
    <col min="718" max="718" width="4.796875" style="63" customWidth="1"/>
    <col min="719" max="719" width="3" style="63" customWidth="1"/>
    <col min="720" max="720" width="37.19921875" style="63" customWidth="1"/>
    <col min="721" max="723" width="5.796875" style="63" customWidth="1"/>
    <col min="724" max="725" width="7.3984375" style="63" customWidth="1"/>
    <col min="726" max="726" width="14.3984375" style="63" bestFit="1" customWidth="1"/>
    <col min="727" max="727" width="15.796875" style="63" bestFit="1" customWidth="1"/>
    <col min="728" max="728" width="10.296875" style="63" customWidth="1"/>
    <col min="729" max="729" width="7.09765625" style="63"/>
    <col min="730" max="730" width="12.3984375" style="63" bestFit="1" customWidth="1"/>
    <col min="731" max="731" width="12.69921875" style="63" bestFit="1" customWidth="1"/>
    <col min="732" max="732" width="7.796875" style="63" bestFit="1" customWidth="1"/>
    <col min="733" max="733" width="7.09765625" style="63"/>
    <col min="734" max="734" width="8.59765625" style="63" bestFit="1" customWidth="1"/>
    <col min="735" max="973" width="7.09765625" style="63"/>
    <col min="974" max="974" width="4.796875" style="63" customWidth="1"/>
    <col min="975" max="975" width="3" style="63" customWidth="1"/>
    <col min="976" max="976" width="37.19921875" style="63" customWidth="1"/>
    <col min="977" max="979" width="5.796875" style="63" customWidth="1"/>
    <col min="980" max="981" width="7.3984375" style="63" customWidth="1"/>
    <col min="982" max="982" width="14.3984375" style="63" bestFit="1" customWidth="1"/>
    <col min="983" max="983" width="15.796875" style="63" bestFit="1" customWidth="1"/>
    <col min="984" max="984" width="10.296875" style="63" customWidth="1"/>
    <col min="985" max="985" width="7.09765625" style="63"/>
    <col min="986" max="986" width="12.3984375" style="63" bestFit="1" customWidth="1"/>
    <col min="987" max="987" width="12.69921875" style="63" bestFit="1" customWidth="1"/>
    <col min="988" max="988" width="7.796875" style="63" bestFit="1" customWidth="1"/>
    <col min="989" max="989" width="7.09765625" style="63"/>
    <col min="990" max="990" width="8.59765625" style="63" bestFit="1" customWidth="1"/>
    <col min="991" max="1229" width="7.09765625" style="63"/>
    <col min="1230" max="1230" width="4.796875" style="63" customWidth="1"/>
    <col min="1231" max="1231" width="3" style="63" customWidth="1"/>
    <col min="1232" max="1232" width="37.19921875" style="63" customWidth="1"/>
    <col min="1233" max="1235" width="5.796875" style="63" customWidth="1"/>
    <col min="1236" max="1237" width="7.3984375" style="63" customWidth="1"/>
    <col min="1238" max="1238" width="14.3984375" style="63" bestFit="1" customWidth="1"/>
    <col min="1239" max="1239" width="15.796875" style="63" bestFit="1" customWidth="1"/>
    <col min="1240" max="1240" width="10.296875" style="63" customWidth="1"/>
    <col min="1241" max="1241" width="7.09765625" style="63"/>
    <col min="1242" max="1242" width="12.3984375" style="63" bestFit="1" customWidth="1"/>
    <col min="1243" max="1243" width="12.69921875" style="63" bestFit="1" customWidth="1"/>
    <col min="1244" max="1244" width="7.796875" style="63" bestFit="1" customWidth="1"/>
    <col min="1245" max="1245" width="7.09765625" style="63"/>
    <col min="1246" max="1246" width="8.59765625" style="63" bestFit="1" customWidth="1"/>
    <col min="1247" max="1485" width="7.09765625" style="63"/>
    <col min="1486" max="1486" width="4.796875" style="63" customWidth="1"/>
    <col min="1487" max="1487" width="3" style="63" customWidth="1"/>
    <col min="1488" max="1488" width="37.19921875" style="63" customWidth="1"/>
    <col min="1489" max="1491" width="5.796875" style="63" customWidth="1"/>
    <col min="1492" max="1493" width="7.3984375" style="63" customWidth="1"/>
    <col min="1494" max="1494" width="14.3984375" style="63" bestFit="1" customWidth="1"/>
    <col min="1495" max="1495" width="15.796875" style="63" bestFit="1" customWidth="1"/>
    <col min="1496" max="1496" width="10.296875" style="63" customWidth="1"/>
    <col min="1497" max="1497" width="7.09765625" style="63"/>
    <col min="1498" max="1498" width="12.3984375" style="63" bestFit="1" customWidth="1"/>
    <col min="1499" max="1499" width="12.69921875" style="63" bestFit="1" customWidth="1"/>
    <col min="1500" max="1500" width="7.796875" style="63" bestFit="1" customWidth="1"/>
    <col min="1501" max="1501" width="7.09765625" style="63"/>
    <col min="1502" max="1502" width="8.59765625" style="63" bestFit="1" customWidth="1"/>
    <col min="1503" max="1741" width="7.09765625" style="63"/>
    <col min="1742" max="1742" width="4.796875" style="63" customWidth="1"/>
    <col min="1743" max="1743" width="3" style="63" customWidth="1"/>
    <col min="1744" max="1744" width="37.19921875" style="63" customWidth="1"/>
    <col min="1745" max="1747" width="5.796875" style="63" customWidth="1"/>
    <col min="1748" max="1749" width="7.3984375" style="63" customWidth="1"/>
    <col min="1750" max="1750" width="14.3984375" style="63" bestFit="1" customWidth="1"/>
    <col min="1751" max="1751" width="15.796875" style="63" bestFit="1" customWidth="1"/>
    <col min="1752" max="1752" width="10.296875" style="63" customWidth="1"/>
    <col min="1753" max="1753" width="7.09765625" style="63"/>
    <col min="1754" max="1754" width="12.3984375" style="63" bestFit="1" customWidth="1"/>
    <col min="1755" max="1755" width="12.69921875" style="63" bestFit="1" customWidth="1"/>
    <col min="1756" max="1756" width="7.796875" style="63" bestFit="1" customWidth="1"/>
    <col min="1757" max="1757" width="7.09765625" style="63"/>
    <col min="1758" max="1758" width="8.59765625" style="63" bestFit="1" customWidth="1"/>
    <col min="1759" max="1997" width="7.09765625" style="63"/>
    <col min="1998" max="1998" width="4.796875" style="63" customWidth="1"/>
    <col min="1999" max="1999" width="3" style="63" customWidth="1"/>
    <col min="2000" max="2000" width="37.19921875" style="63" customWidth="1"/>
    <col min="2001" max="2003" width="5.796875" style="63" customWidth="1"/>
    <col min="2004" max="2005" width="7.3984375" style="63" customWidth="1"/>
    <col min="2006" max="2006" width="14.3984375" style="63" bestFit="1" customWidth="1"/>
    <col min="2007" max="2007" width="15.796875" style="63" bestFit="1" customWidth="1"/>
    <col min="2008" max="2008" width="10.296875" style="63" customWidth="1"/>
    <col min="2009" max="2009" width="7.09765625" style="63"/>
    <col min="2010" max="2010" width="12.3984375" style="63" bestFit="1" customWidth="1"/>
    <col min="2011" max="2011" width="12.69921875" style="63" bestFit="1" customWidth="1"/>
    <col min="2012" max="2012" width="7.796875" style="63" bestFit="1" customWidth="1"/>
    <col min="2013" max="2013" width="7.09765625" style="63"/>
    <col min="2014" max="2014" width="8.59765625" style="63" bestFit="1" customWidth="1"/>
    <col min="2015" max="2253" width="7.09765625" style="63"/>
    <col min="2254" max="2254" width="4.796875" style="63" customWidth="1"/>
    <col min="2255" max="2255" width="3" style="63" customWidth="1"/>
    <col min="2256" max="2256" width="37.19921875" style="63" customWidth="1"/>
    <col min="2257" max="2259" width="5.796875" style="63" customWidth="1"/>
    <col min="2260" max="2261" width="7.3984375" style="63" customWidth="1"/>
    <col min="2262" max="2262" width="14.3984375" style="63" bestFit="1" customWidth="1"/>
    <col min="2263" max="2263" width="15.796875" style="63" bestFit="1" customWidth="1"/>
    <col min="2264" max="2264" width="10.296875" style="63" customWidth="1"/>
    <col min="2265" max="2265" width="7.09765625" style="63"/>
    <col min="2266" max="2266" width="12.3984375" style="63" bestFit="1" customWidth="1"/>
    <col min="2267" max="2267" width="12.69921875" style="63" bestFit="1" customWidth="1"/>
    <col min="2268" max="2268" width="7.796875" style="63" bestFit="1" customWidth="1"/>
    <col min="2269" max="2269" width="7.09765625" style="63"/>
    <col min="2270" max="2270" width="8.59765625" style="63" bestFit="1" customWidth="1"/>
    <col min="2271" max="2509" width="7.09765625" style="63"/>
    <col min="2510" max="2510" width="4.796875" style="63" customWidth="1"/>
    <col min="2511" max="2511" width="3" style="63" customWidth="1"/>
    <col min="2512" max="2512" width="37.19921875" style="63" customWidth="1"/>
    <col min="2513" max="2515" width="5.796875" style="63" customWidth="1"/>
    <col min="2516" max="2517" width="7.3984375" style="63" customWidth="1"/>
    <col min="2518" max="2518" width="14.3984375" style="63" bestFit="1" customWidth="1"/>
    <col min="2519" max="2519" width="15.796875" style="63" bestFit="1" customWidth="1"/>
    <col min="2520" max="2520" width="10.296875" style="63" customWidth="1"/>
    <col min="2521" max="2521" width="7.09765625" style="63"/>
    <col min="2522" max="2522" width="12.3984375" style="63" bestFit="1" customWidth="1"/>
    <col min="2523" max="2523" width="12.69921875" style="63" bestFit="1" customWidth="1"/>
    <col min="2524" max="2524" width="7.796875" style="63" bestFit="1" customWidth="1"/>
    <col min="2525" max="2525" width="7.09765625" style="63"/>
    <col min="2526" max="2526" width="8.59765625" style="63" bestFit="1" customWidth="1"/>
    <col min="2527" max="2765" width="7.09765625" style="63"/>
    <col min="2766" max="2766" width="4.796875" style="63" customWidth="1"/>
    <col min="2767" max="2767" width="3" style="63" customWidth="1"/>
    <col min="2768" max="2768" width="37.19921875" style="63" customWidth="1"/>
    <col min="2769" max="2771" width="5.796875" style="63" customWidth="1"/>
    <col min="2772" max="2773" width="7.3984375" style="63" customWidth="1"/>
    <col min="2774" max="2774" width="14.3984375" style="63" bestFit="1" customWidth="1"/>
    <col min="2775" max="2775" width="15.796875" style="63" bestFit="1" customWidth="1"/>
    <col min="2776" max="2776" width="10.296875" style="63" customWidth="1"/>
    <col min="2777" max="2777" width="7.09765625" style="63"/>
    <col min="2778" max="2778" width="12.3984375" style="63" bestFit="1" customWidth="1"/>
    <col min="2779" max="2779" width="12.69921875" style="63" bestFit="1" customWidth="1"/>
    <col min="2780" max="2780" width="7.796875" style="63" bestFit="1" customWidth="1"/>
    <col min="2781" max="2781" width="7.09765625" style="63"/>
    <col min="2782" max="2782" width="8.59765625" style="63" bestFit="1" customWidth="1"/>
    <col min="2783" max="3021" width="7.09765625" style="63"/>
    <col min="3022" max="3022" width="4.796875" style="63" customWidth="1"/>
    <col min="3023" max="3023" width="3" style="63" customWidth="1"/>
    <col min="3024" max="3024" width="37.19921875" style="63" customWidth="1"/>
    <col min="3025" max="3027" width="5.796875" style="63" customWidth="1"/>
    <col min="3028" max="3029" width="7.3984375" style="63" customWidth="1"/>
    <col min="3030" max="3030" width="14.3984375" style="63" bestFit="1" customWidth="1"/>
    <col min="3031" max="3031" width="15.796875" style="63" bestFit="1" customWidth="1"/>
    <col min="3032" max="3032" width="10.296875" style="63" customWidth="1"/>
    <col min="3033" max="3033" width="7.09765625" style="63"/>
    <col min="3034" max="3034" width="12.3984375" style="63" bestFit="1" customWidth="1"/>
    <col min="3035" max="3035" width="12.69921875" style="63" bestFit="1" customWidth="1"/>
    <col min="3036" max="3036" width="7.796875" style="63" bestFit="1" customWidth="1"/>
    <col min="3037" max="3037" width="7.09765625" style="63"/>
    <col min="3038" max="3038" width="8.59765625" style="63" bestFit="1" customWidth="1"/>
    <col min="3039" max="3277" width="7.09765625" style="63"/>
    <col min="3278" max="3278" width="4.796875" style="63" customWidth="1"/>
    <col min="3279" max="3279" width="3" style="63" customWidth="1"/>
    <col min="3280" max="3280" width="37.19921875" style="63" customWidth="1"/>
    <col min="3281" max="3283" width="5.796875" style="63" customWidth="1"/>
    <col min="3284" max="3285" width="7.3984375" style="63" customWidth="1"/>
    <col min="3286" max="3286" width="14.3984375" style="63" bestFit="1" customWidth="1"/>
    <col min="3287" max="3287" width="15.796875" style="63" bestFit="1" customWidth="1"/>
    <col min="3288" max="3288" width="10.296875" style="63" customWidth="1"/>
    <col min="3289" max="3289" width="7.09765625" style="63"/>
    <col min="3290" max="3290" width="12.3984375" style="63" bestFit="1" customWidth="1"/>
    <col min="3291" max="3291" width="12.69921875" style="63" bestFit="1" customWidth="1"/>
    <col min="3292" max="3292" width="7.796875" style="63" bestFit="1" customWidth="1"/>
    <col min="3293" max="3293" width="7.09765625" style="63"/>
    <col min="3294" max="3294" width="8.59765625" style="63" bestFit="1" customWidth="1"/>
    <col min="3295" max="3533" width="7.09765625" style="63"/>
    <col min="3534" max="3534" width="4.796875" style="63" customWidth="1"/>
    <col min="3535" max="3535" width="3" style="63" customWidth="1"/>
    <col min="3536" max="3536" width="37.19921875" style="63" customWidth="1"/>
    <col min="3537" max="3539" width="5.796875" style="63" customWidth="1"/>
    <col min="3540" max="3541" width="7.3984375" style="63" customWidth="1"/>
    <col min="3542" max="3542" width="14.3984375" style="63" bestFit="1" customWidth="1"/>
    <col min="3543" max="3543" width="15.796875" style="63" bestFit="1" customWidth="1"/>
    <col min="3544" max="3544" width="10.296875" style="63" customWidth="1"/>
    <col min="3545" max="3545" width="7.09765625" style="63"/>
    <col min="3546" max="3546" width="12.3984375" style="63" bestFit="1" customWidth="1"/>
    <col min="3547" max="3547" width="12.69921875" style="63" bestFit="1" customWidth="1"/>
    <col min="3548" max="3548" width="7.796875" style="63" bestFit="1" customWidth="1"/>
    <col min="3549" max="3549" width="7.09765625" style="63"/>
    <col min="3550" max="3550" width="8.59765625" style="63" bestFit="1" customWidth="1"/>
    <col min="3551" max="3789" width="7.09765625" style="63"/>
    <col min="3790" max="3790" width="4.796875" style="63" customWidth="1"/>
    <col min="3791" max="3791" width="3" style="63" customWidth="1"/>
    <col min="3792" max="3792" width="37.19921875" style="63" customWidth="1"/>
    <col min="3793" max="3795" width="5.796875" style="63" customWidth="1"/>
    <col min="3796" max="3797" width="7.3984375" style="63" customWidth="1"/>
    <col min="3798" max="3798" width="14.3984375" style="63" bestFit="1" customWidth="1"/>
    <col min="3799" max="3799" width="15.796875" style="63" bestFit="1" customWidth="1"/>
    <col min="3800" max="3800" width="10.296875" style="63" customWidth="1"/>
    <col min="3801" max="3801" width="7.09765625" style="63"/>
    <col min="3802" max="3802" width="12.3984375" style="63" bestFit="1" customWidth="1"/>
    <col min="3803" max="3803" width="12.69921875" style="63" bestFit="1" customWidth="1"/>
    <col min="3804" max="3804" width="7.796875" style="63" bestFit="1" customWidth="1"/>
    <col min="3805" max="3805" width="7.09765625" style="63"/>
    <col min="3806" max="3806" width="8.59765625" style="63" bestFit="1" customWidth="1"/>
    <col min="3807" max="4045" width="7.09765625" style="63"/>
    <col min="4046" max="4046" width="4.796875" style="63" customWidth="1"/>
    <col min="4047" max="4047" width="3" style="63" customWidth="1"/>
    <col min="4048" max="4048" width="37.19921875" style="63" customWidth="1"/>
    <col min="4049" max="4051" width="5.796875" style="63" customWidth="1"/>
    <col min="4052" max="4053" width="7.3984375" style="63" customWidth="1"/>
    <col min="4054" max="4054" width="14.3984375" style="63" bestFit="1" customWidth="1"/>
    <col min="4055" max="4055" width="15.796875" style="63" bestFit="1" customWidth="1"/>
    <col min="4056" max="4056" width="10.296875" style="63" customWidth="1"/>
    <col min="4057" max="4057" width="7.09765625" style="63"/>
    <col min="4058" max="4058" width="12.3984375" style="63" bestFit="1" customWidth="1"/>
    <col min="4059" max="4059" width="12.69921875" style="63" bestFit="1" customWidth="1"/>
    <col min="4060" max="4060" width="7.796875" style="63" bestFit="1" customWidth="1"/>
    <col min="4061" max="4061" width="7.09765625" style="63"/>
    <col min="4062" max="4062" width="8.59765625" style="63" bestFit="1" customWidth="1"/>
    <col min="4063" max="4301" width="7.09765625" style="63"/>
    <col min="4302" max="4302" width="4.796875" style="63" customWidth="1"/>
    <col min="4303" max="4303" width="3" style="63" customWidth="1"/>
    <col min="4304" max="4304" width="37.19921875" style="63" customWidth="1"/>
    <col min="4305" max="4307" width="5.796875" style="63" customWidth="1"/>
    <col min="4308" max="4309" width="7.3984375" style="63" customWidth="1"/>
    <col min="4310" max="4310" width="14.3984375" style="63" bestFit="1" customWidth="1"/>
    <col min="4311" max="4311" width="15.796875" style="63" bestFit="1" customWidth="1"/>
    <col min="4312" max="4312" width="10.296875" style="63" customWidth="1"/>
    <col min="4313" max="4313" width="7.09765625" style="63"/>
    <col min="4314" max="4314" width="12.3984375" style="63" bestFit="1" customWidth="1"/>
    <col min="4315" max="4315" width="12.69921875" style="63" bestFit="1" customWidth="1"/>
    <col min="4316" max="4316" width="7.796875" style="63" bestFit="1" customWidth="1"/>
    <col min="4317" max="4317" width="7.09765625" style="63"/>
    <col min="4318" max="4318" width="8.59765625" style="63" bestFit="1" customWidth="1"/>
    <col min="4319" max="4557" width="7.09765625" style="63"/>
    <col min="4558" max="4558" width="4.796875" style="63" customWidth="1"/>
    <col min="4559" max="4559" width="3" style="63" customWidth="1"/>
    <col min="4560" max="4560" width="37.19921875" style="63" customWidth="1"/>
    <col min="4561" max="4563" width="5.796875" style="63" customWidth="1"/>
    <col min="4564" max="4565" width="7.3984375" style="63" customWidth="1"/>
    <col min="4566" max="4566" width="14.3984375" style="63" bestFit="1" customWidth="1"/>
    <col min="4567" max="4567" width="15.796875" style="63" bestFit="1" customWidth="1"/>
    <col min="4568" max="4568" width="10.296875" style="63" customWidth="1"/>
    <col min="4569" max="4569" width="7.09765625" style="63"/>
    <col min="4570" max="4570" width="12.3984375" style="63" bestFit="1" customWidth="1"/>
    <col min="4571" max="4571" width="12.69921875" style="63" bestFit="1" customWidth="1"/>
    <col min="4572" max="4572" width="7.796875" style="63" bestFit="1" customWidth="1"/>
    <col min="4573" max="4573" width="7.09765625" style="63"/>
    <col min="4574" max="4574" width="8.59765625" style="63" bestFit="1" customWidth="1"/>
    <col min="4575" max="4813" width="7.09765625" style="63"/>
    <col min="4814" max="4814" width="4.796875" style="63" customWidth="1"/>
    <col min="4815" max="4815" width="3" style="63" customWidth="1"/>
    <col min="4816" max="4816" width="37.19921875" style="63" customWidth="1"/>
    <col min="4817" max="4819" width="5.796875" style="63" customWidth="1"/>
    <col min="4820" max="4821" width="7.3984375" style="63" customWidth="1"/>
    <col min="4822" max="4822" width="14.3984375" style="63" bestFit="1" customWidth="1"/>
    <col min="4823" max="4823" width="15.796875" style="63" bestFit="1" customWidth="1"/>
    <col min="4824" max="4824" width="10.296875" style="63" customWidth="1"/>
    <col min="4825" max="4825" width="7.09765625" style="63"/>
    <col min="4826" max="4826" width="12.3984375" style="63" bestFit="1" customWidth="1"/>
    <col min="4827" max="4827" width="12.69921875" style="63" bestFit="1" customWidth="1"/>
    <col min="4828" max="4828" width="7.796875" style="63" bestFit="1" customWidth="1"/>
    <col min="4829" max="4829" width="7.09765625" style="63"/>
    <col min="4830" max="4830" width="8.59765625" style="63" bestFit="1" customWidth="1"/>
    <col min="4831" max="5069" width="7.09765625" style="63"/>
    <col min="5070" max="5070" width="4.796875" style="63" customWidth="1"/>
    <col min="5071" max="5071" width="3" style="63" customWidth="1"/>
    <col min="5072" max="5072" width="37.19921875" style="63" customWidth="1"/>
    <col min="5073" max="5075" width="5.796875" style="63" customWidth="1"/>
    <col min="5076" max="5077" width="7.3984375" style="63" customWidth="1"/>
    <col min="5078" max="5078" width="14.3984375" style="63" bestFit="1" customWidth="1"/>
    <col min="5079" max="5079" width="15.796875" style="63" bestFit="1" customWidth="1"/>
    <col min="5080" max="5080" width="10.296875" style="63" customWidth="1"/>
    <col min="5081" max="5081" width="7.09765625" style="63"/>
    <col min="5082" max="5082" width="12.3984375" style="63" bestFit="1" customWidth="1"/>
    <col min="5083" max="5083" width="12.69921875" style="63" bestFit="1" customWidth="1"/>
    <col min="5084" max="5084" width="7.796875" style="63" bestFit="1" customWidth="1"/>
    <col min="5085" max="5085" width="7.09765625" style="63"/>
    <col min="5086" max="5086" width="8.59765625" style="63" bestFit="1" customWidth="1"/>
    <col min="5087" max="5325" width="7.09765625" style="63"/>
    <col min="5326" max="5326" width="4.796875" style="63" customWidth="1"/>
    <col min="5327" max="5327" width="3" style="63" customWidth="1"/>
    <col min="5328" max="5328" width="37.19921875" style="63" customWidth="1"/>
    <col min="5329" max="5331" width="5.796875" style="63" customWidth="1"/>
    <col min="5332" max="5333" width="7.3984375" style="63" customWidth="1"/>
    <col min="5334" max="5334" width="14.3984375" style="63" bestFit="1" customWidth="1"/>
    <col min="5335" max="5335" width="15.796875" style="63" bestFit="1" customWidth="1"/>
    <col min="5336" max="5336" width="10.296875" style="63" customWidth="1"/>
    <col min="5337" max="5337" width="7.09765625" style="63"/>
    <col min="5338" max="5338" width="12.3984375" style="63" bestFit="1" customWidth="1"/>
    <col min="5339" max="5339" width="12.69921875" style="63" bestFit="1" customWidth="1"/>
    <col min="5340" max="5340" width="7.796875" style="63" bestFit="1" customWidth="1"/>
    <col min="5341" max="5341" width="7.09765625" style="63"/>
    <col min="5342" max="5342" width="8.59765625" style="63" bestFit="1" customWidth="1"/>
    <col min="5343" max="5581" width="7.09765625" style="63"/>
    <col min="5582" max="5582" width="4.796875" style="63" customWidth="1"/>
    <col min="5583" max="5583" width="3" style="63" customWidth="1"/>
    <col min="5584" max="5584" width="37.19921875" style="63" customWidth="1"/>
    <col min="5585" max="5587" width="5.796875" style="63" customWidth="1"/>
    <col min="5588" max="5589" width="7.3984375" style="63" customWidth="1"/>
    <col min="5590" max="5590" width="14.3984375" style="63" bestFit="1" customWidth="1"/>
    <col min="5591" max="5591" width="15.796875" style="63" bestFit="1" customWidth="1"/>
    <col min="5592" max="5592" width="10.296875" style="63" customWidth="1"/>
    <col min="5593" max="5593" width="7.09765625" style="63"/>
    <col min="5594" max="5594" width="12.3984375" style="63" bestFit="1" customWidth="1"/>
    <col min="5595" max="5595" width="12.69921875" style="63" bestFit="1" customWidth="1"/>
    <col min="5596" max="5596" width="7.796875" style="63" bestFit="1" customWidth="1"/>
    <col min="5597" max="5597" width="7.09765625" style="63"/>
    <col min="5598" max="5598" width="8.59765625" style="63" bestFit="1" customWidth="1"/>
    <col min="5599" max="5837" width="7.09765625" style="63"/>
    <col min="5838" max="5838" width="4.796875" style="63" customWidth="1"/>
    <col min="5839" max="5839" width="3" style="63" customWidth="1"/>
    <col min="5840" max="5840" width="37.19921875" style="63" customWidth="1"/>
    <col min="5841" max="5843" width="5.796875" style="63" customWidth="1"/>
    <col min="5844" max="5845" width="7.3984375" style="63" customWidth="1"/>
    <col min="5846" max="5846" width="14.3984375" style="63" bestFit="1" customWidth="1"/>
    <col min="5847" max="5847" width="15.796875" style="63" bestFit="1" customWidth="1"/>
    <col min="5848" max="5848" width="10.296875" style="63" customWidth="1"/>
    <col min="5849" max="5849" width="7.09765625" style="63"/>
    <col min="5850" max="5850" width="12.3984375" style="63" bestFit="1" customWidth="1"/>
    <col min="5851" max="5851" width="12.69921875" style="63" bestFit="1" customWidth="1"/>
    <col min="5852" max="5852" width="7.796875" style="63" bestFit="1" customWidth="1"/>
    <col min="5853" max="5853" width="7.09765625" style="63"/>
    <col min="5854" max="5854" width="8.59765625" style="63" bestFit="1" customWidth="1"/>
    <col min="5855" max="6093" width="7.09765625" style="63"/>
    <col min="6094" max="6094" width="4.796875" style="63" customWidth="1"/>
    <col min="6095" max="6095" width="3" style="63" customWidth="1"/>
    <col min="6096" max="6096" width="37.19921875" style="63" customWidth="1"/>
    <col min="6097" max="6099" width="5.796875" style="63" customWidth="1"/>
    <col min="6100" max="6101" width="7.3984375" style="63" customWidth="1"/>
    <col min="6102" max="6102" width="14.3984375" style="63" bestFit="1" customWidth="1"/>
    <col min="6103" max="6103" width="15.796875" style="63" bestFit="1" customWidth="1"/>
    <col min="6104" max="6104" width="10.296875" style="63" customWidth="1"/>
    <col min="6105" max="6105" width="7.09765625" style="63"/>
    <col min="6106" max="6106" width="12.3984375" style="63" bestFit="1" customWidth="1"/>
    <col min="6107" max="6107" width="12.69921875" style="63" bestFit="1" customWidth="1"/>
    <col min="6108" max="6108" width="7.796875" style="63" bestFit="1" customWidth="1"/>
    <col min="6109" max="6109" width="7.09765625" style="63"/>
    <col min="6110" max="6110" width="8.59765625" style="63" bestFit="1" customWidth="1"/>
    <col min="6111" max="6349" width="7.09765625" style="63"/>
    <col min="6350" max="6350" width="4.796875" style="63" customWidth="1"/>
    <col min="6351" max="6351" width="3" style="63" customWidth="1"/>
    <col min="6352" max="6352" width="37.19921875" style="63" customWidth="1"/>
    <col min="6353" max="6355" width="5.796875" style="63" customWidth="1"/>
    <col min="6356" max="6357" width="7.3984375" style="63" customWidth="1"/>
    <col min="6358" max="6358" width="14.3984375" style="63" bestFit="1" customWidth="1"/>
    <col min="6359" max="6359" width="15.796875" style="63" bestFit="1" customWidth="1"/>
    <col min="6360" max="6360" width="10.296875" style="63" customWidth="1"/>
    <col min="6361" max="6361" width="7.09765625" style="63"/>
    <col min="6362" max="6362" width="12.3984375" style="63" bestFit="1" customWidth="1"/>
    <col min="6363" max="6363" width="12.69921875" style="63" bestFit="1" customWidth="1"/>
    <col min="6364" max="6364" width="7.796875" style="63" bestFit="1" customWidth="1"/>
    <col min="6365" max="6365" width="7.09765625" style="63"/>
    <col min="6366" max="6366" width="8.59765625" style="63" bestFit="1" customWidth="1"/>
    <col min="6367" max="6605" width="7.09765625" style="63"/>
    <col min="6606" max="6606" width="4.796875" style="63" customWidth="1"/>
    <col min="6607" max="6607" width="3" style="63" customWidth="1"/>
    <col min="6608" max="6608" width="37.19921875" style="63" customWidth="1"/>
    <col min="6609" max="6611" width="5.796875" style="63" customWidth="1"/>
    <col min="6612" max="6613" width="7.3984375" style="63" customWidth="1"/>
    <col min="6614" max="6614" width="14.3984375" style="63" bestFit="1" customWidth="1"/>
    <col min="6615" max="6615" width="15.796875" style="63" bestFit="1" customWidth="1"/>
    <col min="6616" max="6616" width="10.296875" style="63" customWidth="1"/>
    <col min="6617" max="6617" width="7.09765625" style="63"/>
    <col min="6618" max="6618" width="12.3984375" style="63" bestFit="1" customWidth="1"/>
    <col min="6619" max="6619" width="12.69921875" style="63" bestFit="1" customWidth="1"/>
    <col min="6620" max="6620" width="7.796875" style="63" bestFit="1" customWidth="1"/>
    <col min="6621" max="6621" width="7.09765625" style="63"/>
    <col min="6622" max="6622" width="8.59765625" style="63" bestFit="1" customWidth="1"/>
    <col min="6623" max="6861" width="7.09765625" style="63"/>
    <col min="6862" max="6862" width="4.796875" style="63" customWidth="1"/>
    <col min="6863" max="6863" width="3" style="63" customWidth="1"/>
    <col min="6864" max="6864" width="37.19921875" style="63" customWidth="1"/>
    <col min="6865" max="6867" width="5.796875" style="63" customWidth="1"/>
    <col min="6868" max="6869" width="7.3984375" style="63" customWidth="1"/>
    <col min="6870" max="6870" width="14.3984375" style="63" bestFit="1" customWidth="1"/>
    <col min="6871" max="6871" width="15.796875" style="63" bestFit="1" customWidth="1"/>
    <col min="6872" max="6872" width="10.296875" style="63" customWidth="1"/>
    <col min="6873" max="6873" width="7.09765625" style="63"/>
    <col min="6874" max="6874" width="12.3984375" style="63" bestFit="1" customWidth="1"/>
    <col min="6875" max="6875" width="12.69921875" style="63" bestFit="1" customWidth="1"/>
    <col min="6876" max="6876" width="7.796875" style="63" bestFit="1" customWidth="1"/>
    <col min="6877" max="6877" width="7.09765625" style="63"/>
    <col min="6878" max="6878" width="8.59765625" style="63" bestFit="1" customWidth="1"/>
    <col min="6879" max="7117" width="7.09765625" style="63"/>
    <col min="7118" max="7118" width="4.796875" style="63" customWidth="1"/>
    <col min="7119" max="7119" width="3" style="63" customWidth="1"/>
    <col min="7120" max="7120" width="37.19921875" style="63" customWidth="1"/>
    <col min="7121" max="7123" width="5.796875" style="63" customWidth="1"/>
    <col min="7124" max="7125" width="7.3984375" style="63" customWidth="1"/>
    <col min="7126" max="7126" width="14.3984375" style="63" bestFit="1" customWidth="1"/>
    <col min="7127" max="7127" width="15.796875" style="63" bestFit="1" customWidth="1"/>
    <col min="7128" max="7128" width="10.296875" style="63" customWidth="1"/>
    <col min="7129" max="7129" width="7.09765625" style="63"/>
    <col min="7130" max="7130" width="12.3984375" style="63" bestFit="1" customWidth="1"/>
    <col min="7131" max="7131" width="12.69921875" style="63" bestFit="1" customWidth="1"/>
    <col min="7132" max="7132" width="7.796875" style="63" bestFit="1" customWidth="1"/>
    <col min="7133" max="7133" width="7.09765625" style="63"/>
    <col min="7134" max="7134" width="8.59765625" style="63" bestFit="1" customWidth="1"/>
    <col min="7135" max="7373" width="7.09765625" style="63"/>
    <col min="7374" max="7374" width="4.796875" style="63" customWidth="1"/>
    <col min="7375" max="7375" width="3" style="63" customWidth="1"/>
    <col min="7376" max="7376" width="37.19921875" style="63" customWidth="1"/>
    <col min="7377" max="7379" width="5.796875" style="63" customWidth="1"/>
    <col min="7380" max="7381" width="7.3984375" style="63" customWidth="1"/>
    <col min="7382" max="7382" width="14.3984375" style="63" bestFit="1" customWidth="1"/>
    <col min="7383" max="7383" width="15.796875" style="63" bestFit="1" customWidth="1"/>
    <col min="7384" max="7384" width="10.296875" style="63" customWidth="1"/>
    <col min="7385" max="7385" width="7.09765625" style="63"/>
    <col min="7386" max="7386" width="12.3984375" style="63" bestFit="1" customWidth="1"/>
    <col min="7387" max="7387" width="12.69921875" style="63" bestFit="1" customWidth="1"/>
    <col min="7388" max="7388" width="7.796875" style="63" bestFit="1" customWidth="1"/>
    <col min="7389" max="7389" width="7.09765625" style="63"/>
    <col min="7390" max="7390" width="8.59765625" style="63" bestFit="1" customWidth="1"/>
    <col min="7391" max="7629" width="7.09765625" style="63"/>
    <col min="7630" max="7630" width="4.796875" style="63" customWidth="1"/>
    <col min="7631" max="7631" width="3" style="63" customWidth="1"/>
    <col min="7632" max="7632" width="37.19921875" style="63" customWidth="1"/>
    <col min="7633" max="7635" width="5.796875" style="63" customWidth="1"/>
    <col min="7636" max="7637" width="7.3984375" style="63" customWidth="1"/>
    <col min="7638" max="7638" width="14.3984375" style="63" bestFit="1" customWidth="1"/>
    <col min="7639" max="7639" width="15.796875" style="63" bestFit="1" customWidth="1"/>
    <col min="7640" max="7640" width="10.296875" style="63" customWidth="1"/>
    <col min="7641" max="7641" width="7.09765625" style="63"/>
    <col min="7642" max="7642" width="12.3984375" style="63" bestFit="1" customWidth="1"/>
    <col min="7643" max="7643" width="12.69921875" style="63" bestFit="1" customWidth="1"/>
    <col min="7644" max="7644" width="7.796875" style="63" bestFit="1" customWidth="1"/>
    <col min="7645" max="7645" width="7.09765625" style="63"/>
    <col min="7646" max="7646" width="8.59765625" style="63" bestFit="1" customWidth="1"/>
    <col min="7647" max="7885" width="7.09765625" style="63"/>
    <col min="7886" max="7886" width="4.796875" style="63" customWidth="1"/>
    <col min="7887" max="7887" width="3" style="63" customWidth="1"/>
    <col min="7888" max="7888" width="37.19921875" style="63" customWidth="1"/>
    <col min="7889" max="7891" width="5.796875" style="63" customWidth="1"/>
    <col min="7892" max="7893" width="7.3984375" style="63" customWidth="1"/>
    <col min="7894" max="7894" width="14.3984375" style="63" bestFit="1" customWidth="1"/>
    <col min="7895" max="7895" width="15.796875" style="63" bestFit="1" customWidth="1"/>
    <col min="7896" max="7896" width="10.296875" style="63" customWidth="1"/>
    <col min="7897" max="7897" width="7.09765625" style="63"/>
    <col min="7898" max="7898" width="12.3984375" style="63" bestFit="1" customWidth="1"/>
    <col min="7899" max="7899" width="12.69921875" style="63" bestFit="1" customWidth="1"/>
    <col min="7900" max="7900" width="7.796875" style="63" bestFit="1" customWidth="1"/>
    <col min="7901" max="7901" width="7.09765625" style="63"/>
    <col min="7902" max="7902" width="8.59765625" style="63" bestFit="1" customWidth="1"/>
    <col min="7903" max="8141" width="7.09765625" style="63"/>
    <col min="8142" max="8142" width="4.796875" style="63" customWidth="1"/>
    <col min="8143" max="8143" width="3" style="63" customWidth="1"/>
    <col min="8144" max="8144" width="37.19921875" style="63" customWidth="1"/>
    <col min="8145" max="8147" width="5.796875" style="63" customWidth="1"/>
    <col min="8148" max="8149" width="7.3984375" style="63" customWidth="1"/>
    <col min="8150" max="8150" width="14.3984375" style="63" bestFit="1" customWidth="1"/>
    <col min="8151" max="8151" width="15.796875" style="63" bestFit="1" customWidth="1"/>
    <col min="8152" max="8152" width="10.296875" style="63" customWidth="1"/>
    <col min="8153" max="8153" width="7.09765625" style="63"/>
    <col min="8154" max="8154" width="12.3984375" style="63" bestFit="1" customWidth="1"/>
    <col min="8155" max="8155" width="12.69921875" style="63" bestFit="1" customWidth="1"/>
    <col min="8156" max="8156" width="7.796875" style="63" bestFit="1" customWidth="1"/>
    <col min="8157" max="8157" width="7.09765625" style="63"/>
    <col min="8158" max="8158" width="8.59765625" style="63" bestFit="1" customWidth="1"/>
    <col min="8159" max="8397" width="7.09765625" style="63"/>
    <col min="8398" max="8398" width="4.796875" style="63" customWidth="1"/>
    <col min="8399" max="8399" width="3" style="63" customWidth="1"/>
    <col min="8400" max="8400" width="37.19921875" style="63" customWidth="1"/>
    <col min="8401" max="8403" width="5.796875" style="63" customWidth="1"/>
    <col min="8404" max="8405" width="7.3984375" style="63" customWidth="1"/>
    <col min="8406" max="8406" width="14.3984375" style="63" bestFit="1" customWidth="1"/>
    <col min="8407" max="8407" width="15.796875" style="63" bestFit="1" customWidth="1"/>
    <col min="8408" max="8408" width="10.296875" style="63" customWidth="1"/>
    <col min="8409" max="8409" width="7.09765625" style="63"/>
    <col min="8410" max="8410" width="12.3984375" style="63" bestFit="1" customWidth="1"/>
    <col min="8411" max="8411" width="12.69921875" style="63" bestFit="1" customWidth="1"/>
    <col min="8412" max="8412" width="7.796875" style="63" bestFit="1" customWidth="1"/>
    <col min="8413" max="8413" width="7.09765625" style="63"/>
    <col min="8414" max="8414" width="8.59765625" style="63" bestFit="1" customWidth="1"/>
    <col min="8415" max="8653" width="7.09765625" style="63"/>
    <col min="8654" max="8654" width="4.796875" style="63" customWidth="1"/>
    <col min="8655" max="8655" width="3" style="63" customWidth="1"/>
    <col min="8656" max="8656" width="37.19921875" style="63" customWidth="1"/>
    <col min="8657" max="8659" width="5.796875" style="63" customWidth="1"/>
    <col min="8660" max="8661" width="7.3984375" style="63" customWidth="1"/>
    <col min="8662" max="8662" width="14.3984375" style="63" bestFit="1" customWidth="1"/>
    <col min="8663" max="8663" width="15.796875" style="63" bestFit="1" customWidth="1"/>
    <col min="8664" max="8664" width="10.296875" style="63" customWidth="1"/>
    <col min="8665" max="8665" width="7.09765625" style="63"/>
    <col min="8666" max="8666" width="12.3984375" style="63" bestFit="1" customWidth="1"/>
    <col min="8667" max="8667" width="12.69921875" style="63" bestFit="1" customWidth="1"/>
    <col min="8668" max="8668" width="7.796875" style="63" bestFit="1" customWidth="1"/>
    <col min="8669" max="8669" width="7.09765625" style="63"/>
    <col min="8670" max="8670" width="8.59765625" style="63" bestFit="1" customWidth="1"/>
    <col min="8671" max="8909" width="7.09765625" style="63"/>
    <col min="8910" max="8910" width="4.796875" style="63" customWidth="1"/>
    <col min="8911" max="8911" width="3" style="63" customWidth="1"/>
    <col min="8912" max="8912" width="37.19921875" style="63" customWidth="1"/>
    <col min="8913" max="8915" width="5.796875" style="63" customWidth="1"/>
    <col min="8916" max="8917" width="7.3984375" style="63" customWidth="1"/>
    <col min="8918" max="8918" width="14.3984375" style="63" bestFit="1" customWidth="1"/>
    <col min="8919" max="8919" width="15.796875" style="63" bestFit="1" customWidth="1"/>
    <col min="8920" max="8920" width="10.296875" style="63" customWidth="1"/>
    <col min="8921" max="8921" width="7.09765625" style="63"/>
    <col min="8922" max="8922" width="12.3984375" style="63" bestFit="1" customWidth="1"/>
    <col min="8923" max="8923" width="12.69921875" style="63" bestFit="1" customWidth="1"/>
    <col min="8924" max="8924" width="7.796875" style="63" bestFit="1" customWidth="1"/>
    <col min="8925" max="8925" width="7.09765625" style="63"/>
    <col min="8926" max="8926" width="8.59765625" style="63" bestFit="1" customWidth="1"/>
    <col min="8927" max="9165" width="7.09765625" style="63"/>
    <col min="9166" max="9166" width="4.796875" style="63" customWidth="1"/>
    <col min="9167" max="9167" width="3" style="63" customWidth="1"/>
    <col min="9168" max="9168" width="37.19921875" style="63" customWidth="1"/>
    <col min="9169" max="9171" width="5.796875" style="63" customWidth="1"/>
    <col min="9172" max="9173" width="7.3984375" style="63" customWidth="1"/>
    <col min="9174" max="9174" width="14.3984375" style="63" bestFit="1" customWidth="1"/>
    <col min="9175" max="9175" width="15.796875" style="63" bestFit="1" customWidth="1"/>
    <col min="9176" max="9176" width="10.296875" style="63" customWidth="1"/>
    <col min="9177" max="9177" width="7.09765625" style="63"/>
    <col min="9178" max="9178" width="12.3984375" style="63" bestFit="1" customWidth="1"/>
    <col min="9179" max="9179" width="12.69921875" style="63" bestFit="1" customWidth="1"/>
    <col min="9180" max="9180" width="7.796875" style="63" bestFit="1" customWidth="1"/>
    <col min="9181" max="9181" width="7.09765625" style="63"/>
    <col min="9182" max="9182" width="8.59765625" style="63" bestFit="1" customWidth="1"/>
    <col min="9183" max="9421" width="7.09765625" style="63"/>
    <col min="9422" max="9422" width="4.796875" style="63" customWidth="1"/>
    <col min="9423" max="9423" width="3" style="63" customWidth="1"/>
    <col min="9424" max="9424" width="37.19921875" style="63" customWidth="1"/>
    <col min="9425" max="9427" width="5.796875" style="63" customWidth="1"/>
    <col min="9428" max="9429" width="7.3984375" style="63" customWidth="1"/>
    <col min="9430" max="9430" width="14.3984375" style="63" bestFit="1" customWidth="1"/>
    <col min="9431" max="9431" width="15.796875" style="63" bestFit="1" customWidth="1"/>
    <col min="9432" max="9432" width="10.296875" style="63" customWidth="1"/>
    <col min="9433" max="9433" width="7.09765625" style="63"/>
    <col min="9434" max="9434" width="12.3984375" style="63" bestFit="1" customWidth="1"/>
    <col min="9435" max="9435" width="12.69921875" style="63" bestFit="1" customWidth="1"/>
    <col min="9436" max="9436" width="7.796875" style="63" bestFit="1" customWidth="1"/>
    <col min="9437" max="9437" width="7.09765625" style="63"/>
    <col min="9438" max="9438" width="8.59765625" style="63" bestFit="1" customWidth="1"/>
    <col min="9439" max="9677" width="7.09765625" style="63"/>
    <col min="9678" max="9678" width="4.796875" style="63" customWidth="1"/>
    <col min="9679" max="9679" width="3" style="63" customWidth="1"/>
    <col min="9680" max="9680" width="37.19921875" style="63" customWidth="1"/>
    <col min="9681" max="9683" width="5.796875" style="63" customWidth="1"/>
    <col min="9684" max="9685" width="7.3984375" style="63" customWidth="1"/>
    <col min="9686" max="9686" width="14.3984375" style="63" bestFit="1" customWidth="1"/>
    <col min="9687" max="9687" width="15.796875" style="63" bestFit="1" customWidth="1"/>
    <col min="9688" max="9688" width="10.296875" style="63" customWidth="1"/>
    <col min="9689" max="9689" width="7.09765625" style="63"/>
    <col min="9690" max="9690" width="12.3984375" style="63" bestFit="1" customWidth="1"/>
    <col min="9691" max="9691" width="12.69921875" style="63" bestFit="1" customWidth="1"/>
    <col min="9692" max="9692" width="7.796875" style="63" bestFit="1" customWidth="1"/>
    <col min="9693" max="9693" width="7.09765625" style="63"/>
    <col min="9694" max="9694" width="8.59765625" style="63" bestFit="1" customWidth="1"/>
    <col min="9695" max="9933" width="7.09765625" style="63"/>
    <col min="9934" max="9934" width="4.796875" style="63" customWidth="1"/>
    <col min="9935" max="9935" width="3" style="63" customWidth="1"/>
    <col min="9936" max="9936" width="37.19921875" style="63" customWidth="1"/>
    <col min="9937" max="9939" width="5.796875" style="63" customWidth="1"/>
    <col min="9940" max="9941" width="7.3984375" style="63" customWidth="1"/>
    <col min="9942" max="9942" width="14.3984375" style="63" bestFit="1" customWidth="1"/>
    <col min="9943" max="9943" width="15.796875" style="63" bestFit="1" customWidth="1"/>
    <col min="9944" max="9944" width="10.296875" style="63" customWidth="1"/>
    <col min="9945" max="9945" width="7.09765625" style="63"/>
    <col min="9946" max="9946" width="12.3984375" style="63" bestFit="1" customWidth="1"/>
    <col min="9947" max="9947" width="12.69921875" style="63" bestFit="1" customWidth="1"/>
    <col min="9948" max="9948" width="7.796875" style="63" bestFit="1" customWidth="1"/>
    <col min="9949" max="9949" width="7.09765625" style="63"/>
    <col min="9950" max="9950" width="8.59765625" style="63" bestFit="1" customWidth="1"/>
    <col min="9951" max="10189" width="7.09765625" style="63"/>
    <col min="10190" max="10190" width="4.796875" style="63" customWidth="1"/>
    <col min="10191" max="10191" width="3" style="63" customWidth="1"/>
    <col min="10192" max="10192" width="37.19921875" style="63" customWidth="1"/>
    <col min="10193" max="10195" width="5.796875" style="63" customWidth="1"/>
    <col min="10196" max="10197" width="7.3984375" style="63" customWidth="1"/>
    <col min="10198" max="10198" width="14.3984375" style="63" bestFit="1" customWidth="1"/>
    <col min="10199" max="10199" width="15.796875" style="63" bestFit="1" customWidth="1"/>
    <col min="10200" max="10200" width="10.296875" style="63" customWidth="1"/>
    <col min="10201" max="10201" width="7.09765625" style="63"/>
    <col min="10202" max="10202" width="12.3984375" style="63" bestFit="1" customWidth="1"/>
    <col min="10203" max="10203" width="12.69921875" style="63" bestFit="1" customWidth="1"/>
    <col min="10204" max="10204" width="7.796875" style="63" bestFit="1" customWidth="1"/>
    <col min="10205" max="10205" width="7.09765625" style="63"/>
    <col min="10206" max="10206" width="8.59765625" style="63" bestFit="1" customWidth="1"/>
    <col min="10207" max="10445" width="7.09765625" style="63"/>
    <col min="10446" max="10446" width="4.796875" style="63" customWidth="1"/>
    <col min="10447" max="10447" width="3" style="63" customWidth="1"/>
    <col min="10448" max="10448" width="37.19921875" style="63" customWidth="1"/>
    <col min="10449" max="10451" width="5.796875" style="63" customWidth="1"/>
    <col min="10452" max="10453" width="7.3984375" style="63" customWidth="1"/>
    <col min="10454" max="10454" width="14.3984375" style="63" bestFit="1" customWidth="1"/>
    <col min="10455" max="10455" width="15.796875" style="63" bestFit="1" customWidth="1"/>
    <col min="10456" max="10456" width="10.296875" style="63" customWidth="1"/>
    <col min="10457" max="10457" width="7.09765625" style="63"/>
    <col min="10458" max="10458" width="12.3984375" style="63" bestFit="1" customWidth="1"/>
    <col min="10459" max="10459" width="12.69921875" style="63" bestFit="1" customWidth="1"/>
    <col min="10460" max="10460" width="7.796875" style="63" bestFit="1" customWidth="1"/>
    <col min="10461" max="10461" width="7.09765625" style="63"/>
    <col min="10462" max="10462" width="8.59765625" style="63" bestFit="1" customWidth="1"/>
    <col min="10463" max="10701" width="7.09765625" style="63"/>
    <col min="10702" max="10702" width="4.796875" style="63" customWidth="1"/>
    <col min="10703" max="10703" width="3" style="63" customWidth="1"/>
    <col min="10704" max="10704" width="37.19921875" style="63" customWidth="1"/>
    <col min="10705" max="10707" width="5.796875" style="63" customWidth="1"/>
    <col min="10708" max="10709" width="7.3984375" style="63" customWidth="1"/>
    <col min="10710" max="10710" width="14.3984375" style="63" bestFit="1" customWidth="1"/>
    <col min="10711" max="10711" width="15.796875" style="63" bestFit="1" customWidth="1"/>
    <col min="10712" max="10712" width="10.296875" style="63" customWidth="1"/>
    <col min="10713" max="10713" width="7.09765625" style="63"/>
    <col min="10714" max="10714" width="12.3984375" style="63" bestFit="1" customWidth="1"/>
    <col min="10715" max="10715" width="12.69921875" style="63" bestFit="1" customWidth="1"/>
    <col min="10716" max="10716" width="7.796875" style="63" bestFit="1" customWidth="1"/>
    <col min="10717" max="10717" width="7.09765625" style="63"/>
    <col min="10718" max="10718" width="8.59765625" style="63" bestFit="1" customWidth="1"/>
    <col min="10719" max="10957" width="7.09765625" style="63"/>
    <col min="10958" max="10958" width="4.796875" style="63" customWidth="1"/>
    <col min="10959" max="10959" width="3" style="63" customWidth="1"/>
    <col min="10960" max="10960" width="37.19921875" style="63" customWidth="1"/>
    <col min="10961" max="10963" width="5.796875" style="63" customWidth="1"/>
    <col min="10964" max="10965" width="7.3984375" style="63" customWidth="1"/>
    <col min="10966" max="10966" width="14.3984375" style="63" bestFit="1" customWidth="1"/>
    <col min="10967" max="10967" width="15.796875" style="63" bestFit="1" customWidth="1"/>
    <col min="10968" max="10968" width="10.296875" style="63" customWidth="1"/>
    <col min="10969" max="10969" width="7.09765625" style="63"/>
    <col min="10970" max="10970" width="12.3984375" style="63" bestFit="1" customWidth="1"/>
    <col min="10971" max="10971" width="12.69921875" style="63" bestFit="1" customWidth="1"/>
    <col min="10972" max="10972" width="7.796875" style="63" bestFit="1" customWidth="1"/>
    <col min="10973" max="10973" width="7.09765625" style="63"/>
    <col min="10974" max="10974" width="8.59765625" style="63" bestFit="1" customWidth="1"/>
    <col min="10975" max="11213" width="7.09765625" style="63"/>
    <col min="11214" max="11214" width="4.796875" style="63" customWidth="1"/>
    <col min="11215" max="11215" width="3" style="63" customWidth="1"/>
    <col min="11216" max="11216" width="37.19921875" style="63" customWidth="1"/>
    <col min="11217" max="11219" width="5.796875" style="63" customWidth="1"/>
    <col min="11220" max="11221" width="7.3984375" style="63" customWidth="1"/>
    <col min="11222" max="11222" width="14.3984375" style="63" bestFit="1" customWidth="1"/>
    <col min="11223" max="11223" width="15.796875" style="63" bestFit="1" customWidth="1"/>
    <col min="11224" max="11224" width="10.296875" style="63" customWidth="1"/>
    <col min="11225" max="11225" width="7.09765625" style="63"/>
    <col min="11226" max="11226" width="12.3984375" style="63" bestFit="1" customWidth="1"/>
    <col min="11227" max="11227" width="12.69921875" style="63" bestFit="1" customWidth="1"/>
    <col min="11228" max="11228" width="7.796875" style="63" bestFit="1" customWidth="1"/>
    <col min="11229" max="11229" width="7.09765625" style="63"/>
    <col min="11230" max="11230" width="8.59765625" style="63" bestFit="1" customWidth="1"/>
    <col min="11231" max="11469" width="7.09765625" style="63"/>
    <col min="11470" max="11470" width="4.796875" style="63" customWidth="1"/>
    <col min="11471" max="11471" width="3" style="63" customWidth="1"/>
    <col min="11472" max="11472" width="37.19921875" style="63" customWidth="1"/>
    <col min="11473" max="11475" width="5.796875" style="63" customWidth="1"/>
    <col min="11476" max="11477" width="7.3984375" style="63" customWidth="1"/>
    <col min="11478" max="11478" width="14.3984375" style="63" bestFit="1" customWidth="1"/>
    <col min="11479" max="11479" width="15.796875" style="63" bestFit="1" customWidth="1"/>
    <col min="11480" max="11480" width="10.296875" style="63" customWidth="1"/>
    <col min="11481" max="11481" width="7.09765625" style="63"/>
    <col min="11482" max="11482" width="12.3984375" style="63" bestFit="1" customWidth="1"/>
    <col min="11483" max="11483" width="12.69921875" style="63" bestFit="1" customWidth="1"/>
    <col min="11484" max="11484" width="7.796875" style="63" bestFit="1" customWidth="1"/>
    <col min="11485" max="11485" width="7.09765625" style="63"/>
    <col min="11486" max="11486" width="8.59765625" style="63" bestFit="1" customWidth="1"/>
    <col min="11487" max="11725" width="7.09765625" style="63"/>
    <col min="11726" max="11726" width="4.796875" style="63" customWidth="1"/>
    <col min="11727" max="11727" width="3" style="63" customWidth="1"/>
    <col min="11728" max="11728" width="37.19921875" style="63" customWidth="1"/>
    <col min="11729" max="11731" width="5.796875" style="63" customWidth="1"/>
    <col min="11732" max="11733" width="7.3984375" style="63" customWidth="1"/>
    <col min="11734" max="11734" width="14.3984375" style="63" bestFit="1" customWidth="1"/>
    <col min="11735" max="11735" width="15.796875" style="63" bestFit="1" customWidth="1"/>
    <col min="11736" max="11736" width="10.296875" style="63" customWidth="1"/>
    <col min="11737" max="11737" width="7.09765625" style="63"/>
    <col min="11738" max="11738" width="12.3984375" style="63" bestFit="1" customWidth="1"/>
    <col min="11739" max="11739" width="12.69921875" style="63" bestFit="1" customWidth="1"/>
    <col min="11740" max="11740" width="7.796875" style="63" bestFit="1" customWidth="1"/>
    <col min="11741" max="11741" width="7.09765625" style="63"/>
    <col min="11742" max="11742" width="8.59765625" style="63" bestFit="1" customWidth="1"/>
    <col min="11743" max="11981" width="7.09765625" style="63"/>
    <col min="11982" max="11982" width="4.796875" style="63" customWidth="1"/>
    <col min="11983" max="11983" width="3" style="63" customWidth="1"/>
    <col min="11984" max="11984" width="37.19921875" style="63" customWidth="1"/>
    <col min="11985" max="11987" width="5.796875" style="63" customWidth="1"/>
    <col min="11988" max="11989" width="7.3984375" style="63" customWidth="1"/>
    <col min="11990" max="11990" width="14.3984375" style="63" bestFit="1" customWidth="1"/>
    <col min="11991" max="11991" width="15.796875" style="63" bestFit="1" customWidth="1"/>
    <col min="11992" max="11992" width="10.296875" style="63" customWidth="1"/>
    <col min="11993" max="11993" width="7.09765625" style="63"/>
    <col min="11994" max="11994" width="12.3984375" style="63" bestFit="1" customWidth="1"/>
    <col min="11995" max="11995" width="12.69921875" style="63" bestFit="1" customWidth="1"/>
    <col min="11996" max="11996" width="7.796875" style="63" bestFit="1" customWidth="1"/>
    <col min="11997" max="11997" width="7.09765625" style="63"/>
    <col min="11998" max="11998" width="8.59765625" style="63" bestFit="1" customWidth="1"/>
    <col min="11999" max="12237" width="7.09765625" style="63"/>
    <col min="12238" max="12238" width="4.796875" style="63" customWidth="1"/>
    <col min="12239" max="12239" width="3" style="63" customWidth="1"/>
    <col min="12240" max="12240" width="37.19921875" style="63" customWidth="1"/>
    <col min="12241" max="12243" width="5.796875" style="63" customWidth="1"/>
    <col min="12244" max="12245" width="7.3984375" style="63" customWidth="1"/>
    <col min="12246" max="12246" width="14.3984375" style="63" bestFit="1" customWidth="1"/>
    <col min="12247" max="12247" width="15.796875" style="63" bestFit="1" customWidth="1"/>
    <col min="12248" max="12248" width="10.296875" style="63" customWidth="1"/>
    <col min="12249" max="12249" width="7.09765625" style="63"/>
    <col min="12250" max="12250" width="12.3984375" style="63" bestFit="1" customWidth="1"/>
    <col min="12251" max="12251" width="12.69921875" style="63" bestFit="1" customWidth="1"/>
    <col min="12252" max="12252" width="7.796875" style="63" bestFit="1" customWidth="1"/>
    <col min="12253" max="12253" width="7.09765625" style="63"/>
    <col min="12254" max="12254" width="8.59765625" style="63" bestFit="1" customWidth="1"/>
    <col min="12255" max="12493" width="7.09765625" style="63"/>
    <col min="12494" max="12494" width="4.796875" style="63" customWidth="1"/>
    <col min="12495" max="12495" width="3" style="63" customWidth="1"/>
    <col min="12496" max="12496" width="37.19921875" style="63" customWidth="1"/>
    <col min="12497" max="12499" width="5.796875" style="63" customWidth="1"/>
    <col min="12500" max="12501" width="7.3984375" style="63" customWidth="1"/>
    <col min="12502" max="12502" width="14.3984375" style="63" bestFit="1" customWidth="1"/>
    <col min="12503" max="12503" width="15.796875" style="63" bestFit="1" customWidth="1"/>
    <col min="12504" max="12504" width="10.296875" style="63" customWidth="1"/>
    <col min="12505" max="12505" width="7.09765625" style="63"/>
    <col min="12506" max="12506" width="12.3984375" style="63" bestFit="1" customWidth="1"/>
    <col min="12507" max="12507" width="12.69921875" style="63" bestFit="1" customWidth="1"/>
    <col min="12508" max="12508" width="7.796875" style="63" bestFit="1" customWidth="1"/>
    <col min="12509" max="12509" width="7.09765625" style="63"/>
    <col min="12510" max="12510" width="8.59765625" style="63" bestFit="1" customWidth="1"/>
    <col min="12511" max="12749" width="7.09765625" style="63"/>
    <col min="12750" max="12750" width="4.796875" style="63" customWidth="1"/>
    <col min="12751" max="12751" width="3" style="63" customWidth="1"/>
    <col min="12752" max="12752" width="37.19921875" style="63" customWidth="1"/>
    <col min="12753" max="12755" width="5.796875" style="63" customWidth="1"/>
    <col min="12756" max="12757" width="7.3984375" style="63" customWidth="1"/>
    <col min="12758" max="12758" width="14.3984375" style="63" bestFit="1" customWidth="1"/>
    <col min="12759" max="12759" width="15.796875" style="63" bestFit="1" customWidth="1"/>
    <col min="12760" max="12760" width="10.296875" style="63" customWidth="1"/>
    <col min="12761" max="12761" width="7.09765625" style="63"/>
    <col min="12762" max="12762" width="12.3984375" style="63" bestFit="1" customWidth="1"/>
    <col min="12763" max="12763" width="12.69921875" style="63" bestFit="1" customWidth="1"/>
    <col min="12764" max="12764" width="7.796875" style="63" bestFit="1" customWidth="1"/>
    <col min="12765" max="12765" width="7.09765625" style="63"/>
    <col min="12766" max="12766" width="8.59765625" style="63" bestFit="1" customWidth="1"/>
    <col min="12767" max="13005" width="7.09765625" style="63"/>
    <col min="13006" max="13006" width="4.796875" style="63" customWidth="1"/>
    <col min="13007" max="13007" width="3" style="63" customWidth="1"/>
    <col min="13008" max="13008" width="37.19921875" style="63" customWidth="1"/>
    <col min="13009" max="13011" width="5.796875" style="63" customWidth="1"/>
    <col min="13012" max="13013" width="7.3984375" style="63" customWidth="1"/>
    <col min="13014" max="13014" width="14.3984375" style="63" bestFit="1" customWidth="1"/>
    <col min="13015" max="13015" width="15.796875" style="63" bestFit="1" customWidth="1"/>
    <col min="13016" max="13016" width="10.296875" style="63" customWidth="1"/>
    <col min="13017" max="13017" width="7.09765625" style="63"/>
    <col min="13018" max="13018" width="12.3984375" style="63" bestFit="1" customWidth="1"/>
    <col min="13019" max="13019" width="12.69921875" style="63" bestFit="1" customWidth="1"/>
    <col min="13020" max="13020" width="7.796875" style="63" bestFit="1" customWidth="1"/>
    <col min="13021" max="13021" width="7.09765625" style="63"/>
    <col min="13022" max="13022" width="8.59765625" style="63" bestFit="1" customWidth="1"/>
    <col min="13023" max="13261" width="7.09765625" style="63"/>
    <col min="13262" max="13262" width="4.796875" style="63" customWidth="1"/>
    <col min="13263" max="13263" width="3" style="63" customWidth="1"/>
    <col min="13264" max="13264" width="37.19921875" style="63" customWidth="1"/>
    <col min="13265" max="13267" width="5.796875" style="63" customWidth="1"/>
    <col min="13268" max="13269" width="7.3984375" style="63" customWidth="1"/>
    <col min="13270" max="13270" width="14.3984375" style="63" bestFit="1" customWidth="1"/>
    <col min="13271" max="13271" width="15.796875" style="63" bestFit="1" customWidth="1"/>
    <col min="13272" max="13272" width="10.296875" style="63" customWidth="1"/>
    <col min="13273" max="13273" width="7.09765625" style="63"/>
    <col min="13274" max="13274" width="12.3984375" style="63" bestFit="1" customWidth="1"/>
    <col min="13275" max="13275" width="12.69921875" style="63" bestFit="1" customWidth="1"/>
    <col min="13276" max="13276" width="7.796875" style="63" bestFit="1" customWidth="1"/>
    <col min="13277" max="13277" width="7.09765625" style="63"/>
    <col min="13278" max="13278" width="8.59765625" style="63" bestFit="1" customWidth="1"/>
    <col min="13279" max="13517" width="7.09765625" style="63"/>
    <col min="13518" max="13518" width="4.796875" style="63" customWidth="1"/>
    <col min="13519" max="13519" width="3" style="63" customWidth="1"/>
    <col min="13520" max="13520" width="37.19921875" style="63" customWidth="1"/>
    <col min="13521" max="13523" width="5.796875" style="63" customWidth="1"/>
    <col min="13524" max="13525" width="7.3984375" style="63" customWidth="1"/>
    <col min="13526" max="13526" width="14.3984375" style="63" bestFit="1" customWidth="1"/>
    <col min="13527" max="13527" width="15.796875" style="63" bestFit="1" customWidth="1"/>
    <col min="13528" max="13528" width="10.296875" style="63" customWidth="1"/>
    <col min="13529" max="13529" width="7.09765625" style="63"/>
    <col min="13530" max="13530" width="12.3984375" style="63" bestFit="1" customWidth="1"/>
    <col min="13531" max="13531" width="12.69921875" style="63" bestFit="1" customWidth="1"/>
    <col min="13532" max="13532" width="7.796875" style="63" bestFit="1" customWidth="1"/>
    <col min="13533" max="13533" width="7.09765625" style="63"/>
    <col min="13534" max="13534" width="8.59765625" style="63" bestFit="1" customWidth="1"/>
    <col min="13535" max="13773" width="7.09765625" style="63"/>
    <col min="13774" max="13774" width="4.796875" style="63" customWidth="1"/>
    <col min="13775" max="13775" width="3" style="63" customWidth="1"/>
    <col min="13776" max="13776" width="37.19921875" style="63" customWidth="1"/>
    <col min="13777" max="13779" width="5.796875" style="63" customWidth="1"/>
    <col min="13780" max="13781" width="7.3984375" style="63" customWidth="1"/>
    <col min="13782" max="13782" width="14.3984375" style="63" bestFit="1" customWidth="1"/>
    <col min="13783" max="13783" width="15.796875" style="63" bestFit="1" customWidth="1"/>
    <col min="13784" max="13784" width="10.296875" style="63" customWidth="1"/>
    <col min="13785" max="13785" width="7.09765625" style="63"/>
    <col min="13786" max="13786" width="12.3984375" style="63" bestFit="1" customWidth="1"/>
    <col min="13787" max="13787" width="12.69921875" style="63" bestFit="1" customWidth="1"/>
    <col min="13788" max="13788" width="7.796875" style="63" bestFit="1" customWidth="1"/>
    <col min="13789" max="13789" width="7.09765625" style="63"/>
    <col min="13790" max="13790" width="8.59765625" style="63" bestFit="1" customWidth="1"/>
    <col min="13791" max="14029" width="7.09765625" style="63"/>
    <col min="14030" max="14030" width="4.796875" style="63" customWidth="1"/>
    <col min="14031" max="14031" width="3" style="63" customWidth="1"/>
    <col min="14032" max="14032" width="37.19921875" style="63" customWidth="1"/>
    <col min="14033" max="14035" width="5.796875" style="63" customWidth="1"/>
    <col min="14036" max="14037" width="7.3984375" style="63" customWidth="1"/>
    <col min="14038" max="14038" width="14.3984375" style="63" bestFit="1" customWidth="1"/>
    <col min="14039" max="14039" width="15.796875" style="63" bestFit="1" customWidth="1"/>
    <col min="14040" max="14040" width="10.296875" style="63" customWidth="1"/>
    <col min="14041" max="14041" width="7.09765625" style="63"/>
    <col min="14042" max="14042" width="12.3984375" style="63" bestFit="1" customWidth="1"/>
    <col min="14043" max="14043" width="12.69921875" style="63" bestFit="1" customWidth="1"/>
    <col min="14044" max="14044" width="7.796875" style="63" bestFit="1" customWidth="1"/>
    <col min="14045" max="14045" width="7.09765625" style="63"/>
    <col min="14046" max="14046" width="8.59765625" style="63" bestFit="1" customWidth="1"/>
    <col min="14047" max="14285" width="7.09765625" style="63"/>
    <col min="14286" max="14286" width="4.796875" style="63" customWidth="1"/>
    <col min="14287" max="14287" width="3" style="63" customWidth="1"/>
    <col min="14288" max="14288" width="37.19921875" style="63" customWidth="1"/>
    <col min="14289" max="14291" width="5.796875" style="63" customWidth="1"/>
    <col min="14292" max="14293" width="7.3984375" style="63" customWidth="1"/>
    <col min="14294" max="14294" width="14.3984375" style="63" bestFit="1" customWidth="1"/>
    <col min="14295" max="14295" width="15.796875" style="63" bestFit="1" customWidth="1"/>
    <col min="14296" max="14296" width="10.296875" style="63" customWidth="1"/>
    <col min="14297" max="14297" width="7.09765625" style="63"/>
    <col min="14298" max="14298" width="12.3984375" style="63" bestFit="1" customWidth="1"/>
    <col min="14299" max="14299" width="12.69921875" style="63" bestFit="1" customWidth="1"/>
    <col min="14300" max="14300" width="7.796875" style="63" bestFit="1" customWidth="1"/>
    <col min="14301" max="14301" width="7.09765625" style="63"/>
    <col min="14302" max="14302" width="8.59765625" style="63" bestFit="1" customWidth="1"/>
    <col min="14303" max="14541" width="7.09765625" style="63"/>
    <col min="14542" max="14542" width="4.796875" style="63" customWidth="1"/>
    <col min="14543" max="14543" width="3" style="63" customWidth="1"/>
    <col min="14544" max="14544" width="37.19921875" style="63" customWidth="1"/>
    <col min="14545" max="14547" width="5.796875" style="63" customWidth="1"/>
    <col min="14548" max="14549" width="7.3984375" style="63" customWidth="1"/>
    <col min="14550" max="14550" width="14.3984375" style="63" bestFit="1" customWidth="1"/>
    <col min="14551" max="14551" width="15.796875" style="63" bestFit="1" customWidth="1"/>
    <col min="14552" max="14552" width="10.296875" style="63" customWidth="1"/>
    <col min="14553" max="14553" width="7.09765625" style="63"/>
    <col min="14554" max="14554" width="12.3984375" style="63" bestFit="1" customWidth="1"/>
    <col min="14555" max="14555" width="12.69921875" style="63" bestFit="1" customWidth="1"/>
    <col min="14556" max="14556" width="7.796875" style="63" bestFit="1" customWidth="1"/>
    <col min="14557" max="14557" width="7.09765625" style="63"/>
    <col min="14558" max="14558" width="8.59765625" style="63" bestFit="1" customWidth="1"/>
    <col min="14559" max="14797" width="7.09765625" style="63"/>
    <col min="14798" max="14798" width="4.796875" style="63" customWidth="1"/>
    <col min="14799" max="14799" width="3" style="63" customWidth="1"/>
    <col min="14800" max="14800" width="37.19921875" style="63" customWidth="1"/>
    <col min="14801" max="14803" width="5.796875" style="63" customWidth="1"/>
    <col min="14804" max="14805" width="7.3984375" style="63" customWidth="1"/>
    <col min="14806" max="14806" width="14.3984375" style="63" bestFit="1" customWidth="1"/>
    <col min="14807" max="14807" width="15.796875" style="63" bestFit="1" customWidth="1"/>
    <col min="14808" max="14808" width="10.296875" style="63" customWidth="1"/>
    <col min="14809" max="14809" width="7.09765625" style="63"/>
    <col min="14810" max="14810" width="12.3984375" style="63" bestFit="1" customWidth="1"/>
    <col min="14811" max="14811" width="12.69921875" style="63" bestFit="1" customWidth="1"/>
    <col min="14812" max="14812" width="7.796875" style="63" bestFit="1" customWidth="1"/>
    <col min="14813" max="14813" width="7.09765625" style="63"/>
    <col min="14814" max="14814" width="8.59765625" style="63" bestFit="1" customWidth="1"/>
    <col min="14815" max="15053" width="7.09765625" style="63"/>
    <col min="15054" max="15054" width="4.796875" style="63" customWidth="1"/>
    <col min="15055" max="15055" width="3" style="63" customWidth="1"/>
    <col min="15056" max="15056" width="37.19921875" style="63" customWidth="1"/>
    <col min="15057" max="15059" width="5.796875" style="63" customWidth="1"/>
    <col min="15060" max="15061" width="7.3984375" style="63" customWidth="1"/>
    <col min="15062" max="15062" width="14.3984375" style="63" bestFit="1" customWidth="1"/>
    <col min="15063" max="15063" width="15.796875" style="63" bestFit="1" customWidth="1"/>
    <col min="15064" max="15064" width="10.296875" style="63" customWidth="1"/>
    <col min="15065" max="15065" width="7.09765625" style="63"/>
    <col min="15066" max="15066" width="12.3984375" style="63" bestFit="1" customWidth="1"/>
    <col min="15067" max="15067" width="12.69921875" style="63" bestFit="1" customWidth="1"/>
    <col min="15068" max="15068" width="7.796875" style="63" bestFit="1" customWidth="1"/>
    <col min="15069" max="15069" width="7.09765625" style="63"/>
    <col min="15070" max="15070" width="8.59765625" style="63" bestFit="1" customWidth="1"/>
    <col min="15071" max="15309" width="7.09765625" style="63"/>
    <col min="15310" max="15310" width="4.796875" style="63" customWidth="1"/>
    <col min="15311" max="15311" width="3" style="63" customWidth="1"/>
    <col min="15312" max="15312" width="37.19921875" style="63" customWidth="1"/>
    <col min="15313" max="15315" width="5.796875" style="63" customWidth="1"/>
    <col min="15316" max="15317" width="7.3984375" style="63" customWidth="1"/>
    <col min="15318" max="15318" width="14.3984375" style="63" bestFit="1" customWidth="1"/>
    <col min="15319" max="15319" width="15.796875" style="63" bestFit="1" customWidth="1"/>
    <col min="15320" max="15320" width="10.296875" style="63" customWidth="1"/>
    <col min="15321" max="15321" width="7.09765625" style="63"/>
    <col min="15322" max="15322" width="12.3984375" style="63" bestFit="1" customWidth="1"/>
    <col min="15323" max="15323" width="12.69921875" style="63" bestFit="1" customWidth="1"/>
    <col min="15324" max="15324" width="7.796875" style="63" bestFit="1" customWidth="1"/>
    <col min="15325" max="15325" width="7.09765625" style="63"/>
    <col min="15326" max="15326" width="8.59765625" style="63" bestFit="1" customWidth="1"/>
    <col min="15327" max="15565" width="7.09765625" style="63"/>
    <col min="15566" max="15566" width="4.796875" style="63" customWidth="1"/>
    <col min="15567" max="15567" width="3" style="63" customWidth="1"/>
    <col min="15568" max="15568" width="37.19921875" style="63" customWidth="1"/>
    <col min="15569" max="15571" width="5.796875" style="63" customWidth="1"/>
    <col min="15572" max="15573" width="7.3984375" style="63" customWidth="1"/>
    <col min="15574" max="15574" width="14.3984375" style="63" bestFit="1" customWidth="1"/>
    <col min="15575" max="15575" width="15.796875" style="63" bestFit="1" customWidth="1"/>
    <col min="15576" max="15576" width="10.296875" style="63" customWidth="1"/>
    <col min="15577" max="15577" width="7.09765625" style="63"/>
    <col min="15578" max="15578" width="12.3984375" style="63" bestFit="1" customWidth="1"/>
    <col min="15579" max="15579" width="12.69921875" style="63" bestFit="1" customWidth="1"/>
    <col min="15580" max="15580" width="7.796875" style="63" bestFit="1" customWidth="1"/>
    <col min="15581" max="15581" width="7.09765625" style="63"/>
    <col min="15582" max="15582" width="8.59765625" style="63" bestFit="1" customWidth="1"/>
    <col min="15583" max="15821" width="7.09765625" style="63"/>
    <col min="15822" max="15822" width="4.796875" style="63" customWidth="1"/>
    <col min="15823" max="15823" width="3" style="63" customWidth="1"/>
    <col min="15824" max="15824" width="37.19921875" style="63" customWidth="1"/>
    <col min="15825" max="15827" width="5.796875" style="63" customWidth="1"/>
    <col min="15828" max="15829" width="7.3984375" style="63" customWidth="1"/>
    <col min="15830" max="15830" width="14.3984375" style="63" bestFit="1" customWidth="1"/>
    <col min="15831" max="15831" width="15.796875" style="63" bestFit="1" customWidth="1"/>
    <col min="15832" max="15832" width="10.296875" style="63" customWidth="1"/>
    <col min="15833" max="15833" width="7.09765625" style="63"/>
    <col min="15834" max="15834" width="12.3984375" style="63" bestFit="1" customWidth="1"/>
    <col min="15835" max="15835" width="12.69921875" style="63" bestFit="1" customWidth="1"/>
    <col min="15836" max="15836" width="7.796875" style="63" bestFit="1" customWidth="1"/>
    <col min="15837" max="15837" width="7.09765625" style="63"/>
    <col min="15838" max="15838" width="8.59765625" style="63" bestFit="1" customWidth="1"/>
    <col min="15839" max="16077" width="7.09765625" style="63"/>
    <col min="16078" max="16078" width="4.796875" style="63" customWidth="1"/>
    <col min="16079" max="16079" width="3" style="63" customWidth="1"/>
    <col min="16080" max="16080" width="37.19921875" style="63" customWidth="1"/>
    <col min="16081" max="16083" width="5.796875" style="63" customWidth="1"/>
    <col min="16084" max="16085" width="7.3984375" style="63" customWidth="1"/>
    <col min="16086" max="16086" width="14.3984375" style="63" bestFit="1" customWidth="1"/>
    <col min="16087" max="16087" width="15.796875" style="63" bestFit="1" customWidth="1"/>
    <col min="16088" max="16088" width="10.296875" style="63" customWidth="1"/>
    <col min="16089" max="16089" width="7.09765625" style="63"/>
    <col min="16090" max="16090" width="12.3984375" style="63" bestFit="1" customWidth="1"/>
    <col min="16091" max="16091" width="12.69921875" style="63" bestFit="1" customWidth="1"/>
    <col min="16092" max="16092" width="7.796875" style="63" bestFit="1" customWidth="1"/>
    <col min="16093" max="16093" width="7.09765625" style="63"/>
    <col min="16094" max="16094" width="8.59765625" style="63" bestFit="1" customWidth="1"/>
    <col min="16095" max="16384" width="7.09765625" style="63"/>
  </cols>
  <sheetData>
    <row r="1" spans="1:21" ht="21" x14ac:dyDescent="0.2">
      <c r="A1" s="1369" t="s">
        <v>1229</v>
      </c>
      <c r="B1" s="1369"/>
      <c r="C1" s="1369"/>
      <c r="D1" s="1369"/>
      <c r="E1" s="1369"/>
      <c r="F1" s="1369"/>
      <c r="G1" s="1369"/>
      <c r="H1" s="1369"/>
      <c r="I1" s="1369"/>
      <c r="J1" s="1369"/>
      <c r="K1" s="1369"/>
      <c r="L1" s="1369"/>
      <c r="M1" s="1369"/>
      <c r="N1" s="1369"/>
      <c r="O1" s="1369"/>
      <c r="P1" s="1369"/>
      <c r="Q1" s="1369"/>
      <c r="R1" s="1370"/>
      <c r="U1" s="1371" t="s">
        <v>66</v>
      </c>
    </row>
    <row r="2" spans="1:21" ht="11.25" customHeight="1" x14ac:dyDescent="0.25">
      <c r="A2" s="62"/>
      <c r="B2" s="62"/>
      <c r="C2" s="62"/>
      <c r="D2" s="62"/>
      <c r="E2" s="62"/>
      <c r="F2" s="62"/>
      <c r="G2" s="62"/>
      <c r="H2" s="62"/>
      <c r="I2" s="62"/>
      <c r="J2" s="62"/>
      <c r="K2" s="62"/>
      <c r="L2" s="62"/>
      <c r="M2" s="62"/>
    </row>
    <row r="3" spans="1:21" ht="16.5" customHeight="1" x14ac:dyDescent="0.15">
      <c r="A3" s="1372" t="s">
        <v>67</v>
      </c>
      <c r="B3" s="1373"/>
      <c r="C3" s="1373"/>
      <c r="D3" s="1374"/>
      <c r="E3" s="1375"/>
      <c r="F3" s="1376" t="s">
        <v>68</v>
      </c>
      <c r="G3" s="1375"/>
      <c r="H3" s="1375"/>
      <c r="I3" s="1375"/>
      <c r="J3" s="1375"/>
      <c r="K3" s="1375"/>
      <c r="L3" s="1375"/>
      <c r="M3" s="1375"/>
      <c r="N3" s="1375"/>
      <c r="O3" s="1375"/>
      <c r="P3" s="1375"/>
      <c r="Q3" s="1375"/>
      <c r="R3" s="1375"/>
    </row>
    <row r="4" spans="1:21" ht="26.25" customHeight="1" x14ac:dyDescent="0.15">
      <c r="A4" s="1372"/>
      <c r="B4" s="1373"/>
      <c r="C4" s="1373"/>
      <c r="D4" s="1374"/>
      <c r="E4" s="71"/>
      <c r="F4" s="72" t="s">
        <v>69</v>
      </c>
      <c r="G4" s="73" t="s">
        <v>1230</v>
      </c>
      <c r="H4" s="71"/>
      <c r="I4" s="71"/>
      <c r="J4" s="71"/>
      <c r="K4" s="71"/>
      <c r="L4" s="71"/>
      <c r="M4" s="64"/>
      <c r="O4" s="74"/>
      <c r="P4" s="64" t="s">
        <v>71</v>
      </c>
    </row>
    <row r="5" spans="1:21" ht="26.25" customHeight="1" x14ac:dyDescent="0.15">
      <c r="A5" s="1377" t="str">
        <f>IF(Input_TEL!E3="Yes", "외주최소화 Ver.", "일반 Ver.")</f>
        <v>일반 Ver.</v>
      </c>
      <c r="B5" s="1378"/>
      <c r="C5" s="1378"/>
      <c r="D5" s="1379"/>
      <c r="E5" s="1380"/>
      <c r="F5" s="1381" t="s">
        <v>74</v>
      </c>
      <c r="G5" s="1382" t="s">
        <v>75</v>
      </c>
      <c r="H5" s="1383"/>
      <c r="I5" s="1383"/>
      <c r="J5" s="1383"/>
      <c r="K5" s="1383"/>
      <c r="L5" s="1383"/>
      <c r="M5" s="1383"/>
      <c r="N5" s="1384"/>
      <c r="O5" s="79"/>
      <c r="P5" s="64" t="s">
        <v>73</v>
      </c>
      <c r="Q5" s="1384"/>
      <c r="R5" s="1384"/>
    </row>
    <row r="6" spans="1:21" ht="15" customHeight="1" thickBot="1" x14ac:dyDescent="0.2">
      <c r="A6" s="82"/>
      <c r="B6" s="82"/>
      <c r="C6" s="1385"/>
      <c r="D6" s="1380"/>
      <c r="E6" s="1380"/>
      <c r="F6" s="1386"/>
      <c r="G6" s="1386"/>
      <c r="H6" s="1386"/>
      <c r="I6" s="1386"/>
      <c r="J6" s="1386"/>
      <c r="K6" s="1386"/>
      <c r="L6" s="1386"/>
      <c r="M6" s="1386"/>
      <c r="N6" s="1387"/>
      <c r="O6" s="85"/>
      <c r="P6" s="85"/>
      <c r="Q6" s="85">
        <v>45838</v>
      </c>
      <c r="R6" s="1387"/>
      <c r="U6" s="63" t="s">
        <v>76</v>
      </c>
    </row>
    <row r="7" spans="1:21" ht="20.100000000000001" customHeight="1" x14ac:dyDescent="0.15">
      <c r="A7" s="1388" t="s">
        <v>77</v>
      </c>
      <c r="B7" s="1389" t="s">
        <v>1231</v>
      </c>
      <c r="C7" s="1390" t="s">
        <v>78</v>
      </c>
      <c r="D7" s="1391"/>
      <c r="E7" s="1389" t="s">
        <v>79</v>
      </c>
      <c r="F7" s="1392" t="s">
        <v>80</v>
      </c>
      <c r="G7" s="1393"/>
      <c r="H7" s="1393"/>
      <c r="I7" s="1393"/>
      <c r="J7" s="1393"/>
      <c r="K7" s="1393"/>
      <c r="L7" s="1393"/>
      <c r="M7" s="1393"/>
      <c r="N7" s="1394" t="s">
        <v>81</v>
      </c>
      <c r="O7" s="347" t="s">
        <v>82</v>
      </c>
      <c r="P7" s="1395"/>
      <c r="Q7" s="1395"/>
      <c r="R7" s="1396"/>
    </row>
    <row r="8" spans="1:21" ht="20.100000000000001" customHeight="1" x14ac:dyDescent="0.15">
      <c r="A8" s="1397"/>
      <c r="B8" s="1398"/>
      <c r="C8" s="1399"/>
      <c r="D8" s="1400"/>
      <c r="E8" s="1398"/>
      <c r="F8" s="1401" t="s">
        <v>83</v>
      </c>
      <c r="G8" s="1401"/>
      <c r="H8" s="1401"/>
      <c r="I8" s="1401"/>
      <c r="J8" s="102" t="s">
        <v>84</v>
      </c>
      <c r="K8" s="1401"/>
      <c r="L8" s="1401"/>
      <c r="M8" s="1401"/>
      <c r="N8" s="1402"/>
      <c r="O8" s="1403" t="s">
        <v>85</v>
      </c>
      <c r="P8" s="1404" t="s">
        <v>86</v>
      </c>
      <c r="Q8" s="1405" t="s">
        <v>87</v>
      </c>
      <c r="R8" s="1396"/>
    </row>
    <row r="9" spans="1:21" ht="20.100000000000001" customHeight="1" x14ac:dyDescent="0.15">
      <c r="A9" s="1397"/>
      <c r="B9" s="1398"/>
      <c r="C9" s="1406"/>
      <c r="D9" s="1407"/>
      <c r="E9" s="1398"/>
      <c r="F9" s="647" t="s">
        <v>88</v>
      </c>
      <c r="G9" s="647" t="s">
        <v>89</v>
      </c>
      <c r="H9" s="1408" t="s">
        <v>90</v>
      </c>
      <c r="I9" s="647" t="s">
        <v>91</v>
      </c>
      <c r="J9" s="646" t="s">
        <v>88</v>
      </c>
      <c r="K9" s="647" t="s">
        <v>89</v>
      </c>
      <c r="L9" s="1408" t="s">
        <v>90</v>
      </c>
      <c r="M9" s="647" t="s">
        <v>91</v>
      </c>
      <c r="N9" s="1402"/>
      <c r="O9" s="1403"/>
      <c r="P9" s="1404"/>
      <c r="Q9" s="1405"/>
      <c r="R9" s="1396"/>
    </row>
    <row r="10" spans="1:21" ht="20.100000000000001" customHeight="1" x14ac:dyDescent="0.15">
      <c r="A10" s="114"/>
      <c r="B10" s="117"/>
      <c r="C10" s="1409"/>
      <c r="D10" s="1410"/>
      <c r="E10" s="117"/>
      <c r="F10" s="1411"/>
      <c r="G10" s="1411"/>
      <c r="H10" s="140"/>
      <c r="I10" s="140"/>
      <c r="J10" s="1411"/>
      <c r="K10" s="1411"/>
      <c r="L10" s="140"/>
      <c r="M10" s="140"/>
      <c r="N10" s="1412"/>
      <c r="O10" s="1413"/>
      <c r="P10" s="124"/>
      <c r="Q10" s="125"/>
      <c r="R10" s="1414"/>
    </row>
    <row r="11" spans="1:21" ht="20.100000000000001" customHeight="1" x14ac:dyDescent="0.15">
      <c r="A11" s="126" t="s">
        <v>92</v>
      </c>
      <c r="B11" s="129"/>
      <c r="C11" s="1415" t="s">
        <v>1232</v>
      </c>
      <c r="D11" s="1416"/>
      <c r="E11" s="229"/>
      <c r="F11" s="1411"/>
      <c r="G11" s="1411"/>
      <c r="H11" s="140"/>
      <c r="I11" s="140"/>
      <c r="J11" s="1411"/>
      <c r="K11" s="1411"/>
      <c r="L11" s="140"/>
      <c r="M11" s="140"/>
      <c r="N11" s="1417"/>
      <c r="O11" s="1418"/>
      <c r="P11" s="124"/>
      <c r="Q11" s="125"/>
      <c r="R11" s="308"/>
    </row>
    <row r="12" spans="1:21" ht="20.100000000000001" customHeight="1" x14ac:dyDescent="0.15">
      <c r="A12" s="114">
        <v>1</v>
      </c>
      <c r="B12" s="117" t="s">
        <v>1233</v>
      </c>
      <c r="C12" s="115" t="s">
        <v>672</v>
      </c>
      <c r="D12" s="1419"/>
      <c r="E12" s="229"/>
      <c r="F12" s="1411"/>
      <c r="G12" s="1411"/>
      <c r="H12" s="140"/>
      <c r="I12" s="140"/>
      <c r="J12" s="1411"/>
      <c r="K12" s="1411"/>
      <c r="L12" s="140"/>
      <c r="M12" s="140"/>
      <c r="N12" s="1420"/>
      <c r="O12" s="1418"/>
      <c r="P12" s="124"/>
      <c r="Q12" s="125"/>
      <c r="R12" s="306"/>
    </row>
    <row r="13" spans="1:21" ht="20.100000000000001" customHeight="1" x14ac:dyDescent="0.15">
      <c r="A13" s="137"/>
      <c r="B13" s="842"/>
      <c r="C13" s="138" t="s">
        <v>95</v>
      </c>
      <c r="D13" s="139" t="s">
        <v>96</v>
      </c>
      <c r="E13" s="140" t="s">
        <v>97</v>
      </c>
      <c r="F13" s="1411"/>
      <c r="G13" s="1421">
        <v>40</v>
      </c>
      <c r="H13" s="1422">
        <v>30</v>
      </c>
      <c r="I13" s="1422">
        <v>15</v>
      </c>
      <c r="J13" s="1411"/>
      <c r="K13" s="1423" t="s">
        <v>98</v>
      </c>
      <c r="L13" s="1423" t="s">
        <v>98</v>
      </c>
      <c r="M13" s="1423" t="s">
        <v>98</v>
      </c>
      <c r="N13" s="1424" t="s">
        <v>1234</v>
      </c>
      <c r="O13" s="1418"/>
      <c r="P13" s="124"/>
      <c r="Q13" s="125" t="s">
        <v>100</v>
      </c>
      <c r="R13" s="1425"/>
    </row>
    <row r="14" spans="1:21" ht="36" customHeight="1" x14ac:dyDescent="0.15">
      <c r="A14" s="137"/>
      <c r="B14" s="842"/>
      <c r="C14" s="138" t="s">
        <v>102</v>
      </c>
      <c r="D14" s="139" t="s">
        <v>677</v>
      </c>
      <c r="E14" s="140" t="s">
        <v>97</v>
      </c>
      <c r="F14" s="1411"/>
      <c r="G14" s="1421">
        <v>60</v>
      </c>
      <c r="H14" s="1422">
        <v>40</v>
      </c>
      <c r="I14" s="1422">
        <v>20</v>
      </c>
      <c r="J14" s="1411"/>
      <c r="K14" s="1423" t="s">
        <v>98</v>
      </c>
      <c r="L14" s="1423" t="s">
        <v>98</v>
      </c>
      <c r="M14" s="1423" t="s">
        <v>98</v>
      </c>
      <c r="N14" s="1424" t="s">
        <v>1235</v>
      </c>
      <c r="O14" s="1418"/>
      <c r="P14" s="124"/>
      <c r="Q14" s="125" t="s">
        <v>1236</v>
      </c>
      <c r="R14" s="1425"/>
    </row>
    <row r="15" spans="1:21" ht="20.100000000000001" customHeight="1" x14ac:dyDescent="0.15">
      <c r="A15" s="114"/>
      <c r="B15" s="117"/>
      <c r="C15" s="138"/>
      <c r="D15" s="1426"/>
      <c r="E15" s="229"/>
      <c r="F15" s="1411"/>
      <c r="G15" s="1411"/>
      <c r="H15" s="140"/>
      <c r="I15" s="140"/>
      <c r="J15" s="1411"/>
      <c r="K15" s="1411"/>
      <c r="L15" s="140"/>
      <c r="M15" s="140"/>
      <c r="N15" s="1420"/>
      <c r="O15" s="1418"/>
      <c r="P15" s="124"/>
      <c r="Q15" s="125"/>
      <c r="R15" s="306"/>
    </row>
    <row r="16" spans="1:21" ht="20.100000000000001" customHeight="1" x14ac:dyDescent="0.15">
      <c r="A16" s="114">
        <v>2</v>
      </c>
      <c r="B16" s="117" t="s">
        <v>1237</v>
      </c>
      <c r="C16" s="115" t="s">
        <v>1238</v>
      </c>
      <c r="D16" s="1419"/>
      <c r="E16" s="229"/>
      <c r="F16" s="1411"/>
      <c r="G16" s="1411"/>
      <c r="H16" s="140"/>
      <c r="I16" s="140"/>
      <c r="J16" s="1411"/>
      <c r="K16" s="1411"/>
      <c r="L16" s="140"/>
      <c r="M16" s="140"/>
      <c r="N16" s="1420"/>
      <c r="O16" s="1418"/>
      <c r="P16" s="124"/>
      <c r="Q16" s="125"/>
      <c r="R16" s="306"/>
    </row>
    <row r="17" spans="1:18" ht="20.100000000000001" customHeight="1" x14ac:dyDescent="0.15">
      <c r="A17" s="114"/>
      <c r="B17" s="842"/>
      <c r="C17" s="138" t="s">
        <v>95</v>
      </c>
      <c r="D17" s="139" t="s">
        <v>1239</v>
      </c>
      <c r="E17" s="140" t="s">
        <v>97</v>
      </c>
      <c r="F17" s="1411"/>
      <c r="G17" s="1427">
        <v>40</v>
      </c>
      <c r="H17" s="1427">
        <v>40</v>
      </c>
      <c r="I17" s="1427">
        <v>40</v>
      </c>
      <c r="J17" s="1428"/>
      <c r="K17" s="1423" t="s">
        <v>98</v>
      </c>
      <c r="L17" s="1423" t="s">
        <v>98</v>
      </c>
      <c r="M17" s="1423" t="s">
        <v>98</v>
      </c>
      <c r="N17" s="1417" t="s">
        <v>1240</v>
      </c>
      <c r="O17" s="1418" t="s">
        <v>114</v>
      </c>
      <c r="P17" s="124" t="s">
        <v>115</v>
      </c>
      <c r="Q17" s="125"/>
      <c r="R17" s="308"/>
    </row>
    <row r="18" spans="1:18" ht="30" customHeight="1" x14ac:dyDescent="0.15">
      <c r="A18" s="114"/>
      <c r="B18" s="842"/>
      <c r="C18" s="138" t="s">
        <v>102</v>
      </c>
      <c r="D18" s="139" t="s">
        <v>1241</v>
      </c>
      <c r="E18" s="140" t="s">
        <v>97</v>
      </c>
      <c r="F18" s="1411"/>
      <c r="G18" s="1429">
        <v>240</v>
      </c>
      <c r="H18" s="1430">
        <v>120</v>
      </c>
      <c r="I18" s="1430">
        <v>120</v>
      </c>
      <c r="J18" s="1428"/>
      <c r="K18" s="1423" t="s">
        <v>98</v>
      </c>
      <c r="L18" s="1423" t="s">
        <v>98</v>
      </c>
      <c r="M18" s="1423" t="s">
        <v>98</v>
      </c>
      <c r="N18" s="1417" t="s">
        <v>1242</v>
      </c>
      <c r="O18" s="1418"/>
      <c r="P18" s="124"/>
      <c r="Q18" s="125"/>
      <c r="R18" s="308"/>
    </row>
    <row r="19" spans="1:18" ht="20.100000000000001" customHeight="1" x14ac:dyDescent="0.15">
      <c r="A19" s="114"/>
      <c r="B19" s="842"/>
      <c r="C19" s="138" t="s">
        <v>121</v>
      </c>
      <c r="D19" s="139" t="s">
        <v>1243</v>
      </c>
      <c r="E19" s="140" t="s">
        <v>97</v>
      </c>
      <c r="F19" s="1411"/>
      <c r="G19" s="1430">
        <v>240</v>
      </c>
      <c r="H19" s="1430">
        <v>240</v>
      </c>
      <c r="I19" s="1430">
        <v>240</v>
      </c>
      <c r="J19" s="1428"/>
      <c r="K19" s="1423" t="s">
        <v>98</v>
      </c>
      <c r="L19" s="1423" t="s">
        <v>98</v>
      </c>
      <c r="M19" s="1423" t="s">
        <v>98</v>
      </c>
      <c r="N19" s="1420"/>
      <c r="O19" s="1418"/>
      <c r="P19" s="124"/>
      <c r="Q19" s="125"/>
      <c r="R19" s="306"/>
    </row>
    <row r="20" spans="1:18" ht="120" customHeight="1" x14ac:dyDescent="0.15">
      <c r="A20" s="114"/>
      <c r="B20" s="842"/>
      <c r="C20" s="138"/>
      <c r="D20" s="139" t="s">
        <v>1244</v>
      </c>
      <c r="E20" s="140"/>
      <c r="F20" s="1411"/>
      <c r="G20" s="229"/>
      <c r="H20" s="229"/>
      <c r="I20" s="229"/>
      <c r="J20" s="1428"/>
      <c r="K20" s="1431"/>
      <c r="L20" s="1431"/>
      <c r="M20" s="1431"/>
      <c r="N20" s="1420" t="s">
        <v>1245</v>
      </c>
      <c r="O20" s="1418"/>
      <c r="P20" s="124"/>
      <c r="Q20" s="125"/>
      <c r="R20" s="306"/>
    </row>
    <row r="21" spans="1:18" ht="20.100000000000001" customHeight="1" x14ac:dyDescent="0.15">
      <c r="A21" s="114"/>
      <c r="B21" s="842"/>
      <c r="C21" s="138" t="s">
        <v>125</v>
      </c>
      <c r="D21" s="139" t="s">
        <v>1246</v>
      </c>
      <c r="E21" s="140" t="s">
        <v>97</v>
      </c>
      <c r="F21" s="1411"/>
      <c r="G21" s="1430">
        <v>120</v>
      </c>
      <c r="H21" s="1430">
        <v>120</v>
      </c>
      <c r="I21" s="1430">
        <v>120</v>
      </c>
      <c r="J21" s="1428"/>
      <c r="K21" s="1423" t="s">
        <v>98</v>
      </c>
      <c r="L21" s="1423" t="s">
        <v>98</v>
      </c>
      <c r="M21" s="1423" t="s">
        <v>98</v>
      </c>
      <c r="N21" s="1420"/>
      <c r="O21" s="1418"/>
      <c r="P21" s="124"/>
      <c r="Q21" s="125"/>
      <c r="R21" s="306"/>
    </row>
    <row r="22" spans="1:18" ht="20.100000000000001" customHeight="1" x14ac:dyDescent="0.15">
      <c r="A22" s="114"/>
      <c r="B22" s="842"/>
      <c r="C22" s="138" t="s">
        <v>1008</v>
      </c>
      <c r="D22" s="139" t="s">
        <v>1247</v>
      </c>
      <c r="E22" s="140" t="s">
        <v>97</v>
      </c>
      <c r="F22" s="1411"/>
      <c r="G22" s="1432">
        <f>IF($A$5="일반 Ver.", 120, 140)</f>
        <v>120</v>
      </c>
      <c r="H22" s="1432">
        <f t="shared" ref="H22:I23" si="0">IF($A$5="일반 Ver.", 120, 140)</f>
        <v>120</v>
      </c>
      <c r="I22" s="1432">
        <f t="shared" si="0"/>
        <v>120</v>
      </c>
      <c r="J22" s="1428"/>
      <c r="K22" s="1432">
        <f>IF($A$5="일반 Ver.", 100, 80)</f>
        <v>100</v>
      </c>
      <c r="L22" s="1432">
        <f t="shared" ref="L22:M23" si="1">IF($A$5="일반 Ver.", 100, 80)</f>
        <v>100</v>
      </c>
      <c r="M22" s="1432">
        <f t="shared" si="1"/>
        <v>100</v>
      </c>
      <c r="N22" s="1417" t="s">
        <v>1248</v>
      </c>
      <c r="O22" s="1418"/>
      <c r="P22" s="124"/>
      <c r="Q22" s="125" t="s">
        <v>1249</v>
      </c>
      <c r="R22" s="308"/>
    </row>
    <row r="23" spans="1:18" ht="41.25" customHeight="1" x14ac:dyDescent="0.15">
      <c r="A23" s="114"/>
      <c r="B23" s="842"/>
      <c r="C23" s="138" t="s">
        <v>1020</v>
      </c>
      <c r="D23" s="139" t="s">
        <v>1250</v>
      </c>
      <c r="E23" s="140" t="s">
        <v>97</v>
      </c>
      <c r="F23" s="1411"/>
      <c r="G23" s="1432">
        <f>IF($A$5="일반 Ver.", 120, 140)</f>
        <v>120</v>
      </c>
      <c r="H23" s="1432">
        <f t="shared" si="0"/>
        <v>120</v>
      </c>
      <c r="I23" s="1432">
        <f t="shared" si="0"/>
        <v>120</v>
      </c>
      <c r="J23" s="1428"/>
      <c r="K23" s="1432">
        <f t="shared" ref="K23" si="2">IF($A$5="일반 Ver.", 100, 80)</f>
        <v>100</v>
      </c>
      <c r="L23" s="1432">
        <f t="shared" si="1"/>
        <v>100</v>
      </c>
      <c r="M23" s="1432">
        <f t="shared" si="1"/>
        <v>100</v>
      </c>
      <c r="N23" s="1417" t="s">
        <v>1251</v>
      </c>
      <c r="O23" s="1418"/>
      <c r="P23" s="124"/>
      <c r="Q23" s="125" t="s">
        <v>1252</v>
      </c>
      <c r="R23" s="308"/>
    </row>
    <row r="24" spans="1:18" ht="20.100000000000001" customHeight="1" x14ac:dyDescent="0.15">
      <c r="A24" s="114"/>
      <c r="B24" s="117"/>
      <c r="C24" s="138"/>
      <c r="D24" s="1426"/>
      <c r="E24" s="140"/>
      <c r="F24" s="1411"/>
      <c r="G24" s="1411"/>
      <c r="H24" s="140"/>
      <c r="I24" s="140"/>
      <c r="J24" s="1411"/>
      <c r="K24" s="1411"/>
      <c r="L24" s="140"/>
      <c r="M24" s="140"/>
      <c r="N24" s="1420"/>
      <c r="O24" s="1418"/>
      <c r="P24" s="124"/>
      <c r="Q24" s="125"/>
      <c r="R24" s="306"/>
    </row>
    <row r="25" spans="1:18" ht="20.100000000000001" customHeight="1" x14ac:dyDescent="0.15">
      <c r="A25" s="114">
        <v>3</v>
      </c>
      <c r="B25" s="117" t="s">
        <v>1253</v>
      </c>
      <c r="C25" s="115" t="s">
        <v>688</v>
      </c>
      <c r="D25" s="1419"/>
      <c r="E25" s="229"/>
      <c r="F25" s="1411"/>
      <c r="G25" s="1411"/>
      <c r="H25" s="140"/>
      <c r="I25" s="140"/>
      <c r="J25" s="1411"/>
      <c r="K25" s="1411"/>
      <c r="L25" s="140"/>
      <c r="M25" s="140"/>
      <c r="N25" s="1420"/>
      <c r="O25" s="1418"/>
      <c r="P25" s="124"/>
      <c r="Q25" s="125"/>
      <c r="R25" s="306"/>
    </row>
    <row r="26" spans="1:18" ht="29.25" customHeight="1" x14ac:dyDescent="0.15">
      <c r="A26" s="114"/>
      <c r="B26" s="117"/>
      <c r="C26" s="138" t="s">
        <v>95</v>
      </c>
      <c r="D26" s="139" t="s">
        <v>112</v>
      </c>
      <c r="E26" s="140" t="s">
        <v>97</v>
      </c>
      <c r="F26" s="1411"/>
      <c r="G26" s="1421">
        <v>120</v>
      </c>
      <c r="H26" s="1422">
        <v>80</v>
      </c>
      <c r="I26" s="1422">
        <v>40</v>
      </c>
      <c r="J26" s="1411"/>
      <c r="K26" s="1423" t="s">
        <v>98</v>
      </c>
      <c r="L26" s="1423" t="s">
        <v>98</v>
      </c>
      <c r="M26" s="1423" t="s">
        <v>98</v>
      </c>
      <c r="N26" s="1424" t="s">
        <v>113</v>
      </c>
      <c r="O26" s="1418" t="s">
        <v>114</v>
      </c>
      <c r="P26" s="124" t="s">
        <v>115</v>
      </c>
      <c r="Q26" s="125" t="s">
        <v>1254</v>
      </c>
      <c r="R26" s="1425"/>
    </row>
    <row r="27" spans="1:18" ht="20.100000000000001" customHeight="1" x14ac:dyDescent="0.15">
      <c r="A27" s="114"/>
      <c r="B27" s="117"/>
      <c r="C27" s="138" t="s">
        <v>102</v>
      </c>
      <c r="D27" s="139" t="s">
        <v>1255</v>
      </c>
      <c r="E27" s="140" t="s">
        <v>118</v>
      </c>
      <c r="F27" s="1411"/>
      <c r="G27" s="1421">
        <v>80</v>
      </c>
      <c r="H27" s="1422">
        <v>60</v>
      </c>
      <c r="I27" s="1422">
        <v>30</v>
      </c>
      <c r="J27" s="1411"/>
      <c r="K27" s="1423" t="s">
        <v>98</v>
      </c>
      <c r="L27" s="1423" t="s">
        <v>98</v>
      </c>
      <c r="M27" s="1423" t="s">
        <v>98</v>
      </c>
      <c r="N27" s="1433" t="s">
        <v>119</v>
      </c>
      <c r="O27" s="1418"/>
      <c r="P27" s="124"/>
      <c r="Q27" s="125" t="s">
        <v>1256</v>
      </c>
      <c r="R27" s="1425"/>
    </row>
    <row r="28" spans="1:18" ht="20.100000000000001" customHeight="1" x14ac:dyDescent="0.15">
      <c r="A28" s="114"/>
      <c r="B28" s="117"/>
      <c r="C28" s="138" t="s">
        <v>121</v>
      </c>
      <c r="D28" s="139" t="s">
        <v>122</v>
      </c>
      <c r="E28" s="140" t="s">
        <v>118</v>
      </c>
      <c r="F28" s="1411"/>
      <c r="G28" s="1421">
        <v>80</v>
      </c>
      <c r="H28" s="1422">
        <v>60</v>
      </c>
      <c r="I28" s="1422">
        <v>30</v>
      </c>
      <c r="J28" s="1411"/>
      <c r="K28" s="1423" t="s">
        <v>98</v>
      </c>
      <c r="L28" s="1423" t="s">
        <v>98</v>
      </c>
      <c r="M28" s="1423" t="s">
        <v>98</v>
      </c>
      <c r="N28" s="1433" t="s">
        <v>123</v>
      </c>
      <c r="O28" s="1418"/>
      <c r="P28" s="124"/>
      <c r="Q28" s="125" t="s">
        <v>1257</v>
      </c>
      <c r="R28" s="1425"/>
    </row>
    <row r="29" spans="1:18" ht="20.100000000000001" customHeight="1" x14ac:dyDescent="0.15">
      <c r="A29" s="114"/>
      <c r="B29" s="117"/>
      <c r="C29" s="138" t="s">
        <v>125</v>
      </c>
      <c r="D29" s="139" t="s">
        <v>126</v>
      </c>
      <c r="E29" s="140" t="s">
        <v>118</v>
      </c>
      <c r="F29" s="1411"/>
      <c r="G29" s="1421">
        <v>200</v>
      </c>
      <c r="H29" s="1422">
        <v>160</v>
      </c>
      <c r="I29" s="1422">
        <v>75</v>
      </c>
      <c r="J29" s="1411"/>
      <c r="K29" s="1423" t="s">
        <v>98</v>
      </c>
      <c r="L29" s="1423" t="s">
        <v>98</v>
      </c>
      <c r="M29" s="1423" t="s">
        <v>98</v>
      </c>
      <c r="N29" s="1433" t="s">
        <v>127</v>
      </c>
      <c r="O29" s="1418"/>
      <c r="P29" s="124"/>
      <c r="Q29" s="125" t="s">
        <v>1258</v>
      </c>
      <c r="R29" s="1425"/>
    </row>
    <row r="30" spans="1:18" ht="20.100000000000001" customHeight="1" x14ac:dyDescent="0.15">
      <c r="A30" s="114"/>
      <c r="B30" s="117"/>
      <c r="C30" s="138"/>
      <c r="D30" s="1426"/>
      <c r="E30" s="140"/>
      <c r="F30" s="1411"/>
      <c r="G30" s="1411"/>
      <c r="H30" s="140"/>
      <c r="I30" s="140"/>
      <c r="J30" s="1411"/>
      <c r="K30" s="1411"/>
      <c r="L30" s="140"/>
      <c r="M30" s="140"/>
      <c r="N30" s="1420"/>
      <c r="O30" s="1418"/>
      <c r="P30" s="124"/>
      <c r="Q30" s="125"/>
      <c r="R30" s="306"/>
    </row>
    <row r="31" spans="1:18" ht="20.100000000000001" customHeight="1" x14ac:dyDescent="0.15">
      <c r="A31" s="126" t="s">
        <v>133</v>
      </c>
      <c r="B31" s="129"/>
      <c r="C31" s="1415" t="s">
        <v>1259</v>
      </c>
      <c r="D31" s="1416"/>
      <c r="E31" s="229"/>
      <c r="F31" s="1411"/>
      <c r="G31" s="1411"/>
      <c r="H31" s="140"/>
      <c r="I31" s="140"/>
      <c r="J31" s="1411"/>
      <c r="K31" s="1411"/>
      <c r="L31" s="140"/>
      <c r="M31" s="140"/>
      <c r="N31" s="1420"/>
      <c r="O31" s="1418"/>
      <c r="P31" s="124"/>
      <c r="Q31" s="125"/>
      <c r="R31" s="306"/>
    </row>
    <row r="32" spans="1:18" ht="20.100000000000001" customHeight="1" x14ac:dyDescent="0.15">
      <c r="A32" s="114">
        <v>1</v>
      </c>
      <c r="B32" s="117" t="s">
        <v>1260</v>
      </c>
      <c r="C32" s="115" t="s">
        <v>135</v>
      </c>
      <c r="D32" s="1419"/>
      <c r="E32" s="229"/>
      <c r="F32" s="1411"/>
      <c r="G32" s="1411"/>
      <c r="H32" s="140"/>
      <c r="I32" s="140"/>
      <c r="J32" s="1411"/>
      <c r="K32" s="1411"/>
      <c r="L32" s="140"/>
      <c r="M32" s="140"/>
      <c r="N32" s="1420"/>
      <c r="O32" s="1418"/>
      <c r="P32" s="124"/>
      <c r="Q32" s="125"/>
      <c r="R32" s="306"/>
    </row>
    <row r="33" spans="1:18" ht="30" customHeight="1" x14ac:dyDescent="0.15">
      <c r="A33" s="114"/>
      <c r="B33" s="117"/>
      <c r="C33" s="138" t="s">
        <v>491</v>
      </c>
      <c r="D33" s="139" t="s">
        <v>1261</v>
      </c>
      <c r="E33" s="140"/>
      <c r="F33" s="1411"/>
      <c r="G33" s="1411"/>
      <c r="H33" s="140"/>
      <c r="I33" s="140"/>
      <c r="J33" s="1411"/>
      <c r="K33" s="1411"/>
      <c r="L33" s="140"/>
      <c r="M33" s="140"/>
      <c r="N33" s="1417" t="s">
        <v>1262</v>
      </c>
      <c r="O33" s="1418" t="s">
        <v>114</v>
      </c>
      <c r="P33" s="124" t="s">
        <v>115</v>
      </c>
      <c r="Q33" s="125"/>
      <c r="R33" s="308"/>
    </row>
    <row r="34" spans="1:18" ht="20.100000000000001" customHeight="1" x14ac:dyDescent="0.15">
      <c r="A34" s="114"/>
      <c r="B34" s="117"/>
      <c r="C34" s="138"/>
      <c r="D34" s="139" t="s">
        <v>1263</v>
      </c>
      <c r="E34" s="140"/>
      <c r="F34" s="1411"/>
      <c r="G34" s="1411"/>
      <c r="H34" s="140"/>
      <c r="I34" s="140"/>
      <c r="J34" s="1411"/>
      <c r="K34" s="1411"/>
      <c r="L34" s="140"/>
      <c r="M34" s="140"/>
      <c r="N34" s="1417"/>
      <c r="O34" s="1418" t="s">
        <v>114</v>
      </c>
      <c r="P34" s="124" t="s">
        <v>115</v>
      </c>
      <c r="Q34" s="125"/>
      <c r="R34" s="308"/>
    </row>
    <row r="35" spans="1:18" ht="20.100000000000001" customHeight="1" x14ac:dyDescent="0.15">
      <c r="A35" s="114"/>
      <c r="B35" s="117"/>
      <c r="C35" s="138"/>
      <c r="D35" s="139" t="s">
        <v>1264</v>
      </c>
      <c r="E35" s="140" t="s">
        <v>1265</v>
      </c>
      <c r="F35" s="1411"/>
      <c r="G35" s="1434">
        <f>IF($A$5="일반 Ver.", 70, 78)</f>
        <v>70</v>
      </c>
      <c r="H35" s="1435">
        <f>IF($A$5="일반 Ver.", 35, 43)</f>
        <v>35</v>
      </c>
      <c r="I35" s="1435">
        <f>IF($A$5="일반 Ver.", 20, 28)</f>
        <v>20</v>
      </c>
      <c r="J35" s="1411"/>
      <c r="K35" s="1434">
        <f>IF($A$5="일반 Ver.", 8, 0)</f>
        <v>8</v>
      </c>
      <c r="L35" s="1434">
        <f t="shared" ref="L35:M47" si="3">IF($A$5="일반 Ver.", 8, 0)</f>
        <v>8</v>
      </c>
      <c r="M35" s="1434">
        <f t="shared" si="3"/>
        <v>8</v>
      </c>
      <c r="N35" s="1417"/>
      <c r="O35" s="1418"/>
      <c r="P35" s="124"/>
      <c r="Q35" s="125"/>
      <c r="R35" s="308"/>
    </row>
    <row r="36" spans="1:18" ht="20.100000000000001" customHeight="1" x14ac:dyDescent="0.15">
      <c r="A36" s="114"/>
      <c r="B36" s="117"/>
      <c r="C36" s="138"/>
      <c r="D36" s="139" t="s">
        <v>1266</v>
      </c>
      <c r="E36" s="140" t="s">
        <v>1265</v>
      </c>
      <c r="F36" s="1411"/>
      <c r="G36" s="1434">
        <f>IF($A$5="일반 Ver.", 200, 208)</f>
        <v>200</v>
      </c>
      <c r="H36" s="1435">
        <f>IF($A$5="일반 Ver.", 120, 128)</f>
        <v>120</v>
      </c>
      <c r="I36" s="1435">
        <f>IF($A$5="일반 Ver.", 60, 68)</f>
        <v>60</v>
      </c>
      <c r="J36" s="1411"/>
      <c r="K36" s="1434">
        <f t="shared" ref="K36:K47" si="4">IF($A$5="일반 Ver.", 8, 0)</f>
        <v>8</v>
      </c>
      <c r="L36" s="1434">
        <f t="shared" si="3"/>
        <v>8</v>
      </c>
      <c r="M36" s="1434">
        <f t="shared" si="3"/>
        <v>8</v>
      </c>
      <c r="N36" s="1417"/>
      <c r="O36" s="1418"/>
      <c r="P36" s="124"/>
      <c r="Q36" s="125"/>
      <c r="R36" s="308"/>
    </row>
    <row r="37" spans="1:18" ht="20.100000000000001" customHeight="1" x14ac:dyDescent="0.15">
      <c r="A37" s="114"/>
      <c r="B37" s="117"/>
      <c r="C37" s="138"/>
      <c r="D37" s="139" t="s">
        <v>1267</v>
      </c>
      <c r="E37" s="140" t="s">
        <v>1265</v>
      </c>
      <c r="F37" s="1411"/>
      <c r="G37" s="1434">
        <f>IF($A$5="일반 Ver.", 140, 148)</f>
        <v>140</v>
      </c>
      <c r="H37" s="1435">
        <f>IF($A$5="일반 Ver.", 70, 78)</f>
        <v>70</v>
      </c>
      <c r="I37" s="1435">
        <f>IF($A$5="일반 Ver.", 40, 48)</f>
        <v>40</v>
      </c>
      <c r="J37" s="1411"/>
      <c r="K37" s="1434">
        <f t="shared" si="4"/>
        <v>8</v>
      </c>
      <c r="L37" s="1434">
        <f t="shared" si="3"/>
        <v>8</v>
      </c>
      <c r="M37" s="1434">
        <f t="shared" si="3"/>
        <v>8</v>
      </c>
      <c r="N37" s="1417"/>
      <c r="O37" s="1418"/>
      <c r="P37" s="124"/>
      <c r="Q37" s="125"/>
      <c r="R37" s="308"/>
    </row>
    <row r="38" spans="1:18" ht="20.100000000000001" customHeight="1" x14ac:dyDescent="0.15">
      <c r="A38" s="114"/>
      <c r="B38" s="117"/>
      <c r="C38" s="138"/>
      <c r="D38" s="139" t="s">
        <v>1268</v>
      </c>
      <c r="E38" s="140" t="s">
        <v>1265</v>
      </c>
      <c r="F38" s="1411"/>
      <c r="G38" s="1434">
        <f>IF($A$5="일반 Ver.", 70, 78)</f>
        <v>70</v>
      </c>
      <c r="H38" s="1435">
        <f>IF($A$5="일반 Ver.", 35, 43)</f>
        <v>35</v>
      </c>
      <c r="I38" s="1435">
        <f>IF($A$5="일반 Ver.", 20, 28)</f>
        <v>20</v>
      </c>
      <c r="J38" s="1411"/>
      <c r="K38" s="1434">
        <f t="shared" si="4"/>
        <v>8</v>
      </c>
      <c r="L38" s="1434">
        <f t="shared" si="3"/>
        <v>8</v>
      </c>
      <c r="M38" s="1434">
        <f t="shared" si="3"/>
        <v>8</v>
      </c>
      <c r="N38" s="1417"/>
      <c r="O38" s="1418"/>
      <c r="P38" s="124"/>
      <c r="Q38" s="125"/>
      <c r="R38" s="308"/>
    </row>
    <row r="39" spans="1:18" ht="20.100000000000001" customHeight="1" x14ac:dyDescent="0.15">
      <c r="A39" s="114"/>
      <c r="B39" s="117"/>
      <c r="C39" s="138"/>
      <c r="D39" s="139" t="s">
        <v>1269</v>
      </c>
      <c r="E39" s="140" t="s">
        <v>1265</v>
      </c>
      <c r="F39" s="1411"/>
      <c r="G39" s="1434">
        <f>IF($A$5="일반 Ver.", 70, 78)</f>
        <v>70</v>
      </c>
      <c r="H39" s="1435">
        <f>IF($A$5="일반 Ver.", 35, 43)</f>
        <v>35</v>
      </c>
      <c r="I39" s="1435">
        <f>IF($A$5="일반 Ver.", 20, 28)</f>
        <v>20</v>
      </c>
      <c r="J39" s="1411"/>
      <c r="K39" s="1434">
        <f t="shared" si="4"/>
        <v>8</v>
      </c>
      <c r="L39" s="1434">
        <f t="shared" si="3"/>
        <v>8</v>
      </c>
      <c r="M39" s="1434">
        <f t="shared" si="3"/>
        <v>8</v>
      </c>
      <c r="N39" s="1417"/>
      <c r="O39" s="1418"/>
      <c r="P39" s="124"/>
      <c r="Q39" s="125"/>
      <c r="R39" s="308"/>
    </row>
    <row r="40" spans="1:18" ht="20.100000000000001" customHeight="1" x14ac:dyDescent="0.15">
      <c r="A40" s="114"/>
      <c r="B40" s="117"/>
      <c r="C40" s="138"/>
      <c r="D40" s="139" t="s">
        <v>1270</v>
      </c>
      <c r="E40" s="140" t="s">
        <v>1265</v>
      </c>
      <c r="F40" s="1411"/>
      <c r="G40" s="1434">
        <f>IF($A$5="일반 Ver.", 140, 148)</f>
        <v>140</v>
      </c>
      <c r="H40" s="1435">
        <f>IF($A$5="일반 Ver.", 70, 78)</f>
        <v>70</v>
      </c>
      <c r="I40" s="1435">
        <f>IF($A$5="일반 Ver.", 40, 48)</f>
        <v>40</v>
      </c>
      <c r="J40" s="1411"/>
      <c r="K40" s="1434">
        <f t="shared" si="4"/>
        <v>8</v>
      </c>
      <c r="L40" s="1434">
        <f t="shared" si="3"/>
        <v>8</v>
      </c>
      <c r="M40" s="1434">
        <f t="shared" si="3"/>
        <v>8</v>
      </c>
      <c r="N40" s="1417"/>
      <c r="O40" s="1418"/>
      <c r="P40" s="124"/>
      <c r="Q40" s="125"/>
      <c r="R40" s="308"/>
    </row>
    <row r="41" spans="1:18" ht="20.100000000000001" customHeight="1" x14ac:dyDescent="0.15">
      <c r="A41" s="114"/>
      <c r="B41" s="117"/>
      <c r="C41" s="138"/>
      <c r="D41" s="139" t="s">
        <v>1271</v>
      </c>
      <c r="E41" s="140" t="s">
        <v>1265</v>
      </c>
      <c r="F41" s="1411"/>
      <c r="G41" s="1434">
        <f>IF($A$5="일반 Ver.", 70, 78)</f>
        <v>70</v>
      </c>
      <c r="H41" s="1435">
        <f>IF($A$5="일반 Ver.", 35, 43)</f>
        <v>35</v>
      </c>
      <c r="I41" s="1435">
        <f>IF($A$5="일반 Ver.", 20, 28)</f>
        <v>20</v>
      </c>
      <c r="J41" s="1411"/>
      <c r="K41" s="1434">
        <f t="shared" si="4"/>
        <v>8</v>
      </c>
      <c r="L41" s="1434">
        <f t="shared" si="3"/>
        <v>8</v>
      </c>
      <c r="M41" s="1434">
        <f t="shared" si="3"/>
        <v>8</v>
      </c>
      <c r="N41" s="1417"/>
      <c r="O41" s="1418"/>
      <c r="P41" s="124"/>
      <c r="Q41" s="125"/>
      <c r="R41" s="308"/>
    </row>
    <row r="42" spans="1:18" ht="20.100000000000001" customHeight="1" x14ac:dyDescent="0.15">
      <c r="A42" s="114"/>
      <c r="B42" s="117"/>
      <c r="C42" s="138"/>
      <c r="D42" s="139" t="s">
        <v>1272</v>
      </c>
      <c r="E42" s="140" t="s">
        <v>1265</v>
      </c>
      <c r="F42" s="1411"/>
      <c r="G42" s="1434">
        <f>IF($A$5="일반 Ver.", 200, 208)</f>
        <v>200</v>
      </c>
      <c r="H42" s="1435">
        <f>IF($A$5="일반 Ver.", 120, 128)</f>
        <v>120</v>
      </c>
      <c r="I42" s="1435">
        <f>IF($A$5="일반 Ver.", 60, 68)</f>
        <v>60</v>
      </c>
      <c r="J42" s="1411"/>
      <c r="K42" s="1434">
        <f t="shared" si="4"/>
        <v>8</v>
      </c>
      <c r="L42" s="1434">
        <f t="shared" si="3"/>
        <v>8</v>
      </c>
      <c r="M42" s="1434">
        <f t="shared" si="3"/>
        <v>8</v>
      </c>
      <c r="N42" s="1417"/>
      <c r="O42" s="1418"/>
      <c r="P42" s="124"/>
      <c r="Q42" s="125"/>
      <c r="R42" s="308"/>
    </row>
    <row r="43" spans="1:18" ht="50.1" customHeight="1" x14ac:dyDescent="0.15">
      <c r="A43" s="114"/>
      <c r="B43" s="117"/>
      <c r="C43" s="138"/>
      <c r="D43" s="139" t="s">
        <v>1273</v>
      </c>
      <c r="E43" s="140" t="s">
        <v>1265</v>
      </c>
      <c r="F43" s="1411"/>
      <c r="G43" s="1434">
        <f>IF($A$5="일반 Ver.", 200, 208)</f>
        <v>200</v>
      </c>
      <c r="H43" s="1435">
        <f>IF($A$5="일반 Ver.", 120, 128)</f>
        <v>120</v>
      </c>
      <c r="I43" s="1435">
        <f>IF($A$5="일반 Ver.", 60, 68)</f>
        <v>60</v>
      </c>
      <c r="J43" s="1411"/>
      <c r="K43" s="1434">
        <f t="shared" si="4"/>
        <v>8</v>
      </c>
      <c r="L43" s="1434">
        <f t="shared" si="3"/>
        <v>8</v>
      </c>
      <c r="M43" s="1434">
        <f t="shared" si="3"/>
        <v>8</v>
      </c>
      <c r="N43" s="1417" t="s">
        <v>1274</v>
      </c>
      <c r="O43" s="1418"/>
      <c r="P43" s="124"/>
      <c r="Q43" s="125"/>
      <c r="R43" s="308"/>
    </row>
    <row r="44" spans="1:18" ht="20.100000000000001" customHeight="1" x14ac:dyDescent="0.15">
      <c r="A44" s="114"/>
      <c r="B44" s="117"/>
      <c r="C44" s="138"/>
      <c r="D44" s="139" t="s">
        <v>1275</v>
      </c>
      <c r="E44" s="140" t="s">
        <v>1265</v>
      </c>
      <c r="F44" s="1411"/>
      <c r="G44" s="1434">
        <f>IF($A$5="일반 Ver.", 70, 78)</f>
        <v>70</v>
      </c>
      <c r="H44" s="1435">
        <f>IF($A$5="일반 Ver.", 35, 43)</f>
        <v>35</v>
      </c>
      <c r="I44" s="1435">
        <f>IF($A$5="일반 Ver.", 20, 28)</f>
        <v>20</v>
      </c>
      <c r="J44" s="1411"/>
      <c r="K44" s="1434">
        <f t="shared" si="4"/>
        <v>8</v>
      </c>
      <c r="L44" s="1434">
        <f t="shared" si="3"/>
        <v>8</v>
      </c>
      <c r="M44" s="1434">
        <f t="shared" si="3"/>
        <v>8</v>
      </c>
      <c r="N44" s="1417"/>
      <c r="O44" s="1418"/>
      <c r="P44" s="124"/>
      <c r="Q44" s="125"/>
      <c r="R44" s="308"/>
    </row>
    <row r="45" spans="1:18" ht="20.100000000000001" customHeight="1" x14ac:dyDescent="0.15">
      <c r="A45" s="114"/>
      <c r="B45" s="117"/>
      <c r="C45" s="138"/>
      <c r="D45" s="139" t="s">
        <v>1276</v>
      </c>
      <c r="E45" s="140" t="s">
        <v>1265</v>
      </c>
      <c r="F45" s="1411"/>
      <c r="G45" s="1434">
        <f t="shared" ref="G45:G47" si="5">IF($A$5="일반 Ver.", 70, 78)</f>
        <v>70</v>
      </c>
      <c r="H45" s="1435">
        <f t="shared" ref="H45:H47" si="6">IF($A$5="일반 Ver.", 35, 43)</f>
        <v>35</v>
      </c>
      <c r="I45" s="1435">
        <f t="shared" ref="I45:I47" si="7">IF($A$5="일반 Ver.", 20, 28)</f>
        <v>20</v>
      </c>
      <c r="J45" s="1411"/>
      <c r="K45" s="1434">
        <f t="shared" si="4"/>
        <v>8</v>
      </c>
      <c r="L45" s="1434">
        <f t="shared" si="3"/>
        <v>8</v>
      </c>
      <c r="M45" s="1434">
        <f t="shared" si="3"/>
        <v>8</v>
      </c>
      <c r="N45" s="1417"/>
      <c r="O45" s="1418"/>
      <c r="P45" s="124"/>
      <c r="Q45" s="125"/>
      <c r="R45" s="308"/>
    </row>
    <row r="46" spans="1:18" ht="20.100000000000001" customHeight="1" x14ac:dyDescent="0.15">
      <c r="A46" s="114"/>
      <c r="B46" s="117"/>
      <c r="C46" s="138"/>
      <c r="D46" s="139" t="s">
        <v>1277</v>
      </c>
      <c r="E46" s="140" t="s">
        <v>1265</v>
      </c>
      <c r="F46" s="1411"/>
      <c r="G46" s="1434">
        <f t="shared" si="5"/>
        <v>70</v>
      </c>
      <c r="H46" s="1435">
        <f t="shared" si="6"/>
        <v>35</v>
      </c>
      <c r="I46" s="1435">
        <f t="shared" si="7"/>
        <v>20</v>
      </c>
      <c r="J46" s="1411"/>
      <c r="K46" s="1434">
        <f t="shared" si="4"/>
        <v>8</v>
      </c>
      <c r="L46" s="1434">
        <f t="shared" si="3"/>
        <v>8</v>
      </c>
      <c r="M46" s="1434">
        <f t="shared" si="3"/>
        <v>8</v>
      </c>
      <c r="N46" s="1417"/>
      <c r="O46" s="1418"/>
      <c r="P46" s="124"/>
      <c r="Q46" s="125"/>
      <c r="R46" s="308"/>
    </row>
    <row r="47" spans="1:18" ht="20.100000000000001" customHeight="1" x14ac:dyDescent="0.15">
      <c r="A47" s="114"/>
      <c r="B47" s="117"/>
      <c r="C47" s="138"/>
      <c r="D47" s="139" t="s">
        <v>1278</v>
      </c>
      <c r="E47" s="140" t="s">
        <v>1265</v>
      </c>
      <c r="F47" s="1411"/>
      <c r="G47" s="1434">
        <f t="shared" si="5"/>
        <v>70</v>
      </c>
      <c r="H47" s="1435">
        <f t="shared" si="6"/>
        <v>35</v>
      </c>
      <c r="I47" s="1435">
        <f t="shared" si="7"/>
        <v>20</v>
      </c>
      <c r="J47" s="1411"/>
      <c r="K47" s="1434">
        <f t="shared" si="4"/>
        <v>8</v>
      </c>
      <c r="L47" s="1434">
        <f t="shared" si="3"/>
        <v>8</v>
      </c>
      <c r="M47" s="1434">
        <f t="shared" si="3"/>
        <v>8</v>
      </c>
      <c r="N47" s="1417" t="s">
        <v>1279</v>
      </c>
      <c r="O47" s="1418"/>
      <c r="P47" s="124"/>
      <c r="Q47" s="125"/>
      <c r="R47" s="308"/>
    </row>
    <row r="48" spans="1:18" ht="31.5" customHeight="1" x14ac:dyDescent="0.15">
      <c r="A48" s="114"/>
      <c r="B48" s="117"/>
      <c r="C48" s="138"/>
      <c r="D48" s="139" t="s">
        <v>1280</v>
      </c>
      <c r="E48" s="140"/>
      <c r="F48" s="1411"/>
      <c r="G48" s="1411"/>
      <c r="H48" s="140"/>
      <c r="I48" s="140"/>
      <c r="J48" s="1411"/>
      <c r="K48" s="1411"/>
      <c r="L48" s="140"/>
      <c r="M48" s="140"/>
      <c r="N48" s="1417"/>
      <c r="O48" s="1418" t="s">
        <v>114</v>
      </c>
      <c r="P48" s="124" t="s">
        <v>115</v>
      </c>
      <c r="Q48" s="125"/>
      <c r="R48" s="308"/>
    </row>
    <row r="49" spans="1:18" ht="20.100000000000001" customHeight="1" x14ac:dyDescent="0.15">
      <c r="A49" s="114"/>
      <c r="B49" s="117"/>
      <c r="C49" s="138"/>
      <c r="D49" s="139" t="s">
        <v>1266</v>
      </c>
      <c r="E49" s="140" t="s">
        <v>1265</v>
      </c>
      <c r="F49" s="1411"/>
      <c r="G49" s="1434">
        <f>IF($A$5="일반 Ver.", 200, 208)</f>
        <v>200</v>
      </c>
      <c r="H49" s="1435">
        <f>IF($A$5="일반 Ver.", 120, 128)</f>
        <v>120</v>
      </c>
      <c r="I49" s="1435">
        <f>IF($A$5="일반 Ver.", 60, 68)</f>
        <v>60</v>
      </c>
      <c r="J49" s="1411"/>
      <c r="K49" s="1434">
        <f t="shared" ref="K49:M54" si="8">IF($A$5="일반 Ver.", 8, 0)</f>
        <v>8</v>
      </c>
      <c r="L49" s="1434">
        <f t="shared" si="8"/>
        <v>8</v>
      </c>
      <c r="M49" s="1434">
        <f t="shared" si="8"/>
        <v>8</v>
      </c>
      <c r="N49" s="1417"/>
      <c r="O49" s="1418"/>
      <c r="P49" s="124"/>
      <c r="Q49" s="125"/>
      <c r="R49" s="308"/>
    </row>
    <row r="50" spans="1:18" ht="30" customHeight="1" x14ac:dyDescent="0.15">
      <c r="A50" s="114"/>
      <c r="B50" s="117"/>
      <c r="C50" s="138"/>
      <c r="D50" s="139" t="s">
        <v>1281</v>
      </c>
      <c r="E50" s="140" t="s">
        <v>1265</v>
      </c>
      <c r="F50" s="1411"/>
      <c r="G50" s="1434">
        <f t="shared" ref="G50:G51" si="9">IF($A$5="일반 Ver.", 140, 148)</f>
        <v>140</v>
      </c>
      <c r="H50" s="1435">
        <f t="shared" ref="H50:H51" si="10">IF($A$5="일반 Ver.", 70, 78)</f>
        <v>70</v>
      </c>
      <c r="I50" s="1435">
        <f t="shared" ref="I50:I51" si="11">IF($A$5="일반 Ver.", 40, 48)</f>
        <v>40</v>
      </c>
      <c r="J50" s="1411"/>
      <c r="K50" s="1434">
        <f t="shared" si="8"/>
        <v>8</v>
      </c>
      <c r="L50" s="1434">
        <f t="shared" si="8"/>
        <v>8</v>
      </c>
      <c r="M50" s="1434">
        <f t="shared" si="8"/>
        <v>8</v>
      </c>
      <c r="N50" s="1417" t="s">
        <v>1282</v>
      </c>
      <c r="O50" s="1418"/>
      <c r="P50" s="124"/>
      <c r="Q50" s="125"/>
      <c r="R50" s="308"/>
    </row>
    <row r="51" spans="1:18" ht="20.100000000000001" customHeight="1" x14ac:dyDescent="0.15">
      <c r="A51" s="114"/>
      <c r="B51" s="117"/>
      <c r="C51" s="138"/>
      <c r="D51" s="139" t="s">
        <v>1283</v>
      </c>
      <c r="E51" s="140" t="s">
        <v>1265</v>
      </c>
      <c r="F51" s="1411"/>
      <c r="G51" s="1434">
        <f t="shared" si="9"/>
        <v>140</v>
      </c>
      <c r="H51" s="1435">
        <f t="shared" si="10"/>
        <v>70</v>
      </c>
      <c r="I51" s="1435">
        <f t="shared" si="11"/>
        <v>40</v>
      </c>
      <c r="J51" s="1411"/>
      <c r="K51" s="1434">
        <f t="shared" si="8"/>
        <v>8</v>
      </c>
      <c r="L51" s="1434">
        <f t="shared" si="8"/>
        <v>8</v>
      </c>
      <c r="M51" s="1434">
        <f t="shared" si="8"/>
        <v>8</v>
      </c>
      <c r="N51" s="1417"/>
      <c r="O51" s="1418"/>
      <c r="P51" s="124"/>
      <c r="Q51" s="125"/>
      <c r="R51" s="308"/>
    </row>
    <row r="52" spans="1:18" ht="20.100000000000001" customHeight="1" x14ac:dyDescent="0.15">
      <c r="A52" s="114"/>
      <c r="B52" s="117"/>
      <c r="C52" s="138"/>
      <c r="D52" s="139" t="s">
        <v>1284</v>
      </c>
      <c r="E52" s="140" t="s">
        <v>1265</v>
      </c>
      <c r="F52" s="1411"/>
      <c r="G52" s="1434">
        <f t="shared" ref="G52:G53" si="12">IF($A$5="일반 Ver.", 200, 208)</f>
        <v>200</v>
      </c>
      <c r="H52" s="1435">
        <f t="shared" ref="H52:H53" si="13">IF($A$5="일반 Ver.", 120, 128)</f>
        <v>120</v>
      </c>
      <c r="I52" s="1435">
        <f t="shared" ref="I52:I53" si="14">IF($A$5="일반 Ver.", 60, 68)</f>
        <v>60</v>
      </c>
      <c r="J52" s="1411"/>
      <c r="K52" s="1434">
        <f t="shared" si="8"/>
        <v>8</v>
      </c>
      <c r="L52" s="1434">
        <f t="shared" si="8"/>
        <v>8</v>
      </c>
      <c r="M52" s="1434">
        <f t="shared" si="8"/>
        <v>8</v>
      </c>
      <c r="N52" s="1417"/>
      <c r="O52" s="1418"/>
      <c r="P52" s="124"/>
      <c r="Q52" s="125"/>
      <c r="R52" s="308"/>
    </row>
    <row r="53" spans="1:18" ht="20.100000000000001" customHeight="1" x14ac:dyDescent="0.15">
      <c r="A53" s="114"/>
      <c r="B53" s="117"/>
      <c r="C53" s="138"/>
      <c r="D53" s="139" t="s">
        <v>1285</v>
      </c>
      <c r="E53" s="140" t="s">
        <v>1265</v>
      </c>
      <c r="F53" s="1411"/>
      <c r="G53" s="1434">
        <f t="shared" si="12"/>
        <v>200</v>
      </c>
      <c r="H53" s="1435">
        <f t="shared" si="13"/>
        <v>120</v>
      </c>
      <c r="I53" s="1435">
        <f t="shared" si="14"/>
        <v>60</v>
      </c>
      <c r="J53" s="1411"/>
      <c r="K53" s="1434">
        <f t="shared" si="8"/>
        <v>8</v>
      </c>
      <c r="L53" s="1434">
        <f t="shared" si="8"/>
        <v>8</v>
      </c>
      <c r="M53" s="1434">
        <f t="shared" si="8"/>
        <v>8</v>
      </c>
      <c r="N53" s="1417"/>
      <c r="O53" s="1418"/>
      <c r="P53" s="124"/>
      <c r="Q53" s="125"/>
      <c r="R53" s="308"/>
    </row>
    <row r="54" spans="1:18" ht="50.1" customHeight="1" x14ac:dyDescent="0.15">
      <c r="A54" s="114"/>
      <c r="B54" s="117"/>
      <c r="C54" s="138"/>
      <c r="D54" s="139" t="s">
        <v>1278</v>
      </c>
      <c r="E54" s="140" t="s">
        <v>1265</v>
      </c>
      <c r="F54" s="1411"/>
      <c r="G54" s="1434">
        <f>IF($A$5="일반 Ver.", 70, 78)</f>
        <v>70</v>
      </c>
      <c r="H54" s="1435">
        <f>IF($A$5="일반 Ver.", 35, 43)</f>
        <v>35</v>
      </c>
      <c r="I54" s="1435">
        <f>IF($A$5="일반 Ver.", 20, 28)</f>
        <v>20</v>
      </c>
      <c r="J54" s="1411"/>
      <c r="K54" s="1434">
        <f>IF($A$5="일반 Ver.", 8, 0)</f>
        <v>8</v>
      </c>
      <c r="L54" s="1434">
        <f t="shared" si="8"/>
        <v>8</v>
      </c>
      <c r="M54" s="1434">
        <f t="shared" si="8"/>
        <v>8</v>
      </c>
      <c r="N54" s="1417" t="s">
        <v>1286</v>
      </c>
      <c r="O54" s="1418"/>
      <c r="P54" s="124"/>
      <c r="Q54" s="125"/>
      <c r="R54" s="308"/>
    </row>
    <row r="55" spans="1:18" ht="60" customHeight="1" x14ac:dyDescent="0.15">
      <c r="A55" s="114"/>
      <c r="B55" s="117"/>
      <c r="C55" s="138" t="s">
        <v>102</v>
      </c>
      <c r="D55" s="139" t="s">
        <v>1287</v>
      </c>
      <c r="E55" s="140"/>
      <c r="F55" s="1411"/>
      <c r="G55" s="1411"/>
      <c r="H55" s="140"/>
      <c r="I55" s="140"/>
      <c r="J55" s="1411"/>
      <c r="K55" s="1411"/>
      <c r="L55" s="140"/>
      <c r="M55" s="140"/>
      <c r="N55" s="1417" t="s">
        <v>1288</v>
      </c>
      <c r="O55" s="1418" t="s">
        <v>114</v>
      </c>
      <c r="P55" s="124" t="s">
        <v>115</v>
      </c>
      <c r="Q55" s="125"/>
      <c r="R55" s="308"/>
    </row>
    <row r="56" spans="1:18" ht="20.100000000000001" customHeight="1" x14ac:dyDescent="0.15">
      <c r="A56" s="114"/>
      <c r="B56" s="117"/>
      <c r="C56" s="138"/>
      <c r="D56" s="139" t="s">
        <v>1263</v>
      </c>
      <c r="E56" s="140"/>
      <c r="F56" s="1411"/>
      <c r="G56" s="1411"/>
      <c r="H56" s="140"/>
      <c r="I56" s="140"/>
      <c r="J56" s="1411"/>
      <c r="K56" s="1411"/>
      <c r="L56" s="140"/>
      <c r="M56" s="140"/>
      <c r="N56" s="1417"/>
      <c r="O56" s="1418" t="s">
        <v>114</v>
      </c>
      <c r="P56" s="124" t="s">
        <v>115</v>
      </c>
      <c r="Q56" s="125"/>
      <c r="R56" s="308"/>
    </row>
    <row r="57" spans="1:18" ht="77.25" customHeight="1" x14ac:dyDescent="0.15">
      <c r="A57" s="114"/>
      <c r="B57" s="117"/>
      <c r="C57" s="138"/>
      <c r="D57" s="139" t="s">
        <v>1264</v>
      </c>
      <c r="E57" s="140" t="s">
        <v>1265</v>
      </c>
      <c r="F57" s="1411"/>
      <c r="G57" s="1434">
        <f>IF($A$5="일반 Ver.", 50, 55)</f>
        <v>50</v>
      </c>
      <c r="H57" s="1435">
        <f>IF($A$5="일반 Ver.", 40, 45)</f>
        <v>40</v>
      </c>
      <c r="I57" s="1435">
        <f>IF($A$5="일반 Ver.", 30, 35)</f>
        <v>30</v>
      </c>
      <c r="J57" s="1411"/>
      <c r="K57" s="1434">
        <f>IF($A$5="일반 Ver.", 20, 15)</f>
        <v>20</v>
      </c>
      <c r="L57" s="1434">
        <f t="shared" ref="L57:M72" si="15">IF($A$5="일반 Ver.", 20, 15)</f>
        <v>20</v>
      </c>
      <c r="M57" s="1434">
        <f t="shared" si="15"/>
        <v>20</v>
      </c>
      <c r="N57" s="1417"/>
      <c r="O57" s="1418"/>
      <c r="P57" s="124"/>
      <c r="Q57" s="125"/>
      <c r="R57" s="308"/>
    </row>
    <row r="58" spans="1:18" ht="77.25" customHeight="1" x14ac:dyDescent="0.15">
      <c r="A58" s="114"/>
      <c r="B58" s="117"/>
      <c r="C58" s="138"/>
      <c r="D58" s="139" t="s">
        <v>1266</v>
      </c>
      <c r="E58" s="140" t="s">
        <v>1265</v>
      </c>
      <c r="F58" s="1411"/>
      <c r="G58" s="1434">
        <f>IF($A$5="일반 Ver.", 120,125)</f>
        <v>120</v>
      </c>
      <c r="H58" s="1435">
        <f>IF($A$5="일반 Ver.", 80, 85)</f>
        <v>80</v>
      </c>
      <c r="I58" s="1435">
        <f>IF($A$5="일반 Ver.", 60, 65)</f>
        <v>60</v>
      </c>
      <c r="J58" s="1411"/>
      <c r="K58" s="1434">
        <f t="shared" ref="K58:M73" si="16">IF($A$5="일반 Ver.", 20, 15)</f>
        <v>20</v>
      </c>
      <c r="L58" s="1434">
        <f t="shared" si="15"/>
        <v>20</v>
      </c>
      <c r="M58" s="1434">
        <f t="shared" si="15"/>
        <v>20</v>
      </c>
      <c r="N58" s="1417"/>
      <c r="O58" s="1418"/>
      <c r="P58" s="124"/>
      <c r="Q58" s="125"/>
      <c r="R58" s="308"/>
    </row>
    <row r="59" spans="1:18" ht="48.75" customHeight="1" x14ac:dyDescent="0.15">
      <c r="A59" s="114"/>
      <c r="B59" s="117"/>
      <c r="C59" s="138"/>
      <c r="D59" s="139" t="s">
        <v>1267</v>
      </c>
      <c r="E59" s="140" t="s">
        <v>1265</v>
      </c>
      <c r="F59" s="1411"/>
      <c r="G59" s="1434">
        <f t="shared" ref="G59:G63" si="17">IF($A$5="일반 Ver.", 50, 55)</f>
        <v>50</v>
      </c>
      <c r="H59" s="1435">
        <f t="shared" ref="H59:H63" si="18">IF($A$5="일반 Ver.", 40, 45)</f>
        <v>40</v>
      </c>
      <c r="I59" s="1435">
        <f t="shared" ref="I59:I63" si="19">IF($A$5="일반 Ver.", 30, 35)</f>
        <v>30</v>
      </c>
      <c r="J59" s="1411"/>
      <c r="K59" s="1434">
        <f t="shared" si="16"/>
        <v>20</v>
      </c>
      <c r="L59" s="1434">
        <f t="shared" si="15"/>
        <v>20</v>
      </c>
      <c r="M59" s="1434">
        <f t="shared" si="15"/>
        <v>20</v>
      </c>
      <c r="N59" s="1417"/>
      <c r="O59" s="1418"/>
      <c r="P59" s="124"/>
      <c r="Q59" s="125"/>
      <c r="R59" s="308"/>
    </row>
    <row r="60" spans="1:18" ht="77.25" customHeight="1" x14ac:dyDescent="0.15">
      <c r="A60" s="114"/>
      <c r="B60" s="117"/>
      <c r="C60" s="138"/>
      <c r="D60" s="139" t="s">
        <v>1268</v>
      </c>
      <c r="E60" s="140" t="s">
        <v>1265</v>
      </c>
      <c r="F60" s="1411"/>
      <c r="G60" s="1434">
        <f t="shared" si="17"/>
        <v>50</v>
      </c>
      <c r="H60" s="1435">
        <f t="shared" si="18"/>
        <v>40</v>
      </c>
      <c r="I60" s="1435">
        <f t="shared" si="19"/>
        <v>30</v>
      </c>
      <c r="J60" s="1411"/>
      <c r="K60" s="1434">
        <f t="shared" si="16"/>
        <v>20</v>
      </c>
      <c r="L60" s="1434">
        <f t="shared" si="15"/>
        <v>20</v>
      </c>
      <c r="M60" s="1434">
        <f t="shared" si="15"/>
        <v>20</v>
      </c>
      <c r="N60" s="1417"/>
      <c r="O60" s="1418"/>
      <c r="P60" s="124"/>
      <c r="Q60" s="125"/>
      <c r="R60" s="308"/>
    </row>
    <row r="61" spans="1:18" ht="77.25" customHeight="1" x14ac:dyDescent="0.15">
      <c r="A61" s="114"/>
      <c r="B61" s="117"/>
      <c r="C61" s="138"/>
      <c r="D61" s="139" t="s">
        <v>1269</v>
      </c>
      <c r="E61" s="140" t="s">
        <v>1265</v>
      </c>
      <c r="F61" s="1411"/>
      <c r="G61" s="1434">
        <f t="shared" si="17"/>
        <v>50</v>
      </c>
      <c r="H61" s="1435">
        <f t="shared" si="18"/>
        <v>40</v>
      </c>
      <c r="I61" s="1435">
        <f t="shared" si="19"/>
        <v>30</v>
      </c>
      <c r="J61" s="1411"/>
      <c r="K61" s="1434">
        <f t="shared" si="16"/>
        <v>20</v>
      </c>
      <c r="L61" s="1434">
        <f t="shared" si="15"/>
        <v>20</v>
      </c>
      <c r="M61" s="1434">
        <f t="shared" si="15"/>
        <v>20</v>
      </c>
      <c r="N61" s="1417"/>
      <c r="O61" s="1418"/>
      <c r="P61" s="124"/>
      <c r="Q61" s="125"/>
      <c r="R61" s="308"/>
    </row>
    <row r="62" spans="1:18" ht="97.5" customHeight="1" x14ac:dyDescent="0.15">
      <c r="A62" s="114"/>
      <c r="B62" s="117"/>
      <c r="C62" s="138"/>
      <c r="D62" s="139" t="s">
        <v>1270</v>
      </c>
      <c r="E62" s="140" t="s">
        <v>1265</v>
      </c>
      <c r="F62" s="1411"/>
      <c r="G62" s="1434">
        <f>IF($A$5="일반 Ver.", 70, 75)</f>
        <v>70</v>
      </c>
      <c r="H62" s="1435">
        <f>IF($A$5="일반 Ver.", 50, 55)</f>
        <v>50</v>
      </c>
      <c r="I62" s="1435">
        <f>IF($A$5="일반 Ver.", 30, 35)</f>
        <v>30</v>
      </c>
      <c r="J62" s="1411"/>
      <c r="K62" s="1434">
        <f t="shared" si="16"/>
        <v>20</v>
      </c>
      <c r="L62" s="1434">
        <f t="shared" si="15"/>
        <v>20</v>
      </c>
      <c r="M62" s="1434">
        <f t="shared" si="15"/>
        <v>20</v>
      </c>
      <c r="N62" s="1417"/>
      <c r="O62" s="1418"/>
      <c r="P62" s="124"/>
      <c r="Q62" s="125"/>
      <c r="R62" s="308"/>
    </row>
    <row r="63" spans="1:18" ht="77.25" customHeight="1" x14ac:dyDescent="0.15">
      <c r="A63" s="114"/>
      <c r="B63" s="117"/>
      <c r="C63" s="138"/>
      <c r="D63" s="139" t="s">
        <v>1271</v>
      </c>
      <c r="E63" s="140" t="s">
        <v>1265</v>
      </c>
      <c r="F63" s="1411"/>
      <c r="G63" s="1434">
        <f t="shared" si="17"/>
        <v>50</v>
      </c>
      <c r="H63" s="1435">
        <f t="shared" si="18"/>
        <v>40</v>
      </c>
      <c r="I63" s="1435">
        <f t="shared" si="19"/>
        <v>30</v>
      </c>
      <c r="J63" s="1411"/>
      <c r="K63" s="1434">
        <f t="shared" si="16"/>
        <v>20</v>
      </c>
      <c r="L63" s="1434">
        <f t="shared" si="15"/>
        <v>20</v>
      </c>
      <c r="M63" s="1434">
        <f t="shared" si="15"/>
        <v>20</v>
      </c>
      <c r="N63" s="1417"/>
      <c r="O63" s="1418"/>
      <c r="P63" s="124"/>
      <c r="Q63" s="125"/>
      <c r="R63" s="308"/>
    </row>
    <row r="64" spans="1:18" ht="77.25" customHeight="1" x14ac:dyDescent="0.15">
      <c r="A64" s="114"/>
      <c r="B64" s="117"/>
      <c r="C64" s="138"/>
      <c r="D64" s="139" t="s">
        <v>1272</v>
      </c>
      <c r="E64" s="140" t="s">
        <v>1265</v>
      </c>
      <c r="F64" s="1411"/>
      <c r="G64" s="1434">
        <f t="shared" ref="G64:G65" si="20">IF($A$5="일반 Ver.", 120,125)</f>
        <v>120</v>
      </c>
      <c r="H64" s="1435">
        <f t="shared" ref="H64:H65" si="21">IF($A$5="일반 Ver.", 80, 85)</f>
        <v>80</v>
      </c>
      <c r="I64" s="1435">
        <f t="shared" ref="I64:I65" si="22">IF($A$5="일반 Ver.", 60, 65)</f>
        <v>60</v>
      </c>
      <c r="J64" s="1411"/>
      <c r="K64" s="1434">
        <f t="shared" si="16"/>
        <v>20</v>
      </c>
      <c r="L64" s="1434">
        <f t="shared" si="15"/>
        <v>20</v>
      </c>
      <c r="M64" s="1434">
        <f t="shared" si="15"/>
        <v>20</v>
      </c>
      <c r="N64" s="1417"/>
      <c r="O64" s="1418"/>
      <c r="P64" s="124"/>
      <c r="Q64" s="125"/>
      <c r="R64" s="308"/>
    </row>
    <row r="65" spans="1:18" ht="50.1" customHeight="1" x14ac:dyDescent="0.15">
      <c r="A65" s="114"/>
      <c r="B65" s="117"/>
      <c r="C65" s="138"/>
      <c r="D65" s="139" t="s">
        <v>1273</v>
      </c>
      <c r="E65" s="140" t="s">
        <v>1265</v>
      </c>
      <c r="F65" s="1411"/>
      <c r="G65" s="1434">
        <f t="shared" si="20"/>
        <v>120</v>
      </c>
      <c r="H65" s="1435">
        <f t="shared" si="21"/>
        <v>80</v>
      </c>
      <c r="I65" s="1435">
        <f t="shared" si="22"/>
        <v>60</v>
      </c>
      <c r="J65" s="1411"/>
      <c r="K65" s="1434">
        <f t="shared" si="16"/>
        <v>20</v>
      </c>
      <c r="L65" s="1434">
        <f t="shared" si="15"/>
        <v>20</v>
      </c>
      <c r="M65" s="1434">
        <f t="shared" si="15"/>
        <v>20</v>
      </c>
      <c r="N65" s="1417" t="s">
        <v>1274</v>
      </c>
      <c r="O65" s="1418"/>
      <c r="P65" s="124"/>
      <c r="Q65" s="125"/>
      <c r="R65" s="308"/>
    </row>
    <row r="66" spans="1:18" ht="20.100000000000001" customHeight="1" x14ac:dyDescent="0.15">
      <c r="A66" s="114"/>
      <c r="B66" s="117"/>
      <c r="C66" s="138"/>
      <c r="D66" s="139" t="s">
        <v>1275</v>
      </c>
      <c r="E66" s="140" t="s">
        <v>1265</v>
      </c>
      <c r="F66" s="1411"/>
      <c r="G66" s="1434">
        <f t="shared" ref="G66:G71" si="23">IF($A$5="일반 Ver.", 50, 55)</f>
        <v>50</v>
      </c>
      <c r="H66" s="1435">
        <f t="shared" ref="H66:H71" si="24">IF($A$5="일반 Ver.", 40, 45)</f>
        <v>40</v>
      </c>
      <c r="I66" s="1435">
        <f t="shared" ref="I66:I71" si="25">IF($A$5="일반 Ver.", 30, 35)</f>
        <v>30</v>
      </c>
      <c r="J66" s="1411"/>
      <c r="K66" s="1434">
        <f t="shared" si="16"/>
        <v>20</v>
      </c>
      <c r="L66" s="1434">
        <f t="shared" si="15"/>
        <v>20</v>
      </c>
      <c r="M66" s="1434">
        <f t="shared" si="15"/>
        <v>20</v>
      </c>
      <c r="N66" s="1417"/>
      <c r="O66" s="1418"/>
      <c r="P66" s="124"/>
      <c r="Q66" s="125"/>
      <c r="R66" s="308"/>
    </row>
    <row r="67" spans="1:18" ht="20.100000000000001" customHeight="1" x14ac:dyDescent="0.15">
      <c r="A67" s="114"/>
      <c r="B67" s="117"/>
      <c r="C67" s="138"/>
      <c r="D67" s="139" t="s">
        <v>1276</v>
      </c>
      <c r="E67" s="140" t="s">
        <v>1265</v>
      </c>
      <c r="F67" s="1411"/>
      <c r="G67" s="1434">
        <f t="shared" si="23"/>
        <v>50</v>
      </c>
      <c r="H67" s="1435">
        <f t="shared" si="24"/>
        <v>40</v>
      </c>
      <c r="I67" s="1435">
        <f t="shared" si="25"/>
        <v>30</v>
      </c>
      <c r="J67" s="1411"/>
      <c r="K67" s="1434">
        <f t="shared" si="16"/>
        <v>20</v>
      </c>
      <c r="L67" s="1434">
        <f t="shared" si="15"/>
        <v>20</v>
      </c>
      <c r="M67" s="1434">
        <f t="shared" si="15"/>
        <v>20</v>
      </c>
      <c r="N67" s="1417"/>
      <c r="O67" s="1418"/>
      <c r="P67" s="124"/>
      <c r="Q67" s="125"/>
      <c r="R67" s="308"/>
    </row>
    <row r="68" spans="1:18" ht="20.100000000000001" customHeight="1" x14ac:dyDescent="0.15">
      <c r="A68" s="114"/>
      <c r="B68" s="117"/>
      <c r="C68" s="138"/>
      <c r="D68" s="139" t="s">
        <v>1277</v>
      </c>
      <c r="E68" s="140" t="s">
        <v>1265</v>
      </c>
      <c r="F68" s="1411"/>
      <c r="G68" s="1434">
        <f t="shared" ref="G68" si="26">IF($A$5="일반 Ver.", 120,125)</f>
        <v>120</v>
      </c>
      <c r="H68" s="1435">
        <f t="shared" ref="H68" si="27">IF($A$5="일반 Ver.", 80, 85)</f>
        <v>80</v>
      </c>
      <c r="I68" s="1435">
        <f t="shared" ref="I68" si="28">IF($A$5="일반 Ver.", 60, 65)</f>
        <v>60</v>
      </c>
      <c r="J68" s="1411"/>
      <c r="K68" s="1434">
        <f t="shared" si="16"/>
        <v>20</v>
      </c>
      <c r="L68" s="1434">
        <f t="shared" si="15"/>
        <v>20</v>
      </c>
      <c r="M68" s="1434">
        <f t="shared" si="15"/>
        <v>20</v>
      </c>
      <c r="N68" s="1417"/>
      <c r="O68" s="1418"/>
      <c r="P68" s="124"/>
      <c r="Q68" s="125"/>
      <c r="R68" s="308"/>
    </row>
    <row r="69" spans="1:18" ht="20.100000000000001" customHeight="1" x14ac:dyDescent="0.15">
      <c r="A69" s="114"/>
      <c r="B69" s="117"/>
      <c r="C69" s="138"/>
      <c r="D69" s="139" t="s">
        <v>1278</v>
      </c>
      <c r="E69" s="140" t="s">
        <v>1265</v>
      </c>
      <c r="F69" s="1411"/>
      <c r="G69" s="1434">
        <f t="shared" si="23"/>
        <v>50</v>
      </c>
      <c r="H69" s="1435">
        <f t="shared" si="24"/>
        <v>40</v>
      </c>
      <c r="I69" s="1435">
        <f t="shared" si="25"/>
        <v>30</v>
      </c>
      <c r="J69" s="1411"/>
      <c r="K69" s="1434">
        <f t="shared" si="16"/>
        <v>20</v>
      </c>
      <c r="L69" s="1434">
        <f t="shared" si="15"/>
        <v>20</v>
      </c>
      <c r="M69" s="1434">
        <f t="shared" si="15"/>
        <v>20</v>
      </c>
      <c r="N69" s="1417"/>
      <c r="O69" s="1418"/>
      <c r="P69" s="124"/>
      <c r="Q69" s="125"/>
      <c r="R69" s="308"/>
    </row>
    <row r="70" spans="1:18" ht="20.100000000000001" customHeight="1" x14ac:dyDescent="0.15">
      <c r="A70" s="114"/>
      <c r="B70" s="117"/>
      <c r="C70" s="138"/>
      <c r="D70" s="139" t="s">
        <v>1280</v>
      </c>
      <c r="E70" s="140"/>
      <c r="F70" s="1411"/>
      <c r="G70" s="1411"/>
      <c r="H70" s="140"/>
      <c r="I70" s="140"/>
      <c r="J70" s="1411"/>
      <c r="K70" s="1411"/>
      <c r="L70" s="140"/>
      <c r="M70" s="140"/>
      <c r="N70" s="1417"/>
      <c r="O70" s="1418" t="s">
        <v>114</v>
      </c>
      <c r="P70" s="124" t="s">
        <v>115</v>
      </c>
      <c r="Q70" s="125"/>
      <c r="R70" s="308"/>
    </row>
    <row r="71" spans="1:18" ht="20.100000000000001" customHeight="1" x14ac:dyDescent="0.15">
      <c r="A71" s="114"/>
      <c r="B71" s="117"/>
      <c r="C71" s="138"/>
      <c r="D71" s="139" t="s">
        <v>1266</v>
      </c>
      <c r="E71" s="140" t="s">
        <v>1265</v>
      </c>
      <c r="F71" s="1411"/>
      <c r="G71" s="1434">
        <f t="shared" si="23"/>
        <v>50</v>
      </c>
      <c r="H71" s="1435">
        <f t="shared" si="24"/>
        <v>40</v>
      </c>
      <c r="I71" s="1435">
        <f t="shared" si="25"/>
        <v>30</v>
      </c>
      <c r="J71" s="1411"/>
      <c r="K71" s="1434">
        <f t="shared" si="16"/>
        <v>20</v>
      </c>
      <c r="L71" s="1434">
        <f t="shared" si="15"/>
        <v>20</v>
      </c>
      <c r="M71" s="1434">
        <f t="shared" si="15"/>
        <v>20</v>
      </c>
      <c r="N71" s="1417"/>
      <c r="O71" s="1418"/>
      <c r="P71" s="124"/>
      <c r="Q71" s="125"/>
      <c r="R71" s="308"/>
    </row>
    <row r="72" spans="1:18" ht="20.100000000000001" customHeight="1" x14ac:dyDescent="0.15">
      <c r="A72" s="114"/>
      <c r="B72" s="117"/>
      <c r="C72" s="138"/>
      <c r="D72" s="139" t="s">
        <v>1281</v>
      </c>
      <c r="E72" s="140" t="s">
        <v>1265</v>
      </c>
      <c r="F72" s="1411"/>
      <c r="G72" s="1434">
        <f t="shared" ref="G72:G74" si="29">IF($A$5="일반 Ver.", 120,125)</f>
        <v>120</v>
      </c>
      <c r="H72" s="1435">
        <f t="shared" ref="H72:H74" si="30">IF($A$5="일반 Ver.", 80, 85)</f>
        <v>80</v>
      </c>
      <c r="I72" s="1435">
        <f t="shared" ref="I72:I74" si="31">IF($A$5="일반 Ver.", 60, 65)</f>
        <v>60</v>
      </c>
      <c r="J72" s="1411"/>
      <c r="K72" s="1434">
        <f t="shared" si="16"/>
        <v>20</v>
      </c>
      <c r="L72" s="1434">
        <f t="shared" si="15"/>
        <v>20</v>
      </c>
      <c r="M72" s="1434">
        <f t="shared" si="15"/>
        <v>20</v>
      </c>
      <c r="N72" s="1417"/>
      <c r="O72" s="1418"/>
      <c r="P72" s="124"/>
      <c r="Q72" s="125"/>
      <c r="R72" s="308"/>
    </row>
    <row r="73" spans="1:18" ht="20.100000000000001" customHeight="1" x14ac:dyDescent="0.15">
      <c r="A73" s="114"/>
      <c r="B73" s="117"/>
      <c r="C73" s="138"/>
      <c r="D73" s="139" t="s">
        <v>1283</v>
      </c>
      <c r="E73" s="140" t="s">
        <v>1265</v>
      </c>
      <c r="F73" s="1411"/>
      <c r="G73" s="1434">
        <f t="shared" si="29"/>
        <v>120</v>
      </c>
      <c r="H73" s="1435">
        <f t="shared" si="30"/>
        <v>80</v>
      </c>
      <c r="I73" s="1435">
        <f t="shared" si="31"/>
        <v>60</v>
      </c>
      <c r="J73" s="1411"/>
      <c r="K73" s="1434">
        <f t="shared" si="16"/>
        <v>20</v>
      </c>
      <c r="L73" s="1434">
        <f t="shared" si="16"/>
        <v>20</v>
      </c>
      <c r="M73" s="1434">
        <f t="shared" si="16"/>
        <v>20</v>
      </c>
      <c r="N73" s="1417"/>
      <c r="O73" s="1418"/>
      <c r="P73" s="124"/>
      <c r="Q73" s="125"/>
      <c r="R73" s="308"/>
    </row>
    <row r="74" spans="1:18" ht="20.100000000000001" customHeight="1" x14ac:dyDescent="0.15">
      <c r="A74" s="114"/>
      <c r="B74" s="117"/>
      <c r="C74" s="138"/>
      <c r="D74" s="139" t="s">
        <v>1284</v>
      </c>
      <c r="E74" s="140" t="s">
        <v>1265</v>
      </c>
      <c r="F74" s="1411"/>
      <c r="G74" s="1434">
        <f t="shared" si="29"/>
        <v>120</v>
      </c>
      <c r="H74" s="1435">
        <f t="shared" si="30"/>
        <v>80</v>
      </c>
      <c r="I74" s="1435">
        <f t="shared" si="31"/>
        <v>60</v>
      </c>
      <c r="J74" s="1411"/>
      <c r="K74" s="1434">
        <f t="shared" ref="K74:M76" si="32">IF($A$5="일반 Ver.", 20, 15)</f>
        <v>20</v>
      </c>
      <c r="L74" s="1434">
        <f t="shared" si="32"/>
        <v>20</v>
      </c>
      <c r="M74" s="1434">
        <f t="shared" si="32"/>
        <v>20</v>
      </c>
      <c r="N74" s="1417"/>
      <c r="O74" s="1418"/>
      <c r="P74" s="124"/>
      <c r="Q74" s="125"/>
      <c r="R74" s="308"/>
    </row>
    <row r="75" spans="1:18" ht="20.100000000000001" customHeight="1" x14ac:dyDescent="0.15">
      <c r="A75" s="114"/>
      <c r="B75" s="117"/>
      <c r="C75" s="138"/>
      <c r="D75" s="139" t="s">
        <v>1285</v>
      </c>
      <c r="E75" s="140" t="s">
        <v>1265</v>
      </c>
      <c r="F75" s="1411"/>
      <c r="G75" s="1434">
        <f t="shared" ref="G75" si="33">IF($A$5="일반 Ver.", 50, 55)</f>
        <v>50</v>
      </c>
      <c r="H75" s="1435">
        <f t="shared" ref="H75:H76" si="34">IF($A$5="일반 Ver.", 40, 45)</f>
        <v>40</v>
      </c>
      <c r="I75" s="1435">
        <f t="shared" ref="I75:I76" si="35">IF($A$5="일반 Ver.", 30, 35)</f>
        <v>30</v>
      </c>
      <c r="J75" s="1411"/>
      <c r="K75" s="1434">
        <f t="shared" si="32"/>
        <v>20</v>
      </c>
      <c r="L75" s="1434">
        <f t="shared" si="32"/>
        <v>20</v>
      </c>
      <c r="M75" s="1434">
        <f t="shared" si="32"/>
        <v>20</v>
      </c>
      <c r="N75" s="1417"/>
      <c r="O75" s="1418"/>
      <c r="P75" s="124"/>
      <c r="Q75" s="125"/>
      <c r="R75" s="308"/>
    </row>
    <row r="76" spans="1:18" ht="50.1" customHeight="1" x14ac:dyDescent="0.15">
      <c r="A76" s="114"/>
      <c r="B76" s="117"/>
      <c r="C76" s="138"/>
      <c r="D76" s="139" t="s">
        <v>1278</v>
      </c>
      <c r="E76" s="140" t="s">
        <v>1265</v>
      </c>
      <c r="F76" s="1411"/>
      <c r="G76" s="1434">
        <f>IF($A$5="일반 Ver.", 50, 55)</f>
        <v>50</v>
      </c>
      <c r="H76" s="1435">
        <f t="shared" si="34"/>
        <v>40</v>
      </c>
      <c r="I76" s="1435">
        <f t="shared" si="35"/>
        <v>30</v>
      </c>
      <c r="J76" s="1411"/>
      <c r="K76" s="1434">
        <f t="shared" si="32"/>
        <v>20</v>
      </c>
      <c r="L76" s="1434">
        <f t="shared" si="32"/>
        <v>20</v>
      </c>
      <c r="M76" s="1434">
        <f t="shared" si="32"/>
        <v>20</v>
      </c>
      <c r="N76" s="1417" t="s">
        <v>1286</v>
      </c>
      <c r="O76" s="1418"/>
      <c r="P76" s="124"/>
      <c r="Q76" s="125"/>
      <c r="R76" s="308"/>
    </row>
    <row r="77" spans="1:18" ht="20.100000000000001" customHeight="1" x14ac:dyDescent="0.15">
      <c r="A77" s="114"/>
      <c r="B77" s="117"/>
      <c r="C77" s="138"/>
      <c r="D77" s="1426"/>
      <c r="E77" s="140"/>
      <c r="F77" s="1411"/>
      <c r="G77" s="1411"/>
      <c r="H77" s="140"/>
      <c r="I77" s="140"/>
      <c r="J77" s="1411"/>
      <c r="K77" s="1411"/>
      <c r="L77" s="140"/>
      <c r="M77" s="140"/>
      <c r="N77" s="1420"/>
      <c r="O77" s="1418"/>
      <c r="P77" s="124"/>
      <c r="Q77" s="125"/>
      <c r="R77" s="306"/>
    </row>
    <row r="78" spans="1:18" ht="20.100000000000001" customHeight="1" x14ac:dyDescent="0.15">
      <c r="A78" s="114">
        <v>2</v>
      </c>
      <c r="B78" s="117" t="s">
        <v>1289</v>
      </c>
      <c r="C78" s="115" t="s">
        <v>145</v>
      </c>
      <c r="D78" s="1419"/>
      <c r="E78" s="229"/>
      <c r="F78" s="1411"/>
      <c r="G78" s="1411"/>
      <c r="H78" s="140"/>
      <c r="I78" s="140"/>
      <c r="J78" s="1411"/>
      <c r="K78" s="1411"/>
      <c r="L78" s="140"/>
      <c r="M78" s="140"/>
      <c r="N78" s="1420"/>
      <c r="O78" s="1418"/>
      <c r="P78" s="124"/>
      <c r="Q78" s="125"/>
      <c r="R78" s="306"/>
    </row>
    <row r="79" spans="1:18" ht="20.100000000000001" customHeight="1" x14ac:dyDescent="0.15">
      <c r="A79" s="114"/>
      <c r="B79" s="117"/>
      <c r="C79" s="138" t="s">
        <v>95</v>
      </c>
      <c r="D79" s="139" t="s">
        <v>1290</v>
      </c>
      <c r="E79" s="140" t="s">
        <v>1291</v>
      </c>
      <c r="F79" s="1411"/>
      <c r="G79" s="1434">
        <f>IF($A$5="일반 Ver.", 50, 100)</f>
        <v>50</v>
      </c>
      <c r="H79" s="1434">
        <f t="shared" ref="H79:H80" si="36">IF($A$5="일반 Ver.", 50, 100)</f>
        <v>50</v>
      </c>
      <c r="I79" s="1434">
        <f>IF($A$5="일반 Ver.", 50, 100)</f>
        <v>50</v>
      </c>
      <c r="J79" s="1411"/>
      <c r="K79" s="1435">
        <f>IF($A$5="일반 Ver.", 150, 100)</f>
        <v>150</v>
      </c>
      <c r="L79" s="1435">
        <f t="shared" ref="L79:M80" si="37">IF($A$5="일반 Ver.", 150, 100)</f>
        <v>150</v>
      </c>
      <c r="M79" s="1435">
        <f t="shared" si="37"/>
        <v>150</v>
      </c>
      <c r="N79" s="1420"/>
      <c r="O79" s="1418" t="s">
        <v>149</v>
      </c>
      <c r="P79" s="124" t="s">
        <v>115</v>
      </c>
      <c r="Q79" s="125"/>
      <c r="R79" s="306"/>
    </row>
    <row r="80" spans="1:18" ht="30" customHeight="1" x14ac:dyDescent="0.15">
      <c r="A80" s="114"/>
      <c r="B80" s="117"/>
      <c r="C80" s="138" t="s">
        <v>525</v>
      </c>
      <c r="D80" s="139" t="s">
        <v>1292</v>
      </c>
      <c r="E80" s="140" t="s">
        <v>97</v>
      </c>
      <c r="F80" s="1411"/>
      <c r="G80" s="1434">
        <f>IF($A$5="일반 Ver.", 50, 100)</f>
        <v>50</v>
      </c>
      <c r="H80" s="1434">
        <f t="shared" si="36"/>
        <v>50</v>
      </c>
      <c r="I80" s="1434">
        <f>IF($A$5="일반 Ver.", 50, 100)</f>
        <v>50</v>
      </c>
      <c r="J80" s="1411"/>
      <c r="K80" s="1435">
        <f>IF($A$5="일반 Ver.", 150, 100)</f>
        <v>150</v>
      </c>
      <c r="L80" s="1435">
        <f t="shared" si="37"/>
        <v>150</v>
      </c>
      <c r="M80" s="1435">
        <f t="shared" si="37"/>
        <v>150</v>
      </c>
      <c r="N80" s="1417" t="s">
        <v>1293</v>
      </c>
      <c r="O80" s="1418" t="s">
        <v>149</v>
      </c>
      <c r="P80" s="124" t="s">
        <v>115</v>
      </c>
      <c r="Q80" s="125" t="s">
        <v>1294</v>
      </c>
      <c r="R80" s="308"/>
    </row>
    <row r="81" spans="1:18" ht="20.100000000000001" customHeight="1" x14ac:dyDescent="0.15">
      <c r="A81" s="114"/>
      <c r="B81" s="117"/>
      <c r="C81" s="138" t="s">
        <v>941</v>
      </c>
      <c r="D81" s="139" t="s">
        <v>1295</v>
      </c>
      <c r="E81" s="140" t="s">
        <v>97</v>
      </c>
      <c r="F81" s="1411"/>
      <c r="G81" s="1434">
        <f>IF($A$5="일반 Ver.", 24, 54)</f>
        <v>24</v>
      </c>
      <c r="H81" s="1434">
        <f t="shared" ref="H81:I81" si="38">IF($A$5="일반 Ver.", 24, 54)</f>
        <v>24</v>
      </c>
      <c r="I81" s="1434">
        <f t="shared" si="38"/>
        <v>24</v>
      </c>
      <c r="J81" s="1411"/>
      <c r="K81" s="1434">
        <f>IF($A$5="일반 Ver.", 150, 120)</f>
        <v>150</v>
      </c>
      <c r="L81" s="1434">
        <f t="shared" ref="L81:M81" si="39">IF($A$5="일반 Ver.", 150, 120)</f>
        <v>150</v>
      </c>
      <c r="M81" s="1434">
        <f t="shared" si="39"/>
        <v>150</v>
      </c>
      <c r="N81" s="1417" t="s">
        <v>1296</v>
      </c>
      <c r="O81" s="1418" t="s">
        <v>149</v>
      </c>
      <c r="P81" s="124" t="s">
        <v>158</v>
      </c>
      <c r="Q81" s="125" t="s">
        <v>1297</v>
      </c>
      <c r="R81" s="308"/>
    </row>
    <row r="82" spans="1:18" ht="50.1" customHeight="1" x14ac:dyDescent="0.15">
      <c r="A82" s="114"/>
      <c r="B82" s="117"/>
      <c r="C82" s="138" t="s">
        <v>125</v>
      </c>
      <c r="D82" s="139" t="s">
        <v>1298</v>
      </c>
      <c r="E82" s="140" t="s">
        <v>1291</v>
      </c>
      <c r="F82" s="1411"/>
      <c r="G82" s="1434">
        <f>IF($A$5="일반 Ver.", 100, 120)</f>
        <v>100</v>
      </c>
      <c r="H82" s="1434">
        <f t="shared" ref="H82:I82" si="40">IF($A$5="일반 Ver.", 100, 120)</f>
        <v>100</v>
      </c>
      <c r="I82" s="1434">
        <f t="shared" si="40"/>
        <v>100</v>
      </c>
      <c r="J82" s="1411"/>
      <c r="K82" s="1434">
        <f>IF($A$5="일반 Ver.", 100, 80)</f>
        <v>100</v>
      </c>
      <c r="L82" s="1434">
        <f t="shared" ref="L82:M84" si="41">IF($A$5="일반 Ver.", 100, 80)</f>
        <v>100</v>
      </c>
      <c r="M82" s="1434">
        <f t="shared" si="41"/>
        <v>100</v>
      </c>
      <c r="N82" s="1417" t="s">
        <v>1299</v>
      </c>
      <c r="O82" s="1436" t="s">
        <v>163</v>
      </c>
      <c r="P82" s="124" t="s">
        <v>164</v>
      </c>
      <c r="Q82" s="125" t="s">
        <v>1299</v>
      </c>
      <c r="R82" s="308"/>
    </row>
    <row r="83" spans="1:18" ht="20.100000000000001" customHeight="1" x14ac:dyDescent="0.15">
      <c r="A83" s="114"/>
      <c r="B83" s="117"/>
      <c r="C83" s="138" t="s">
        <v>166</v>
      </c>
      <c r="D83" s="139" t="s">
        <v>1300</v>
      </c>
      <c r="E83" s="140" t="s">
        <v>97</v>
      </c>
      <c r="F83" s="1411"/>
      <c r="G83" s="1434">
        <f>IF($A$5="일반 Ver.", 50, 70)</f>
        <v>50</v>
      </c>
      <c r="H83" s="1434">
        <f t="shared" ref="H83:I83" si="42">IF($A$5="일반 Ver.", 50, 70)</f>
        <v>50</v>
      </c>
      <c r="I83" s="1434">
        <f t="shared" si="42"/>
        <v>50</v>
      </c>
      <c r="J83" s="1411"/>
      <c r="K83" s="1434">
        <f t="shared" ref="K83" si="43">IF($A$5="일반 Ver.", 100, 80)</f>
        <v>100</v>
      </c>
      <c r="L83" s="1434">
        <f t="shared" si="41"/>
        <v>100</v>
      </c>
      <c r="M83" s="1434">
        <f t="shared" si="41"/>
        <v>100</v>
      </c>
      <c r="N83" s="1417" t="s">
        <v>1301</v>
      </c>
      <c r="O83" s="1436" t="s">
        <v>163</v>
      </c>
      <c r="P83" s="124" t="s">
        <v>164</v>
      </c>
      <c r="Q83" s="125" t="s">
        <v>1302</v>
      </c>
      <c r="R83" s="308"/>
    </row>
    <row r="84" spans="1:18" ht="20.100000000000001" customHeight="1" x14ac:dyDescent="0.15">
      <c r="A84" s="114"/>
      <c r="B84" s="117"/>
      <c r="C84" s="138" t="s">
        <v>169</v>
      </c>
      <c r="D84" s="139" t="s">
        <v>1303</v>
      </c>
      <c r="E84" s="140" t="s">
        <v>97</v>
      </c>
      <c r="F84" s="1411"/>
      <c r="G84" s="1434">
        <f>IF($A$5="일반 Ver.", 40, 60)</f>
        <v>40</v>
      </c>
      <c r="H84" s="1434">
        <f t="shared" ref="H84:I84" si="44">IF($A$5="일반 Ver.", 40, 60)</f>
        <v>40</v>
      </c>
      <c r="I84" s="1434">
        <f t="shared" si="44"/>
        <v>40</v>
      </c>
      <c r="J84" s="1411"/>
      <c r="K84" s="1434">
        <f>IF($A$5="일반 Ver.", 100, 80)</f>
        <v>100</v>
      </c>
      <c r="L84" s="1434">
        <f t="shared" si="41"/>
        <v>100</v>
      </c>
      <c r="M84" s="1434">
        <f t="shared" si="41"/>
        <v>100</v>
      </c>
      <c r="N84" s="1417"/>
      <c r="O84" s="1436"/>
      <c r="P84" s="124"/>
      <c r="Q84" s="125"/>
      <c r="R84" s="308"/>
    </row>
    <row r="85" spans="1:18" ht="20.100000000000001" customHeight="1" x14ac:dyDescent="0.15">
      <c r="A85" s="114"/>
      <c r="B85" s="117"/>
      <c r="C85" s="138" t="s">
        <v>1022</v>
      </c>
      <c r="D85" s="139" t="s">
        <v>167</v>
      </c>
      <c r="E85" s="140" t="s">
        <v>1291</v>
      </c>
      <c r="F85" s="1411"/>
      <c r="G85" s="1421">
        <v>40</v>
      </c>
      <c r="H85" s="1422">
        <v>40</v>
      </c>
      <c r="I85" s="1422">
        <v>40</v>
      </c>
      <c r="J85" s="1411"/>
      <c r="K85" s="1423" t="s">
        <v>98</v>
      </c>
      <c r="L85" s="1423" t="s">
        <v>98</v>
      </c>
      <c r="M85" s="1423" t="s">
        <v>98</v>
      </c>
      <c r="N85" s="1417"/>
      <c r="O85" s="1436"/>
      <c r="P85" s="124"/>
      <c r="Q85" s="125"/>
      <c r="R85" s="308"/>
    </row>
    <row r="86" spans="1:18" ht="20.100000000000001" customHeight="1" x14ac:dyDescent="0.15">
      <c r="A86" s="114"/>
      <c r="B86" s="117"/>
      <c r="C86" s="138" t="s">
        <v>1023</v>
      </c>
      <c r="D86" s="139" t="s">
        <v>1304</v>
      </c>
      <c r="E86" s="140" t="s">
        <v>97</v>
      </c>
      <c r="F86" s="1411"/>
      <c r="G86" s="1421">
        <v>40</v>
      </c>
      <c r="H86" s="1422">
        <v>40</v>
      </c>
      <c r="I86" s="1422">
        <v>40</v>
      </c>
      <c r="J86" s="1411"/>
      <c r="K86" s="1423" t="s">
        <v>98</v>
      </c>
      <c r="L86" s="1423" t="s">
        <v>98</v>
      </c>
      <c r="M86" s="1423" t="s">
        <v>98</v>
      </c>
      <c r="N86" s="1417"/>
      <c r="O86" s="1436"/>
      <c r="P86" s="124"/>
      <c r="Q86" s="125"/>
      <c r="R86" s="308"/>
    </row>
    <row r="87" spans="1:18" ht="20.100000000000001" customHeight="1" x14ac:dyDescent="0.15">
      <c r="A87" s="114"/>
      <c r="B87" s="117"/>
      <c r="C87" s="138" t="s">
        <v>228</v>
      </c>
      <c r="D87" s="139" t="s">
        <v>1305</v>
      </c>
      <c r="E87" s="140" t="s">
        <v>97</v>
      </c>
      <c r="F87" s="1411"/>
      <c r="G87" s="1421">
        <v>40</v>
      </c>
      <c r="H87" s="1422">
        <v>40</v>
      </c>
      <c r="I87" s="1422">
        <v>40</v>
      </c>
      <c r="J87" s="1411"/>
      <c r="K87" s="1423" t="s">
        <v>98</v>
      </c>
      <c r="L87" s="1423" t="s">
        <v>98</v>
      </c>
      <c r="M87" s="1423" t="s">
        <v>98</v>
      </c>
      <c r="N87" s="1417"/>
      <c r="O87" s="1436"/>
      <c r="P87" s="124"/>
      <c r="Q87" s="125"/>
      <c r="R87" s="308"/>
    </row>
    <row r="88" spans="1:18" ht="30" customHeight="1" x14ac:dyDescent="0.15">
      <c r="A88" s="114"/>
      <c r="B88" s="117"/>
      <c r="C88" s="138" t="s">
        <v>1306</v>
      </c>
      <c r="D88" s="139" t="s">
        <v>1307</v>
      </c>
      <c r="E88" s="140" t="s">
        <v>1291</v>
      </c>
      <c r="F88" s="1411"/>
      <c r="G88" s="1421">
        <v>100</v>
      </c>
      <c r="H88" s="1422">
        <v>100</v>
      </c>
      <c r="I88" s="1422">
        <v>100</v>
      </c>
      <c r="J88" s="1411"/>
      <c r="K88" s="1423" t="s">
        <v>98</v>
      </c>
      <c r="L88" s="1423" t="s">
        <v>98</v>
      </c>
      <c r="M88" s="1423" t="s">
        <v>98</v>
      </c>
      <c r="N88" s="1417" t="s">
        <v>1308</v>
      </c>
      <c r="O88" s="1436"/>
      <c r="P88" s="124"/>
      <c r="Q88" s="125" t="s">
        <v>1308</v>
      </c>
      <c r="R88" s="308"/>
    </row>
    <row r="89" spans="1:18" ht="30" customHeight="1" x14ac:dyDescent="0.15">
      <c r="A89" s="114"/>
      <c r="B89" s="117"/>
      <c r="C89" s="138" t="s">
        <v>1309</v>
      </c>
      <c r="D89" s="139" t="s">
        <v>1310</v>
      </c>
      <c r="E89" s="140" t="s">
        <v>97</v>
      </c>
      <c r="F89" s="1411"/>
      <c r="G89" s="1435">
        <f>IF($A$5="일반 Ver.", 0.3, 0.5)</f>
        <v>0.3</v>
      </c>
      <c r="H89" s="1435">
        <f t="shared" ref="H89:I89" si="45">IF($A$5="일반 Ver.", 0.3, 0.5)</f>
        <v>0.3</v>
      </c>
      <c r="I89" s="1435">
        <f t="shared" si="45"/>
        <v>0.3</v>
      </c>
      <c r="J89" s="1411"/>
      <c r="K89" s="1435">
        <f>IF($A$5="일반 Ver.", 2, 1.8)</f>
        <v>2</v>
      </c>
      <c r="L89" s="1435">
        <f>IF($A$5="일반 Ver.", 1.5, 1.3)</f>
        <v>1.5</v>
      </c>
      <c r="M89" s="1435">
        <f>IF($A$5="일반 Ver.", 1, 0.8)</f>
        <v>1</v>
      </c>
      <c r="N89" s="1417" t="s">
        <v>1311</v>
      </c>
      <c r="O89" s="1436" t="s">
        <v>163</v>
      </c>
      <c r="P89" s="124" t="s">
        <v>164</v>
      </c>
      <c r="Q89" s="125" t="s">
        <v>1312</v>
      </c>
      <c r="R89" s="306"/>
    </row>
    <row r="90" spans="1:18" ht="20.100000000000001" customHeight="1" x14ac:dyDescent="0.15">
      <c r="A90" s="114"/>
      <c r="B90" s="117"/>
      <c r="C90" s="138"/>
      <c r="D90" s="1426"/>
      <c r="E90" s="229"/>
      <c r="F90" s="1411"/>
      <c r="G90" s="1411"/>
      <c r="H90" s="140"/>
      <c r="I90" s="140"/>
      <c r="J90" s="1411"/>
      <c r="K90" s="1411"/>
      <c r="L90" s="140"/>
      <c r="M90" s="140"/>
      <c r="N90" s="1420"/>
      <c r="O90" s="1436"/>
      <c r="P90" s="124"/>
      <c r="Q90" s="125"/>
      <c r="R90" s="306"/>
    </row>
    <row r="91" spans="1:18" ht="20.100000000000001" customHeight="1" x14ac:dyDescent="0.15">
      <c r="A91" s="114">
        <v>3</v>
      </c>
      <c r="B91" s="117" t="s">
        <v>1313</v>
      </c>
      <c r="C91" s="115" t="s">
        <v>188</v>
      </c>
      <c r="D91" s="1419"/>
      <c r="E91" s="229"/>
      <c r="F91" s="1411"/>
      <c r="G91" s="1411"/>
      <c r="H91" s="140"/>
      <c r="I91" s="140"/>
      <c r="J91" s="1411"/>
      <c r="K91" s="1411"/>
      <c r="L91" s="140"/>
      <c r="M91" s="140"/>
      <c r="N91" s="1420"/>
      <c r="O91" s="1436"/>
      <c r="P91" s="124"/>
      <c r="Q91" s="125"/>
      <c r="R91" s="306"/>
    </row>
    <row r="92" spans="1:18" ht="20.100000000000001" customHeight="1" x14ac:dyDescent="0.15">
      <c r="A92" s="114"/>
      <c r="B92" s="117"/>
      <c r="C92" s="138" t="s">
        <v>95</v>
      </c>
      <c r="D92" s="139" t="s">
        <v>1314</v>
      </c>
      <c r="E92" s="140" t="s">
        <v>97</v>
      </c>
      <c r="F92" s="1411"/>
      <c r="G92" s="1421">
        <v>24</v>
      </c>
      <c r="H92" s="1422">
        <v>24</v>
      </c>
      <c r="I92" s="1422">
        <v>24</v>
      </c>
      <c r="J92" s="1411"/>
      <c r="K92" s="1423" t="s">
        <v>98</v>
      </c>
      <c r="L92" s="1423" t="s">
        <v>98</v>
      </c>
      <c r="M92" s="1423" t="s">
        <v>98</v>
      </c>
      <c r="N92" s="1420"/>
      <c r="O92" s="1418" t="s">
        <v>114</v>
      </c>
      <c r="P92" s="124" t="s">
        <v>115</v>
      </c>
      <c r="Q92" s="125"/>
      <c r="R92" s="306"/>
    </row>
    <row r="93" spans="1:18" ht="20.100000000000001" customHeight="1" x14ac:dyDescent="0.15">
      <c r="A93" s="114"/>
      <c r="B93" s="117"/>
      <c r="C93" s="138" t="s">
        <v>525</v>
      </c>
      <c r="D93" s="139" t="s">
        <v>1315</v>
      </c>
      <c r="E93" s="140" t="s">
        <v>97</v>
      </c>
      <c r="F93" s="1411"/>
      <c r="G93" s="1421">
        <v>24</v>
      </c>
      <c r="H93" s="1422">
        <v>24</v>
      </c>
      <c r="I93" s="1422">
        <v>24</v>
      </c>
      <c r="J93" s="1411"/>
      <c r="K93" s="1423" t="s">
        <v>98</v>
      </c>
      <c r="L93" s="1423" t="s">
        <v>98</v>
      </c>
      <c r="M93" s="1423" t="s">
        <v>98</v>
      </c>
      <c r="N93" s="1420"/>
      <c r="O93" s="1418" t="s">
        <v>114</v>
      </c>
      <c r="P93" s="124" t="s">
        <v>115</v>
      </c>
      <c r="Q93" s="125"/>
      <c r="R93" s="306"/>
    </row>
    <row r="94" spans="1:18" ht="20.100000000000001" customHeight="1" x14ac:dyDescent="0.15">
      <c r="A94" s="114"/>
      <c r="B94" s="117"/>
      <c r="C94" s="138" t="s">
        <v>941</v>
      </c>
      <c r="D94" s="139" t="s">
        <v>1316</v>
      </c>
      <c r="E94" s="140" t="s">
        <v>97</v>
      </c>
      <c r="F94" s="1411"/>
      <c r="G94" s="1421">
        <v>24</v>
      </c>
      <c r="H94" s="1422">
        <v>24</v>
      </c>
      <c r="I94" s="1422">
        <v>24</v>
      </c>
      <c r="J94" s="1411"/>
      <c r="K94" s="1423" t="s">
        <v>98</v>
      </c>
      <c r="L94" s="1423" t="s">
        <v>98</v>
      </c>
      <c r="M94" s="1423" t="s">
        <v>98</v>
      </c>
      <c r="N94" s="1420"/>
      <c r="O94" s="1418" t="s">
        <v>114</v>
      </c>
      <c r="P94" s="124" t="s">
        <v>115</v>
      </c>
      <c r="Q94" s="125"/>
      <c r="R94" s="306"/>
    </row>
    <row r="95" spans="1:18" ht="20.100000000000001" customHeight="1" x14ac:dyDescent="0.15">
      <c r="A95" s="114"/>
      <c r="B95" s="117"/>
      <c r="C95" s="138" t="s">
        <v>125</v>
      </c>
      <c r="D95" s="139" t="s">
        <v>1317</v>
      </c>
      <c r="E95" s="140" t="s">
        <v>97</v>
      </c>
      <c r="F95" s="1411"/>
      <c r="G95" s="1421">
        <v>24</v>
      </c>
      <c r="H95" s="1422">
        <v>24</v>
      </c>
      <c r="I95" s="1422">
        <v>24</v>
      </c>
      <c r="J95" s="1411"/>
      <c r="K95" s="1423" t="s">
        <v>98</v>
      </c>
      <c r="L95" s="1423" t="s">
        <v>98</v>
      </c>
      <c r="M95" s="1423" t="s">
        <v>98</v>
      </c>
      <c r="N95" s="1420"/>
      <c r="O95" s="1418" t="s">
        <v>114</v>
      </c>
      <c r="P95" s="124" t="s">
        <v>115</v>
      </c>
      <c r="Q95" s="125"/>
      <c r="R95" s="306"/>
    </row>
    <row r="96" spans="1:18" ht="20.100000000000001" customHeight="1" x14ac:dyDescent="0.15">
      <c r="A96" s="114"/>
      <c r="B96" s="117"/>
      <c r="C96" s="138" t="s">
        <v>166</v>
      </c>
      <c r="D96" s="139" t="s">
        <v>1318</v>
      </c>
      <c r="E96" s="140" t="s">
        <v>97</v>
      </c>
      <c r="F96" s="1411"/>
      <c r="G96" s="1421">
        <v>24</v>
      </c>
      <c r="H96" s="1422">
        <v>24</v>
      </c>
      <c r="I96" s="1422">
        <v>24</v>
      </c>
      <c r="J96" s="1411"/>
      <c r="K96" s="1423" t="s">
        <v>98</v>
      </c>
      <c r="L96" s="1423" t="s">
        <v>98</v>
      </c>
      <c r="M96" s="1423" t="s">
        <v>98</v>
      </c>
      <c r="N96" s="1420"/>
      <c r="O96" s="1418" t="s">
        <v>114</v>
      </c>
      <c r="P96" s="124" t="s">
        <v>115</v>
      </c>
      <c r="Q96" s="125"/>
      <c r="R96" s="306"/>
    </row>
    <row r="97" spans="1:20" ht="20.100000000000001" customHeight="1" x14ac:dyDescent="0.15">
      <c r="A97" s="114"/>
      <c r="B97" s="117"/>
      <c r="C97" s="138" t="s">
        <v>169</v>
      </c>
      <c r="D97" s="139" t="s">
        <v>1319</v>
      </c>
      <c r="E97" s="140" t="s">
        <v>97</v>
      </c>
      <c r="F97" s="1411"/>
      <c r="G97" s="1421">
        <v>24</v>
      </c>
      <c r="H97" s="1422">
        <v>24</v>
      </c>
      <c r="I97" s="1422">
        <v>24</v>
      </c>
      <c r="J97" s="1411"/>
      <c r="K97" s="1423" t="s">
        <v>98</v>
      </c>
      <c r="L97" s="1423" t="s">
        <v>98</v>
      </c>
      <c r="M97" s="1423" t="s">
        <v>98</v>
      </c>
      <c r="N97" s="1420"/>
      <c r="O97" s="1418" t="s">
        <v>114</v>
      </c>
      <c r="P97" s="124" t="s">
        <v>115</v>
      </c>
      <c r="Q97" s="125"/>
      <c r="R97" s="306"/>
    </row>
    <row r="98" spans="1:20" ht="20.100000000000001" customHeight="1" x14ac:dyDescent="0.15">
      <c r="A98" s="114"/>
      <c r="B98" s="117"/>
      <c r="C98" s="138"/>
      <c r="D98" s="1426"/>
      <c r="E98" s="140"/>
      <c r="F98" s="1411"/>
      <c r="G98" s="1411"/>
      <c r="H98" s="140"/>
      <c r="I98" s="140"/>
      <c r="J98" s="1411"/>
      <c r="K98" s="1411"/>
      <c r="L98" s="140"/>
      <c r="M98" s="140"/>
      <c r="N98" s="1420"/>
      <c r="O98" s="1418"/>
      <c r="P98" s="124"/>
      <c r="Q98" s="125"/>
      <c r="R98" s="306"/>
    </row>
    <row r="99" spans="1:20" ht="20.100000000000001" customHeight="1" x14ac:dyDescent="0.15">
      <c r="A99" s="114">
        <v>4</v>
      </c>
      <c r="B99" s="117" t="s">
        <v>1320</v>
      </c>
      <c r="C99" s="115" t="s">
        <v>1029</v>
      </c>
      <c r="D99" s="1419"/>
      <c r="E99" s="229"/>
      <c r="F99" s="1411"/>
      <c r="G99" s="1411"/>
      <c r="H99" s="140"/>
      <c r="I99" s="140"/>
      <c r="J99" s="1411"/>
      <c r="K99" s="1411"/>
      <c r="L99" s="140"/>
      <c r="M99" s="140"/>
      <c r="N99" s="1420"/>
      <c r="O99" s="1418"/>
      <c r="P99" s="124"/>
      <c r="Q99" s="125"/>
      <c r="R99" s="306"/>
    </row>
    <row r="100" spans="1:20" ht="69.900000000000006" customHeight="1" x14ac:dyDescent="0.15">
      <c r="A100" s="114"/>
      <c r="B100" s="117"/>
      <c r="C100" s="138" t="s">
        <v>95</v>
      </c>
      <c r="D100" s="139" t="s">
        <v>1321</v>
      </c>
      <c r="E100" s="140" t="s">
        <v>196</v>
      </c>
      <c r="F100" s="1411"/>
      <c r="G100" s="1435">
        <f>IF($A$5="일반 Ver.", 5, 10)</f>
        <v>5</v>
      </c>
      <c r="H100" s="1435">
        <f>IF($A$5="일반 Ver.", 5, 10)</f>
        <v>5</v>
      </c>
      <c r="I100" s="1435">
        <f>IF($A$5="일반 Ver.", 4, 8)</f>
        <v>4</v>
      </c>
      <c r="J100" s="1411"/>
      <c r="K100" s="1435">
        <f>IF($A$5="일반 Ver.", 40, 35)</f>
        <v>40</v>
      </c>
      <c r="L100" s="1435">
        <f>IF($A$5="일반 Ver.", 40, 35)</f>
        <v>40</v>
      </c>
      <c r="M100" s="1435">
        <f>IF($A$5="일반 Ver.", 35, 31)</f>
        <v>35</v>
      </c>
      <c r="N100" s="1437" t="s">
        <v>198</v>
      </c>
      <c r="O100" s="1418" t="s">
        <v>149</v>
      </c>
      <c r="P100" s="124" t="s">
        <v>158</v>
      </c>
      <c r="Q100" s="125" t="s">
        <v>1322</v>
      </c>
      <c r="R100" s="308"/>
    </row>
    <row r="101" spans="1:20" ht="69.900000000000006" customHeight="1" x14ac:dyDescent="0.15">
      <c r="A101" s="114"/>
      <c r="B101" s="117"/>
      <c r="C101" s="138" t="s">
        <v>525</v>
      </c>
      <c r="D101" s="139" t="s">
        <v>1323</v>
      </c>
      <c r="E101" s="140" t="s">
        <v>1324</v>
      </c>
      <c r="F101" s="1411"/>
      <c r="G101" s="1434">
        <f>IF($A$5="일반 Ver.", 4, 8)</f>
        <v>4</v>
      </c>
      <c r="H101" s="1434">
        <f t="shared" ref="H101:I107" si="46">IF($A$5="일반 Ver.", 4, 8)</f>
        <v>4</v>
      </c>
      <c r="I101" s="1434">
        <f t="shared" si="46"/>
        <v>4</v>
      </c>
      <c r="J101" s="1411"/>
      <c r="K101" s="1434">
        <f>IF($A$5="일반 Ver.", 50, 46)</f>
        <v>50</v>
      </c>
      <c r="L101" s="1435">
        <f>IF($A$5="일반 Ver.", 45, 41)</f>
        <v>45</v>
      </c>
      <c r="M101" s="1435">
        <f>IF($A$5="일반 Ver.", 40, 36)</f>
        <v>40</v>
      </c>
      <c r="N101" s="1437" t="s">
        <v>1325</v>
      </c>
      <c r="O101" s="1418" t="s">
        <v>149</v>
      </c>
      <c r="P101" s="124" t="s">
        <v>200</v>
      </c>
      <c r="Q101" s="125" t="s">
        <v>1326</v>
      </c>
      <c r="R101" s="308"/>
    </row>
    <row r="102" spans="1:20" s="176" customFormat="1" ht="69.900000000000006" customHeight="1" x14ac:dyDescent="0.2">
      <c r="A102" s="114"/>
      <c r="B102" s="117"/>
      <c r="C102" s="138" t="s">
        <v>941</v>
      </c>
      <c r="D102" s="139" t="s">
        <v>1327</v>
      </c>
      <c r="E102" s="140" t="s">
        <v>1324</v>
      </c>
      <c r="F102" s="1411"/>
      <c r="G102" s="1434">
        <f t="shared" ref="G102:G105" si="47">IF($A$5="일반 Ver.", 4, 8)</f>
        <v>4</v>
      </c>
      <c r="H102" s="1434">
        <f t="shared" si="46"/>
        <v>4</v>
      </c>
      <c r="I102" s="1434">
        <f t="shared" si="46"/>
        <v>4</v>
      </c>
      <c r="J102" s="1411"/>
      <c r="K102" s="1434">
        <f t="shared" ref="K102:K103" si="48">IF($A$5="일반 Ver.", 50, 46)</f>
        <v>50</v>
      </c>
      <c r="L102" s="1435">
        <f t="shared" ref="L102:L104" si="49">IF($A$5="일반 Ver.", 45, 41)</f>
        <v>45</v>
      </c>
      <c r="M102" s="1435">
        <f t="shared" ref="M102:M104" si="50">IF($A$5="일반 Ver.", 40, 36)</f>
        <v>40</v>
      </c>
      <c r="N102" s="1437" t="s">
        <v>1328</v>
      </c>
      <c r="O102" s="1438" t="s">
        <v>205</v>
      </c>
      <c r="P102" s="124" t="s">
        <v>158</v>
      </c>
      <c r="Q102" s="125" t="s">
        <v>1329</v>
      </c>
      <c r="R102" s="308"/>
      <c r="T102" s="63"/>
    </row>
    <row r="103" spans="1:20" s="176" customFormat="1" ht="69.900000000000006" customHeight="1" x14ac:dyDescent="0.2">
      <c r="A103" s="114"/>
      <c r="B103" s="117"/>
      <c r="C103" s="138" t="s">
        <v>125</v>
      </c>
      <c r="D103" s="139" t="s">
        <v>1330</v>
      </c>
      <c r="E103" s="140" t="s">
        <v>1324</v>
      </c>
      <c r="F103" s="1411"/>
      <c r="G103" s="1434">
        <f t="shared" si="47"/>
        <v>4</v>
      </c>
      <c r="H103" s="1434">
        <f t="shared" si="46"/>
        <v>4</v>
      </c>
      <c r="I103" s="1434">
        <f t="shared" si="46"/>
        <v>4</v>
      </c>
      <c r="J103" s="1411"/>
      <c r="K103" s="1434">
        <f t="shared" si="48"/>
        <v>50</v>
      </c>
      <c r="L103" s="1435">
        <f t="shared" si="49"/>
        <v>45</v>
      </c>
      <c r="M103" s="1435">
        <f t="shared" si="50"/>
        <v>40</v>
      </c>
      <c r="N103" s="1437" t="s">
        <v>1331</v>
      </c>
      <c r="O103" s="1438" t="s">
        <v>163</v>
      </c>
      <c r="P103" s="124" t="s">
        <v>158</v>
      </c>
      <c r="Q103" s="125" t="s">
        <v>1332</v>
      </c>
      <c r="R103" s="308"/>
      <c r="T103" s="63"/>
    </row>
    <row r="104" spans="1:20" s="176" customFormat="1" ht="69.900000000000006" customHeight="1" x14ac:dyDescent="0.2">
      <c r="A104" s="114"/>
      <c r="B104" s="117"/>
      <c r="C104" s="138" t="s">
        <v>166</v>
      </c>
      <c r="D104" s="139" t="s">
        <v>1333</v>
      </c>
      <c r="E104" s="140" t="s">
        <v>1324</v>
      </c>
      <c r="F104" s="1411"/>
      <c r="G104" s="1434">
        <f t="shared" si="47"/>
        <v>4</v>
      </c>
      <c r="H104" s="1434">
        <f t="shared" si="46"/>
        <v>4</v>
      </c>
      <c r="I104" s="1434">
        <f t="shared" si="46"/>
        <v>4</v>
      </c>
      <c r="J104" s="1411"/>
      <c r="K104" s="1434">
        <f>IF($A$5="일반 Ver.", 50, 46)</f>
        <v>50</v>
      </c>
      <c r="L104" s="1435">
        <f t="shared" si="49"/>
        <v>45</v>
      </c>
      <c r="M104" s="1435">
        <f t="shared" si="50"/>
        <v>40</v>
      </c>
      <c r="N104" s="1437" t="s">
        <v>1334</v>
      </c>
      <c r="O104" s="1439" t="s">
        <v>212</v>
      </c>
      <c r="P104" s="124" t="s">
        <v>158</v>
      </c>
      <c r="Q104" s="125" t="s">
        <v>1335</v>
      </c>
      <c r="R104" s="308"/>
      <c r="T104" s="63"/>
    </row>
    <row r="105" spans="1:20" s="176" customFormat="1" ht="69.900000000000006" customHeight="1" x14ac:dyDescent="0.2">
      <c r="A105" s="114"/>
      <c r="B105" s="117"/>
      <c r="C105" s="138" t="s">
        <v>169</v>
      </c>
      <c r="D105" s="139" t="s">
        <v>1336</v>
      </c>
      <c r="E105" s="140" t="s">
        <v>1324</v>
      </c>
      <c r="F105" s="1411"/>
      <c r="G105" s="1434">
        <f t="shared" si="47"/>
        <v>4</v>
      </c>
      <c r="H105" s="1434">
        <f t="shared" si="46"/>
        <v>4</v>
      </c>
      <c r="I105" s="1434">
        <f t="shared" si="46"/>
        <v>4</v>
      </c>
      <c r="J105" s="1411"/>
      <c r="K105" s="1434">
        <f>IF($A$5="일반 Ver.", 67, 63)</f>
        <v>67</v>
      </c>
      <c r="L105" s="1435">
        <f>IF($A$5="일반 Ver.", 55, 51)</f>
        <v>55</v>
      </c>
      <c r="M105" s="1435">
        <f>IF($A$5="일반 Ver.", 50, 46)</f>
        <v>50</v>
      </c>
      <c r="N105" s="1437" t="s">
        <v>1337</v>
      </c>
      <c r="O105" s="1439" t="s">
        <v>216</v>
      </c>
      <c r="P105" s="124" t="s">
        <v>158</v>
      </c>
      <c r="Q105" s="125" t="s">
        <v>1338</v>
      </c>
      <c r="R105" s="308"/>
      <c r="T105" s="63"/>
    </row>
    <row r="106" spans="1:20" s="176" customFormat="1" ht="93" customHeight="1" x14ac:dyDescent="0.2">
      <c r="A106" s="114"/>
      <c r="B106" s="117"/>
      <c r="C106" s="138" t="s">
        <v>1022</v>
      </c>
      <c r="D106" s="139" t="s">
        <v>1339</v>
      </c>
      <c r="E106" s="140" t="s">
        <v>1324</v>
      </c>
      <c r="F106" s="1411"/>
      <c r="G106" s="1435">
        <f>IF($A$5="일반 Ver.", 5, 10)</f>
        <v>5</v>
      </c>
      <c r="H106" s="1434">
        <f t="shared" si="46"/>
        <v>4</v>
      </c>
      <c r="I106" s="1434">
        <f t="shared" si="46"/>
        <v>4</v>
      </c>
      <c r="J106" s="1411"/>
      <c r="K106" s="1434">
        <f>IF($A$5="일반 Ver.", 67, 62)</f>
        <v>67</v>
      </c>
      <c r="L106" s="1435">
        <f>IF($A$5="일반 Ver.", 55, 51)</f>
        <v>55</v>
      </c>
      <c r="M106" s="1435">
        <f>IF($A$5="일반 Ver.", 50, 46)</f>
        <v>50</v>
      </c>
      <c r="N106" s="1417" t="s">
        <v>1340</v>
      </c>
      <c r="O106" s="1439" t="s">
        <v>221</v>
      </c>
      <c r="P106" s="124" t="s">
        <v>158</v>
      </c>
      <c r="Q106" s="125" t="s">
        <v>1340</v>
      </c>
      <c r="R106" s="308"/>
      <c r="T106" s="63"/>
    </row>
    <row r="107" spans="1:20" s="176" customFormat="1" ht="69.900000000000006" customHeight="1" x14ac:dyDescent="0.2">
      <c r="A107" s="114"/>
      <c r="B107" s="117"/>
      <c r="C107" s="138" t="s">
        <v>1023</v>
      </c>
      <c r="D107" s="139" t="s">
        <v>1341</v>
      </c>
      <c r="E107" s="140" t="s">
        <v>1324</v>
      </c>
      <c r="F107" s="1411"/>
      <c r="G107" s="1434">
        <f>IF($A$5="일반 Ver.", 4, 8)</f>
        <v>4</v>
      </c>
      <c r="H107" s="1434">
        <f t="shared" si="46"/>
        <v>4</v>
      </c>
      <c r="I107" s="1434">
        <f t="shared" si="46"/>
        <v>4</v>
      </c>
      <c r="J107" s="1411"/>
      <c r="K107" s="1434">
        <f>IF($A$5="일반 Ver.", 67, 63)</f>
        <v>67</v>
      </c>
      <c r="L107" s="1435">
        <f>IF($A$5="일반 Ver.", 55, 51)</f>
        <v>55</v>
      </c>
      <c r="M107" s="1435">
        <f>IF($A$5="일반 Ver.", 50, 46)</f>
        <v>50</v>
      </c>
      <c r="N107" s="1417" t="s">
        <v>1342</v>
      </c>
      <c r="O107" s="1439" t="s">
        <v>226</v>
      </c>
      <c r="P107" s="124" t="s">
        <v>158</v>
      </c>
      <c r="Q107" s="125" t="s">
        <v>1343</v>
      </c>
      <c r="R107" s="308"/>
      <c r="T107" s="63"/>
    </row>
    <row r="108" spans="1:20" s="176" customFormat="1" ht="81.75" customHeight="1" x14ac:dyDescent="0.2">
      <c r="A108" s="114"/>
      <c r="B108" s="117"/>
      <c r="C108" s="138" t="s">
        <v>228</v>
      </c>
      <c r="D108" s="139" t="s">
        <v>1344</v>
      </c>
      <c r="E108" s="140" t="s">
        <v>1324</v>
      </c>
      <c r="F108" s="1411"/>
      <c r="G108" s="1434">
        <f>IF($A$5="일반 Ver.", 3, 6)</f>
        <v>3</v>
      </c>
      <c r="H108" s="1434">
        <f t="shared" ref="H108:I108" si="51">IF($A$5="일반 Ver.", 3, 6)</f>
        <v>3</v>
      </c>
      <c r="I108" s="1434">
        <f t="shared" si="51"/>
        <v>3</v>
      </c>
      <c r="J108" s="1411"/>
      <c r="K108" s="1434">
        <f>IF($A$5="일반 Ver.", 34, 31)</f>
        <v>34</v>
      </c>
      <c r="L108" s="1435">
        <f>IF($A$5="일반 Ver.", 30, 27)</f>
        <v>30</v>
      </c>
      <c r="M108" s="1435">
        <f>IF($A$5="일반 Ver.", 26, 23)</f>
        <v>26</v>
      </c>
      <c r="N108" s="1417" t="s">
        <v>1345</v>
      </c>
      <c r="O108" s="1439" t="s">
        <v>221</v>
      </c>
      <c r="P108" s="124" t="s">
        <v>158</v>
      </c>
      <c r="Q108" s="125" t="s">
        <v>1345</v>
      </c>
      <c r="R108" s="308"/>
      <c r="T108" s="63"/>
    </row>
    <row r="109" spans="1:20" s="176" customFormat="1" ht="67.5" customHeight="1" x14ac:dyDescent="0.2">
      <c r="A109" s="114"/>
      <c r="B109" s="117"/>
      <c r="C109" s="138" t="s">
        <v>1306</v>
      </c>
      <c r="D109" s="139" t="s">
        <v>260</v>
      </c>
      <c r="E109" s="140" t="s">
        <v>1324</v>
      </c>
      <c r="F109" s="1411"/>
      <c r="G109" s="1440">
        <f>IF($A$5="일반 Ver.", 0.5, 1)</f>
        <v>0.5</v>
      </c>
      <c r="H109" s="1435">
        <f t="shared" ref="H109:I109" si="52">IF($A$5="일반 Ver.", 0.5, 1)</f>
        <v>0.5</v>
      </c>
      <c r="I109" s="1435">
        <f t="shared" si="52"/>
        <v>0.5</v>
      </c>
      <c r="J109" s="1411"/>
      <c r="K109" s="1441">
        <f>IF($A$5="일반 Ver.", 2, 1.5)</f>
        <v>2</v>
      </c>
      <c r="L109" s="1441">
        <f t="shared" ref="L109:M109" si="53">IF($A$5="일반 Ver.", 2, 1.5)</f>
        <v>2</v>
      </c>
      <c r="M109" s="1441">
        <f t="shared" si="53"/>
        <v>2</v>
      </c>
      <c r="N109" s="1417" t="s">
        <v>1346</v>
      </c>
      <c r="O109" s="1439" t="s">
        <v>226</v>
      </c>
      <c r="P109" s="124" t="s">
        <v>158</v>
      </c>
      <c r="Q109" s="125" t="s">
        <v>1347</v>
      </c>
      <c r="R109" s="308"/>
      <c r="T109" s="63"/>
    </row>
    <row r="110" spans="1:20" s="176" customFormat="1" ht="20.100000000000001" customHeight="1" x14ac:dyDescent="0.2">
      <c r="A110" s="114"/>
      <c r="B110" s="117"/>
      <c r="C110" s="138" t="s">
        <v>1309</v>
      </c>
      <c r="D110" s="139" t="s">
        <v>1348</v>
      </c>
      <c r="E110" s="140" t="s">
        <v>196</v>
      </c>
      <c r="F110" s="1411"/>
      <c r="G110" s="1421">
        <v>4</v>
      </c>
      <c r="H110" s="1422">
        <v>4</v>
      </c>
      <c r="I110" s="1422">
        <v>4</v>
      </c>
      <c r="J110" s="1411"/>
      <c r="K110" s="1421">
        <v>4</v>
      </c>
      <c r="L110" s="1422">
        <v>3</v>
      </c>
      <c r="M110" s="1422">
        <v>2</v>
      </c>
      <c r="N110" s="1420"/>
      <c r="O110" s="1418" t="s">
        <v>149</v>
      </c>
      <c r="P110" s="124" t="s">
        <v>158</v>
      </c>
      <c r="Q110" s="125"/>
      <c r="R110" s="306"/>
      <c r="T110" s="63"/>
    </row>
    <row r="111" spans="1:20" s="176" customFormat="1" ht="20.100000000000001" customHeight="1" x14ac:dyDescent="0.2">
      <c r="A111" s="114"/>
      <c r="B111" s="117"/>
      <c r="C111" s="138"/>
      <c r="D111" s="1426"/>
      <c r="E111" s="140"/>
      <c r="F111" s="1411"/>
      <c r="G111" s="1411"/>
      <c r="H111" s="140"/>
      <c r="I111" s="140"/>
      <c r="J111" s="1411"/>
      <c r="K111" s="1411"/>
      <c r="L111" s="140"/>
      <c r="M111" s="140"/>
      <c r="N111" s="1420"/>
      <c r="O111" s="1418"/>
      <c r="P111" s="124"/>
      <c r="Q111" s="125"/>
      <c r="R111" s="306"/>
      <c r="T111" s="63"/>
    </row>
    <row r="112" spans="1:20" s="176" customFormat="1" ht="20.100000000000001" customHeight="1" x14ac:dyDescent="0.2">
      <c r="A112" s="114">
        <v>5</v>
      </c>
      <c r="B112" s="117" t="s">
        <v>1349</v>
      </c>
      <c r="C112" s="115" t="s">
        <v>698</v>
      </c>
      <c r="D112" s="1419"/>
      <c r="E112" s="229"/>
      <c r="F112" s="1411"/>
      <c r="G112" s="1411"/>
      <c r="H112" s="140"/>
      <c r="I112" s="140"/>
      <c r="J112" s="1411"/>
      <c r="K112" s="1411"/>
      <c r="L112" s="140"/>
      <c r="M112" s="140"/>
      <c r="N112" s="1420"/>
      <c r="O112" s="1418"/>
      <c r="P112" s="124"/>
      <c r="Q112" s="125"/>
      <c r="R112" s="306"/>
      <c r="T112" s="63"/>
    </row>
    <row r="113" spans="1:20" s="176" customFormat="1" ht="98.25" customHeight="1" x14ac:dyDescent="0.2">
      <c r="A113" s="114"/>
      <c r="B113" s="117"/>
      <c r="C113" s="138" t="s">
        <v>95</v>
      </c>
      <c r="D113" s="139" t="s">
        <v>281</v>
      </c>
      <c r="E113" s="140" t="s">
        <v>97</v>
      </c>
      <c r="F113" s="1411"/>
      <c r="G113" s="1421">
        <v>400</v>
      </c>
      <c r="H113" s="1422">
        <v>400</v>
      </c>
      <c r="I113" s="1422">
        <v>400</v>
      </c>
      <c r="J113" s="1411"/>
      <c r="K113" s="1442" t="s">
        <v>1350</v>
      </c>
      <c r="L113" s="1443"/>
      <c r="M113" s="1444"/>
      <c r="N113" s="1417" t="s">
        <v>1351</v>
      </c>
      <c r="O113" s="1418" t="s">
        <v>114</v>
      </c>
      <c r="P113" s="124" t="s">
        <v>698</v>
      </c>
      <c r="Q113" s="125" t="s">
        <v>285</v>
      </c>
      <c r="R113" s="308"/>
      <c r="T113" s="63"/>
    </row>
    <row r="114" spans="1:20" s="176" customFormat="1" ht="20.100000000000001" customHeight="1" x14ac:dyDescent="0.2">
      <c r="A114" s="114"/>
      <c r="B114" s="117"/>
      <c r="C114" s="138"/>
      <c r="D114" s="1426"/>
      <c r="E114" s="140"/>
      <c r="F114" s="1411"/>
      <c r="G114" s="1411"/>
      <c r="H114" s="140"/>
      <c r="I114" s="140"/>
      <c r="J114" s="1411"/>
      <c r="K114" s="1411"/>
      <c r="L114" s="140"/>
      <c r="M114" s="140"/>
      <c r="N114" s="1420"/>
      <c r="O114" s="1418"/>
      <c r="P114" s="124"/>
      <c r="Q114" s="125"/>
      <c r="R114" s="306"/>
      <c r="T114" s="63"/>
    </row>
    <row r="115" spans="1:20" s="176" customFormat="1" ht="20.100000000000001" customHeight="1" x14ac:dyDescent="0.2">
      <c r="A115" s="114">
        <v>6</v>
      </c>
      <c r="B115" s="117" t="s">
        <v>1352</v>
      </c>
      <c r="C115" s="115" t="s">
        <v>717</v>
      </c>
      <c r="D115" s="1419"/>
      <c r="E115" s="140"/>
      <c r="F115" s="1411"/>
      <c r="G115" s="1411"/>
      <c r="H115" s="140"/>
      <c r="I115" s="140"/>
      <c r="J115" s="1411"/>
      <c r="K115" s="1411"/>
      <c r="L115" s="140"/>
      <c r="M115" s="140"/>
      <c r="N115" s="1420"/>
      <c r="O115" s="1418"/>
      <c r="P115" s="124"/>
      <c r="Q115" s="125"/>
      <c r="R115" s="306"/>
      <c r="T115" s="63"/>
    </row>
    <row r="116" spans="1:20" s="176" customFormat="1" ht="20.100000000000001" customHeight="1" x14ac:dyDescent="0.2">
      <c r="A116" s="114"/>
      <c r="B116" s="117"/>
      <c r="C116" s="138" t="s">
        <v>95</v>
      </c>
      <c r="D116" s="139" t="s">
        <v>304</v>
      </c>
      <c r="E116" s="140"/>
      <c r="F116" s="1411"/>
      <c r="G116" s="1411"/>
      <c r="H116" s="140"/>
      <c r="I116" s="140"/>
      <c r="J116" s="1411"/>
      <c r="K116" s="1411"/>
      <c r="L116" s="140"/>
      <c r="M116" s="140"/>
      <c r="N116" s="1420"/>
      <c r="O116" s="1418"/>
      <c r="P116" s="124"/>
      <c r="Q116" s="125"/>
      <c r="R116" s="306"/>
      <c r="T116" s="63"/>
    </row>
    <row r="117" spans="1:20" ht="115.5" customHeight="1" x14ac:dyDescent="0.15">
      <c r="A117" s="114"/>
      <c r="B117" s="117"/>
      <c r="C117" s="138"/>
      <c r="D117" s="139" t="s">
        <v>305</v>
      </c>
      <c r="E117" s="140" t="s">
        <v>60</v>
      </c>
      <c r="F117" s="1411"/>
      <c r="G117" s="1421">
        <v>600</v>
      </c>
      <c r="H117" s="1422">
        <v>500</v>
      </c>
      <c r="I117" s="1422">
        <v>400</v>
      </c>
      <c r="J117" s="1411"/>
      <c r="K117" s="1442" t="s">
        <v>1350</v>
      </c>
      <c r="L117" s="1443"/>
      <c r="M117" s="1444"/>
      <c r="N117" s="1420" t="s">
        <v>1353</v>
      </c>
      <c r="O117" s="1418" t="s">
        <v>317</v>
      </c>
      <c r="P117" s="124" t="s">
        <v>1354</v>
      </c>
      <c r="Q117" s="125" t="s">
        <v>1355</v>
      </c>
      <c r="R117" s="306"/>
    </row>
    <row r="118" spans="1:20" ht="20.100000000000001" customHeight="1" x14ac:dyDescent="0.15">
      <c r="A118" s="114"/>
      <c r="B118" s="117"/>
      <c r="C118" s="138"/>
      <c r="D118" s="139" t="s">
        <v>310</v>
      </c>
      <c r="E118" s="140" t="s">
        <v>147</v>
      </c>
      <c r="F118" s="1411"/>
      <c r="G118" s="1423" t="s">
        <v>98</v>
      </c>
      <c r="H118" s="1423" t="s">
        <v>98</v>
      </c>
      <c r="I118" s="1423" t="s">
        <v>98</v>
      </c>
      <c r="J118" s="1411"/>
      <c r="K118" s="1421">
        <v>1</v>
      </c>
      <c r="L118" s="1422">
        <v>1</v>
      </c>
      <c r="M118" s="1422">
        <v>1</v>
      </c>
      <c r="N118" s="1420" t="s">
        <v>1356</v>
      </c>
      <c r="O118" s="1418" t="s">
        <v>317</v>
      </c>
      <c r="P118" s="124" t="s">
        <v>1354</v>
      </c>
      <c r="Q118" s="125" t="s">
        <v>1357</v>
      </c>
      <c r="R118" s="306"/>
    </row>
    <row r="119" spans="1:20" ht="20.100000000000001" customHeight="1" x14ac:dyDescent="0.15">
      <c r="A119" s="114"/>
      <c r="B119" s="117"/>
      <c r="C119" s="138" t="s">
        <v>121</v>
      </c>
      <c r="D119" s="139" t="s">
        <v>314</v>
      </c>
      <c r="E119" s="140"/>
      <c r="F119" s="1411"/>
      <c r="G119" s="1411"/>
      <c r="H119" s="140"/>
      <c r="I119" s="140"/>
      <c r="J119" s="1411"/>
      <c r="K119" s="1411"/>
      <c r="L119" s="140"/>
      <c r="M119" s="140"/>
      <c r="N119" s="1420"/>
      <c r="O119" s="1445"/>
      <c r="P119" s="243"/>
      <c r="Q119" s="226"/>
      <c r="R119" s="306"/>
    </row>
    <row r="120" spans="1:20" ht="50.1" customHeight="1" x14ac:dyDescent="0.15">
      <c r="A120" s="114"/>
      <c r="B120" s="117"/>
      <c r="C120" s="138"/>
      <c r="D120" s="139" t="s">
        <v>315</v>
      </c>
      <c r="E120" s="140" t="s">
        <v>60</v>
      </c>
      <c r="F120" s="1411"/>
      <c r="G120" s="1421">
        <v>60</v>
      </c>
      <c r="H120" s="1422">
        <v>40</v>
      </c>
      <c r="I120" s="1422">
        <v>40</v>
      </c>
      <c r="J120" s="1411"/>
      <c r="K120" s="1421">
        <v>0</v>
      </c>
      <c r="L120" s="1421">
        <v>0</v>
      </c>
      <c r="M120" s="1421">
        <v>0</v>
      </c>
      <c r="N120" s="1417" t="s">
        <v>1358</v>
      </c>
      <c r="O120" s="1446" t="s">
        <v>317</v>
      </c>
      <c r="P120" s="124" t="s">
        <v>308</v>
      </c>
      <c r="Q120" s="125" t="s">
        <v>1359</v>
      </c>
      <c r="R120" s="308"/>
    </row>
    <row r="121" spans="1:20" ht="50.1" customHeight="1" x14ac:dyDescent="0.15">
      <c r="A121" s="114"/>
      <c r="B121" s="117"/>
      <c r="C121" s="138"/>
      <c r="D121" s="139" t="s">
        <v>319</v>
      </c>
      <c r="E121" s="140" t="s">
        <v>60</v>
      </c>
      <c r="F121" s="1411"/>
      <c r="G121" s="1421">
        <v>40</v>
      </c>
      <c r="H121" s="1422">
        <v>24</v>
      </c>
      <c r="I121" s="1422">
        <v>24</v>
      </c>
      <c r="J121" s="1411"/>
      <c r="K121" s="1421">
        <v>0</v>
      </c>
      <c r="L121" s="1421">
        <v>0</v>
      </c>
      <c r="M121" s="1421">
        <v>0</v>
      </c>
      <c r="N121" s="1417" t="s">
        <v>1358</v>
      </c>
      <c r="O121" s="1446" t="s">
        <v>317</v>
      </c>
      <c r="P121" s="124" t="s">
        <v>308</v>
      </c>
      <c r="Q121" s="125" t="s">
        <v>1359</v>
      </c>
      <c r="R121" s="308"/>
    </row>
    <row r="122" spans="1:20" ht="20.100000000000001" customHeight="1" x14ac:dyDescent="0.15">
      <c r="A122" s="254"/>
      <c r="B122" s="1447"/>
      <c r="C122" s="1448" t="s">
        <v>125</v>
      </c>
      <c r="D122" s="268" t="s">
        <v>323</v>
      </c>
      <c r="E122" s="269"/>
      <c r="F122" s="1449"/>
      <c r="G122" s="1449"/>
      <c r="H122" s="269"/>
      <c r="I122" s="269"/>
      <c r="J122" s="1449"/>
      <c r="K122" s="1449"/>
      <c r="L122" s="269"/>
      <c r="M122" s="269"/>
      <c r="N122" s="1450"/>
      <c r="O122" s="1451"/>
      <c r="P122" s="264"/>
      <c r="Q122" s="1452" t="s">
        <v>772</v>
      </c>
      <c r="R122" s="306"/>
    </row>
    <row r="123" spans="1:20" ht="20.100000000000001" customHeight="1" x14ac:dyDescent="0.15">
      <c r="A123" s="254"/>
      <c r="B123" s="1447"/>
      <c r="C123" s="1448"/>
      <c r="D123" s="268" t="s">
        <v>325</v>
      </c>
      <c r="E123" s="269" t="s">
        <v>60</v>
      </c>
      <c r="F123" s="1449"/>
      <c r="G123" s="1449" t="s">
        <v>317</v>
      </c>
      <c r="H123" s="269" t="s">
        <v>317</v>
      </c>
      <c r="I123" s="269" t="s">
        <v>317</v>
      </c>
      <c r="J123" s="1449"/>
      <c r="K123" s="1449" t="s">
        <v>317</v>
      </c>
      <c r="L123" s="269">
        <v>200</v>
      </c>
      <c r="M123" s="269" t="s">
        <v>317</v>
      </c>
      <c r="N123" s="1453" t="s">
        <v>1360</v>
      </c>
      <c r="O123" s="1454" t="s">
        <v>317</v>
      </c>
      <c r="P123" s="278" t="s">
        <v>308</v>
      </c>
      <c r="Q123" s="1452" t="s">
        <v>772</v>
      </c>
      <c r="R123" s="306"/>
    </row>
    <row r="124" spans="1:20" ht="20.100000000000001" customHeight="1" x14ac:dyDescent="0.15">
      <c r="A124" s="254"/>
      <c r="B124" s="1447"/>
      <c r="C124" s="1448"/>
      <c r="D124" s="268" t="s">
        <v>327</v>
      </c>
      <c r="E124" s="269" t="s">
        <v>60</v>
      </c>
      <c r="F124" s="1449"/>
      <c r="G124" s="1449" t="s">
        <v>317</v>
      </c>
      <c r="H124" s="269" t="s">
        <v>317</v>
      </c>
      <c r="I124" s="269" t="s">
        <v>317</v>
      </c>
      <c r="J124" s="1449"/>
      <c r="K124" s="1449" t="s">
        <v>317</v>
      </c>
      <c r="L124" s="269">
        <v>250</v>
      </c>
      <c r="M124" s="269" t="s">
        <v>317</v>
      </c>
      <c r="N124" s="1453" t="s">
        <v>1361</v>
      </c>
      <c r="O124" s="1454" t="s">
        <v>317</v>
      </c>
      <c r="P124" s="278" t="s">
        <v>308</v>
      </c>
      <c r="Q124" s="1452" t="s">
        <v>772</v>
      </c>
      <c r="R124" s="306"/>
    </row>
    <row r="125" spans="1:20" ht="20.100000000000001" customHeight="1" x14ac:dyDescent="0.15">
      <c r="A125" s="254"/>
      <c r="B125" s="1447"/>
      <c r="C125" s="1448"/>
      <c r="D125" s="268" t="s">
        <v>329</v>
      </c>
      <c r="E125" s="269" t="s">
        <v>60</v>
      </c>
      <c r="F125" s="1449"/>
      <c r="G125" s="1449" t="s">
        <v>317</v>
      </c>
      <c r="H125" s="269" t="s">
        <v>317</v>
      </c>
      <c r="I125" s="269" t="s">
        <v>317</v>
      </c>
      <c r="J125" s="1449"/>
      <c r="K125" s="1449" t="s">
        <v>317</v>
      </c>
      <c r="L125" s="269">
        <v>300</v>
      </c>
      <c r="M125" s="269" t="s">
        <v>317</v>
      </c>
      <c r="N125" s="1453" t="s">
        <v>1362</v>
      </c>
      <c r="O125" s="1454" t="s">
        <v>317</v>
      </c>
      <c r="P125" s="278" t="s">
        <v>308</v>
      </c>
      <c r="Q125" s="1452" t="s">
        <v>772</v>
      </c>
      <c r="R125" s="306"/>
    </row>
    <row r="126" spans="1:20" s="176" customFormat="1" ht="20.100000000000001" customHeight="1" x14ac:dyDescent="0.2">
      <c r="A126" s="254"/>
      <c r="B126" s="1447"/>
      <c r="C126" s="1448"/>
      <c r="D126" s="268" t="s">
        <v>331</v>
      </c>
      <c r="E126" s="269" t="s">
        <v>60</v>
      </c>
      <c r="F126" s="1449"/>
      <c r="G126" s="1449" t="s">
        <v>317</v>
      </c>
      <c r="H126" s="269" t="s">
        <v>317</v>
      </c>
      <c r="I126" s="269" t="s">
        <v>317</v>
      </c>
      <c r="J126" s="1449"/>
      <c r="K126" s="1449" t="s">
        <v>317</v>
      </c>
      <c r="L126" s="269">
        <v>360</v>
      </c>
      <c r="M126" s="269" t="s">
        <v>317</v>
      </c>
      <c r="N126" s="1453" t="s">
        <v>1363</v>
      </c>
      <c r="O126" s="1454" t="s">
        <v>317</v>
      </c>
      <c r="P126" s="278" t="s">
        <v>308</v>
      </c>
      <c r="Q126" s="1452" t="s">
        <v>772</v>
      </c>
      <c r="R126" s="306"/>
      <c r="T126" s="63"/>
    </row>
    <row r="127" spans="1:20" s="176" customFormat="1" ht="20.100000000000001" customHeight="1" x14ac:dyDescent="0.2">
      <c r="A127" s="1455"/>
      <c r="B127" s="1456"/>
      <c r="C127" s="1457"/>
      <c r="D127" s="1458"/>
      <c r="E127" s="1459"/>
      <c r="F127" s="1460"/>
      <c r="G127" s="1460"/>
      <c r="H127" s="1459"/>
      <c r="I127" s="1459"/>
      <c r="J127" s="1460"/>
      <c r="K127" s="1460"/>
      <c r="L127" s="1459"/>
      <c r="M127" s="1459"/>
      <c r="N127" s="1461"/>
      <c r="O127" s="1418"/>
      <c r="P127" s="124"/>
      <c r="Q127" s="125"/>
      <c r="R127" s="306"/>
      <c r="T127" s="63"/>
    </row>
    <row r="128" spans="1:20" s="176" customFormat="1" ht="20.100000000000001" customHeight="1" x14ac:dyDescent="0.2">
      <c r="A128" s="114">
        <v>7</v>
      </c>
      <c r="B128" s="117"/>
      <c r="C128" s="189" t="s">
        <v>333</v>
      </c>
      <c r="D128" s="190"/>
      <c r="E128" s="140"/>
      <c r="F128" s="1411"/>
      <c r="G128" s="1411"/>
      <c r="H128" s="140"/>
      <c r="I128" s="140"/>
      <c r="J128" s="1411"/>
      <c r="K128" s="1411"/>
      <c r="L128" s="140"/>
      <c r="M128" s="140"/>
      <c r="N128" s="1461"/>
      <c r="O128" s="1418"/>
      <c r="P128" s="124"/>
      <c r="Q128" s="125"/>
      <c r="R128" s="1462"/>
      <c r="T128" s="63"/>
    </row>
    <row r="129" spans="1:20" s="176" customFormat="1" ht="20.100000000000001" customHeight="1" x14ac:dyDescent="0.2">
      <c r="A129" s="114"/>
      <c r="B129" s="117"/>
      <c r="C129" s="283"/>
      <c r="D129" s="284" t="s">
        <v>334</v>
      </c>
      <c r="E129" s="140" t="s">
        <v>335</v>
      </c>
      <c r="F129" s="1463" t="s">
        <v>306</v>
      </c>
      <c r="G129" s="1464"/>
      <c r="H129" s="1464"/>
      <c r="I129" s="1465"/>
      <c r="J129" s="1411"/>
      <c r="K129" s="1411" t="s">
        <v>98</v>
      </c>
      <c r="L129" s="140" t="s">
        <v>98</v>
      </c>
      <c r="M129" s="140" t="s">
        <v>98</v>
      </c>
      <c r="N129" s="1461" t="s">
        <v>336</v>
      </c>
      <c r="O129" s="1418" t="s">
        <v>114</v>
      </c>
      <c r="P129" s="124" t="s">
        <v>115</v>
      </c>
      <c r="Q129" s="1466" t="s">
        <v>337</v>
      </c>
      <c r="R129" s="1462"/>
      <c r="T129" s="63"/>
    </row>
    <row r="130" spans="1:20" s="176" customFormat="1" ht="20.100000000000001" customHeight="1" x14ac:dyDescent="0.2">
      <c r="A130" s="114"/>
      <c r="B130" s="117"/>
      <c r="C130" s="1467"/>
      <c r="D130" s="1468"/>
      <c r="E130" s="140"/>
      <c r="F130" s="1411"/>
      <c r="G130" s="1411"/>
      <c r="H130" s="140"/>
      <c r="I130" s="140"/>
      <c r="J130" s="1411"/>
      <c r="K130" s="1411"/>
      <c r="L130" s="140"/>
      <c r="M130" s="140"/>
      <c r="N130" s="1420"/>
      <c r="O130" s="1418"/>
      <c r="P130" s="124"/>
      <c r="Q130" s="125"/>
      <c r="R130" s="306"/>
      <c r="T130" s="63"/>
    </row>
    <row r="131" spans="1:20" s="176" customFormat="1" ht="20.100000000000001" customHeight="1" x14ac:dyDescent="0.2">
      <c r="A131" s="126" t="s">
        <v>338</v>
      </c>
      <c r="B131" s="129"/>
      <c r="C131" s="1415" t="s">
        <v>1364</v>
      </c>
      <c r="D131" s="1416"/>
      <c r="E131" s="140"/>
      <c r="F131" s="1411"/>
      <c r="G131" s="1411"/>
      <c r="H131" s="140"/>
      <c r="I131" s="140"/>
      <c r="J131" s="1411"/>
      <c r="K131" s="1411"/>
      <c r="L131" s="140"/>
      <c r="M131" s="140"/>
      <c r="N131" s="1420"/>
      <c r="O131" s="1418"/>
      <c r="P131" s="124"/>
      <c r="Q131" s="125"/>
      <c r="R131" s="306"/>
      <c r="T131" s="63"/>
    </row>
    <row r="132" spans="1:20" s="176" customFormat="1" ht="20.100000000000001" customHeight="1" x14ac:dyDescent="0.2">
      <c r="A132" s="114">
        <v>1</v>
      </c>
      <c r="B132" s="117" t="s">
        <v>1365</v>
      </c>
      <c r="C132" s="115" t="s">
        <v>346</v>
      </c>
      <c r="D132" s="1419"/>
      <c r="E132" s="140"/>
      <c r="F132" s="1411"/>
      <c r="G132" s="1411"/>
      <c r="H132" s="140"/>
      <c r="I132" s="140"/>
      <c r="J132" s="1411"/>
      <c r="K132" s="1411"/>
      <c r="L132" s="140"/>
      <c r="M132" s="140"/>
      <c r="N132" s="1420"/>
      <c r="O132" s="1418"/>
      <c r="P132" s="124"/>
      <c r="Q132" s="125"/>
      <c r="R132" s="306"/>
      <c r="T132" s="63"/>
    </row>
    <row r="133" spans="1:20" s="176" customFormat="1" ht="30" customHeight="1" x14ac:dyDescent="0.2">
      <c r="A133" s="114"/>
      <c r="B133" s="117"/>
      <c r="C133" s="138" t="s">
        <v>95</v>
      </c>
      <c r="D133" s="139" t="s">
        <v>347</v>
      </c>
      <c r="E133" s="140"/>
      <c r="F133" s="1411"/>
      <c r="G133" s="1411"/>
      <c r="H133" s="140"/>
      <c r="I133" s="140"/>
      <c r="J133" s="1411"/>
      <c r="K133" s="1411"/>
      <c r="L133" s="140"/>
      <c r="M133" s="140"/>
      <c r="N133" s="1420" t="s">
        <v>1366</v>
      </c>
      <c r="O133" s="1418"/>
      <c r="P133" s="124"/>
      <c r="Q133" s="125"/>
      <c r="R133" s="306"/>
      <c r="T133" s="63"/>
    </row>
    <row r="134" spans="1:20" s="176" customFormat="1" ht="30" customHeight="1" x14ac:dyDescent="0.2">
      <c r="A134" s="114"/>
      <c r="B134" s="117"/>
      <c r="C134" s="138"/>
      <c r="D134" s="139" t="s">
        <v>1367</v>
      </c>
      <c r="E134" s="140" t="s">
        <v>138</v>
      </c>
      <c r="F134" s="1411"/>
      <c r="G134" s="1434">
        <f>IF($A$5="일반 Ver.", 200, 208)</f>
        <v>200</v>
      </c>
      <c r="H134" s="1435">
        <f>IF($A$5="일반 Ver.", 120, 128)</f>
        <v>120</v>
      </c>
      <c r="I134" s="1435">
        <f>IF($A$5="일반 Ver.", 120, 128)</f>
        <v>120</v>
      </c>
      <c r="J134" s="1411"/>
      <c r="K134" s="1434">
        <f t="shared" ref="K134:M138" si="54">IF($A$5="일반 Ver.", 8, 0)</f>
        <v>8</v>
      </c>
      <c r="L134" s="1434">
        <f t="shared" si="54"/>
        <v>8</v>
      </c>
      <c r="M134" s="1434">
        <f t="shared" si="54"/>
        <v>8</v>
      </c>
      <c r="N134" s="1420" t="s">
        <v>1368</v>
      </c>
      <c r="O134" s="1418" t="s">
        <v>114</v>
      </c>
      <c r="P134" s="124" t="s">
        <v>115</v>
      </c>
      <c r="Q134" s="125" t="s">
        <v>1369</v>
      </c>
      <c r="R134" s="306"/>
      <c r="T134" s="63"/>
    </row>
    <row r="135" spans="1:20" s="176" customFormat="1" ht="30" customHeight="1" x14ac:dyDescent="0.2">
      <c r="A135" s="114"/>
      <c r="B135" s="117"/>
      <c r="C135" s="138"/>
      <c r="D135" s="139" t="s">
        <v>1370</v>
      </c>
      <c r="E135" s="140" t="s">
        <v>138</v>
      </c>
      <c r="F135" s="1411"/>
      <c r="G135" s="1434">
        <f>IF($A$5="일반 Ver.", 100, 108)</f>
        <v>100</v>
      </c>
      <c r="H135" s="1434">
        <f t="shared" ref="H135:I135" si="55">IF($A$5="일반 Ver.", 100, 108)</f>
        <v>100</v>
      </c>
      <c r="I135" s="1434">
        <f t="shared" si="55"/>
        <v>100</v>
      </c>
      <c r="J135" s="1411"/>
      <c r="K135" s="1434">
        <f t="shared" si="54"/>
        <v>8</v>
      </c>
      <c r="L135" s="1434">
        <f t="shared" si="54"/>
        <v>8</v>
      </c>
      <c r="M135" s="1434">
        <f t="shared" si="54"/>
        <v>8</v>
      </c>
      <c r="N135" s="1420" t="s">
        <v>1371</v>
      </c>
      <c r="O135" s="1418" t="s">
        <v>114</v>
      </c>
      <c r="P135" s="124" t="s">
        <v>115</v>
      </c>
      <c r="Q135" s="125" t="s">
        <v>1372</v>
      </c>
      <c r="R135" s="306"/>
      <c r="T135" s="63"/>
    </row>
    <row r="136" spans="1:20" s="176" customFormat="1" ht="30" customHeight="1" x14ac:dyDescent="0.2">
      <c r="A136" s="114"/>
      <c r="B136" s="117"/>
      <c r="C136" s="138"/>
      <c r="D136" s="139" t="s">
        <v>1373</v>
      </c>
      <c r="E136" s="140" t="s">
        <v>138</v>
      </c>
      <c r="F136" s="1411"/>
      <c r="G136" s="1434">
        <f>IF($A$5="일반 Ver.", 200, 208)</f>
        <v>200</v>
      </c>
      <c r="H136" s="1435">
        <f>IF($A$5="일반 Ver.", 120, 128)</f>
        <v>120</v>
      </c>
      <c r="I136" s="1435">
        <f>IF($A$5="일반 Ver.", 120, 128)</f>
        <v>120</v>
      </c>
      <c r="J136" s="1411"/>
      <c r="K136" s="1434">
        <f t="shared" si="54"/>
        <v>8</v>
      </c>
      <c r="L136" s="1434">
        <f t="shared" si="54"/>
        <v>8</v>
      </c>
      <c r="M136" s="1434">
        <f t="shared" si="54"/>
        <v>8</v>
      </c>
      <c r="N136" s="1420" t="s">
        <v>1368</v>
      </c>
      <c r="O136" s="1418"/>
      <c r="P136" s="124"/>
      <c r="Q136" s="125" t="s">
        <v>1368</v>
      </c>
      <c r="R136" s="306"/>
      <c r="T136" s="63"/>
    </row>
    <row r="137" spans="1:20" s="176" customFormat="1" ht="30" customHeight="1" x14ac:dyDescent="0.2">
      <c r="A137" s="114"/>
      <c r="B137" s="117"/>
      <c r="C137" s="138"/>
      <c r="D137" s="139" t="s">
        <v>1374</v>
      </c>
      <c r="E137" s="140" t="s">
        <v>138</v>
      </c>
      <c r="F137" s="1411"/>
      <c r="G137" s="1434">
        <f>IF($A$5="일반 Ver.", 60, 68)</f>
        <v>60</v>
      </c>
      <c r="H137" s="1434">
        <f t="shared" ref="H137:I138" si="56">IF($A$5="일반 Ver.", 60, 68)</f>
        <v>60</v>
      </c>
      <c r="I137" s="1434">
        <f t="shared" si="56"/>
        <v>60</v>
      </c>
      <c r="J137" s="1411"/>
      <c r="K137" s="1434">
        <f t="shared" si="54"/>
        <v>8</v>
      </c>
      <c r="L137" s="1434">
        <f t="shared" si="54"/>
        <v>8</v>
      </c>
      <c r="M137" s="1434">
        <f t="shared" si="54"/>
        <v>8</v>
      </c>
      <c r="N137" s="1420"/>
      <c r="O137" s="1418"/>
      <c r="P137" s="124"/>
      <c r="Q137" s="125"/>
      <c r="R137" s="306"/>
      <c r="T137" s="63"/>
    </row>
    <row r="138" spans="1:20" s="176" customFormat="1" ht="30" customHeight="1" x14ac:dyDescent="0.2">
      <c r="A138" s="114"/>
      <c r="B138" s="117"/>
      <c r="C138" s="138"/>
      <c r="D138" s="139" t="s">
        <v>353</v>
      </c>
      <c r="E138" s="140" t="s">
        <v>138</v>
      </c>
      <c r="F138" s="1411"/>
      <c r="G138" s="1434">
        <f>IF($A$5="일반 Ver.", 60, 68)</f>
        <v>60</v>
      </c>
      <c r="H138" s="1434">
        <f t="shared" si="56"/>
        <v>60</v>
      </c>
      <c r="I138" s="1434">
        <f t="shared" si="56"/>
        <v>60</v>
      </c>
      <c r="J138" s="1411"/>
      <c r="K138" s="1434">
        <f t="shared" si="54"/>
        <v>8</v>
      </c>
      <c r="L138" s="1434">
        <f t="shared" si="54"/>
        <v>8</v>
      </c>
      <c r="M138" s="1434">
        <f t="shared" si="54"/>
        <v>8</v>
      </c>
      <c r="N138" s="1420" t="s">
        <v>1371</v>
      </c>
      <c r="O138" s="1418" t="s">
        <v>114</v>
      </c>
      <c r="P138" s="124" t="s">
        <v>115</v>
      </c>
      <c r="Q138" s="125" t="s">
        <v>1372</v>
      </c>
      <c r="R138" s="306"/>
      <c r="T138" s="63"/>
    </row>
    <row r="139" spans="1:20" s="176" customFormat="1" ht="20.100000000000001" customHeight="1" x14ac:dyDescent="0.2">
      <c r="A139" s="114"/>
      <c r="B139" s="117"/>
      <c r="C139" s="138"/>
      <c r="D139" s="1426"/>
      <c r="E139" s="140"/>
      <c r="F139" s="1411"/>
      <c r="G139" s="1411"/>
      <c r="H139" s="140"/>
      <c r="I139" s="140"/>
      <c r="J139" s="1411"/>
      <c r="K139" s="1411"/>
      <c r="L139" s="140"/>
      <c r="M139" s="140"/>
      <c r="N139" s="1420"/>
      <c r="O139" s="1418"/>
      <c r="P139" s="124"/>
      <c r="Q139" s="125"/>
      <c r="R139" s="306"/>
      <c r="T139" s="63"/>
    </row>
    <row r="140" spans="1:20" s="176" customFormat="1" ht="20.100000000000001" customHeight="1" x14ac:dyDescent="0.2">
      <c r="A140" s="114">
        <v>2</v>
      </c>
      <c r="B140" s="117" t="s">
        <v>1375</v>
      </c>
      <c r="C140" s="115" t="s">
        <v>354</v>
      </c>
      <c r="D140" s="1419"/>
      <c r="E140" s="140"/>
      <c r="F140" s="1411"/>
      <c r="G140" s="1411"/>
      <c r="H140" s="140"/>
      <c r="I140" s="140"/>
      <c r="J140" s="1411"/>
      <c r="K140" s="1411"/>
      <c r="L140" s="140"/>
      <c r="M140" s="140"/>
      <c r="N140" s="1420"/>
      <c r="O140" s="1418"/>
      <c r="P140" s="124"/>
      <c r="Q140" s="125"/>
      <c r="R140" s="306"/>
      <c r="T140" s="63"/>
    </row>
    <row r="141" spans="1:20" s="176" customFormat="1" ht="30" customHeight="1" x14ac:dyDescent="0.2">
      <c r="A141" s="114"/>
      <c r="B141" s="117"/>
      <c r="C141" s="138" t="s">
        <v>95</v>
      </c>
      <c r="D141" s="139" t="s">
        <v>355</v>
      </c>
      <c r="E141" s="140" t="s">
        <v>138</v>
      </c>
      <c r="F141" s="1411"/>
      <c r="G141" s="1411"/>
      <c r="H141" s="140"/>
      <c r="I141" s="140"/>
      <c r="J141" s="1411"/>
      <c r="K141" s="1411"/>
      <c r="L141" s="140"/>
      <c r="M141" s="140"/>
      <c r="N141" s="1420" t="s">
        <v>1376</v>
      </c>
      <c r="O141" s="1418"/>
      <c r="P141" s="124"/>
      <c r="Q141" s="125"/>
      <c r="R141" s="306"/>
      <c r="T141" s="63"/>
    </row>
    <row r="142" spans="1:20" s="176" customFormat="1" ht="30" customHeight="1" x14ac:dyDescent="0.2">
      <c r="A142" s="114"/>
      <c r="B142" s="117"/>
      <c r="C142" s="138"/>
      <c r="D142" s="139" t="s">
        <v>1367</v>
      </c>
      <c r="E142" s="140" t="s">
        <v>138</v>
      </c>
      <c r="F142" s="1411"/>
      <c r="G142" s="1434">
        <f>IF($A$5="일반 Ver.", 500, 508)</f>
        <v>500</v>
      </c>
      <c r="H142" s="1435">
        <f>IF($A$5="일반 Ver.", 400, 408)</f>
        <v>400</v>
      </c>
      <c r="I142" s="1435">
        <f>IF($A$5="일반 Ver.", 300, 308)</f>
        <v>300</v>
      </c>
      <c r="J142" s="1411"/>
      <c r="K142" s="1434">
        <f t="shared" ref="K142:M146" si="57">IF($A$5="일반 Ver.", 8, 0)</f>
        <v>8</v>
      </c>
      <c r="L142" s="1434">
        <f t="shared" si="57"/>
        <v>8</v>
      </c>
      <c r="M142" s="1434">
        <f t="shared" si="57"/>
        <v>8</v>
      </c>
      <c r="N142" s="1420" t="s">
        <v>1368</v>
      </c>
      <c r="O142" s="1418" t="s">
        <v>114</v>
      </c>
      <c r="P142" s="124" t="s">
        <v>115</v>
      </c>
      <c r="Q142" s="125" t="s">
        <v>1369</v>
      </c>
      <c r="R142" s="306"/>
      <c r="T142" s="63"/>
    </row>
    <row r="143" spans="1:20" s="176" customFormat="1" ht="30" customHeight="1" x14ac:dyDescent="0.2">
      <c r="A143" s="114"/>
      <c r="B143" s="117"/>
      <c r="C143" s="138"/>
      <c r="D143" s="139" t="s">
        <v>1370</v>
      </c>
      <c r="E143" s="140" t="s">
        <v>138</v>
      </c>
      <c r="F143" s="1411"/>
      <c r="G143" s="1435">
        <f t="shared" ref="G143:I143" si="58">IF($A$5="일반 Ver.", 300, 308)</f>
        <v>300</v>
      </c>
      <c r="H143" s="1435">
        <f t="shared" si="58"/>
        <v>300</v>
      </c>
      <c r="I143" s="1435">
        <f t="shared" si="58"/>
        <v>300</v>
      </c>
      <c r="J143" s="1411"/>
      <c r="K143" s="1434">
        <f t="shared" si="57"/>
        <v>8</v>
      </c>
      <c r="L143" s="1434">
        <f t="shared" si="57"/>
        <v>8</v>
      </c>
      <c r="M143" s="1434">
        <f t="shared" si="57"/>
        <v>8</v>
      </c>
      <c r="N143" s="1420" t="s">
        <v>1371</v>
      </c>
      <c r="O143" s="1418" t="s">
        <v>114</v>
      </c>
      <c r="P143" s="124" t="s">
        <v>115</v>
      </c>
      <c r="Q143" s="125" t="s">
        <v>1372</v>
      </c>
      <c r="R143" s="306"/>
      <c r="T143" s="63"/>
    </row>
    <row r="144" spans="1:20" s="176" customFormat="1" ht="30" customHeight="1" x14ac:dyDescent="0.2">
      <c r="A144" s="114"/>
      <c r="B144" s="117"/>
      <c r="C144" s="138"/>
      <c r="D144" s="139" t="s">
        <v>1373</v>
      </c>
      <c r="E144" s="140" t="s">
        <v>138</v>
      </c>
      <c r="F144" s="1411"/>
      <c r="G144" s="1434">
        <f>IF($A$5="일반 Ver.", 500, 508)</f>
        <v>500</v>
      </c>
      <c r="H144" s="1435">
        <f>IF($A$5="일반 Ver.", 400, 408)</f>
        <v>400</v>
      </c>
      <c r="I144" s="1435">
        <f>IF($A$5="일반 Ver.", 300, 308)</f>
        <v>300</v>
      </c>
      <c r="J144" s="1411"/>
      <c r="K144" s="1434">
        <f t="shared" si="57"/>
        <v>8</v>
      </c>
      <c r="L144" s="1434">
        <f t="shared" si="57"/>
        <v>8</v>
      </c>
      <c r="M144" s="1434">
        <f t="shared" si="57"/>
        <v>8</v>
      </c>
      <c r="N144" s="1420" t="s">
        <v>1368</v>
      </c>
      <c r="O144" s="1418" t="s">
        <v>114</v>
      </c>
      <c r="P144" s="124" t="s">
        <v>115</v>
      </c>
      <c r="Q144" s="125" t="s">
        <v>1368</v>
      </c>
      <c r="R144" s="306"/>
      <c r="T144" s="63"/>
    </row>
    <row r="145" spans="1:20" s="176" customFormat="1" ht="30" customHeight="1" x14ac:dyDescent="0.2">
      <c r="A145" s="114"/>
      <c r="B145" s="117"/>
      <c r="C145" s="138"/>
      <c r="D145" s="139" t="s">
        <v>1374</v>
      </c>
      <c r="E145" s="140" t="s">
        <v>138</v>
      </c>
      <c r="F145" s="1411"/>
      <c r="G145" s="1434">
        <f>IF($A$5="일반 Ver.", 90, 98)</f>
        <v>90</v>
      </c>
      <c r="H145" s="1434">
        <f t="shared" ref="H145:I146" si="59">IF($A$5="일반 Ver.", 90, 98)</f>
        <v>90</v>
      </c>
      <c r="I145" s="1434">
        <f t="shared" si="59"/>
        <v>90</v>
      </c>
      <c r="J145" s="1411"/>
      <c r="K145" s="1434">
        <f t="shared" si="57"/>
        <v>8</v>
      </c>
      <c r="L145" s="1434">
        <f t="shared" si="57"/>
        <v>8</v>
      </c>
      <c r="M145" s="1434">
        <f t="shared" si="57"/>
        <v>8</v>
      </c>
      <c r="N145" s="1420"/>
      <c r="O145" s="1418" t="s">
        <v>114</v>
      </c>
      <c r="P145" s="124" t="s">
        <v>115</v>
      </c>
      <c r="Q145" s="125"/>
      <c r="R145" s="306"/>
      <c r="T145" s="63"/>
    </row>
    <row r="146" spans="1:20" s="176" customFormat="1" ht="30" customHeight="1" x14ac:dyDescent="0.2">
      <c r="A146" s="114"/>
      <c r="B146" s="117"/>
      <c r="C146" s="138"/>
      <c r="D146" s="139" t="s">
        <v>353</v>
      </c>
      <c r="E146" s="140" t="s">
        <v>138</v>
      </c>
      <c r="F146" s="1411"/>
      <c r="G146" s="1434">
        <f>IF($A$5="일반 Ver.", 90, 98)</f>
        <v>90</v>
      </c>
      <c r="H146" s="1434">
        <f t="shared" si="59"/>
        <v>90</v>
      </c>
      <c r="I146" s="1434">
        <f t="shared" si="59"/>
        <v>90</v>
      </c>
      <c r="J146" s="1411"/>
      <c r="K146" s="1434">
        <f t="shared" si="57"/>
        <v>8</v>
      </c>
      <c r="L146" s="1434">
        <f t="shared" si="57"/>
        <v>8</v>
      </c>
      <c r="M146" s="1434">
        <f t="shared" si="57"/>
        <v>8</v>
      </c>
      <c r="N146" s="1420" t="s">
        <v>1371</v>
      </c>
      <c r="O146" s="1418" t="s">
        <v>114</v>
      </c>
      <c r="P146" s="124" t="s">
        <v>115</v>
      </c>
      <c r="Q146" s="125" t="s">
        <v>1372</v>
      </c>
      <c r="R146" s="306"/>
      <c r="T146" s="63"/>
    </row>
    <row r="147" spans="1:20" s="176" customFormat="1" ht="20.100000000000001" customHeight="1" x14ac:dyDescent="0.2">
      <c r="A147" s="114"/>
      <c r="B147" s="117"/>
      <c r="C147" s="138"/>
      <c r="D147" s="1426"/>
      <c r="E147" s="140"/>
      <c r="F147" s="1411"/>
      <c r="G147" s="1411"/>
      <c r="H147" s="140"/>
      <c r="I147" s="140"/>
      <c r="J147" s="1411"/>
      <c r="K147" s="1411"/>
      <c r="L147" s="140"/>
      <c r="M147" s="140"/>
      <c r="N147" s="1420"/>
      <c r="O147" s="1418"/>
      <c r="P147" s="124"/>
      <c r="Q147" s="125"/>
      <c r="R147" s="306"/>
      <c r="T147" s="63"/>
    </row>
    <row r="148" spans="1:20" s="176" customFormat="1" ht="20.100000000000001" customHeight="1" x14ac:dyDescent="0.2">
      <c r="A148" s="114">
        <v>3</v>
      </c>
      <c r="B148" s="117" t="s">
        <v>1377</v>
      </c>
      <c r="C148" s="115" t="s">
        <v>371</v>
      </c>
      <c r="D148" s="1419"/>
      <c r="E148" s="1469"/>
      <c r="F148" s="1411"/>
      <c r="G148" s="1411"/>
      <c r="H148" s="140"/>
      <c r="I148" s="140"/>
      <c r="J148" s="1411"/>
      <c r="K148" s="1411"/>
      <c r="L148" s="140"/>
      <c r="M148" s="140"/>
      <c r="N148" s="1420"/>
      <c r="O148" s="1418"/>
      <c r="P148" s="124"/>
      <c r="Q148" s="125"/>
      <c r="R148" s="306"/>
      <c r="T148" s="63"/>
    </row>
    <row r="149" spans="1:20" s="176" customFormat="1" ht="30" customHeight="1" x14ac:dyDescent="0.2">
      <c r="A149" s="114"/>
      <c r="B149" s="117"/>
      <c r="C149" s="138" t="s">
        <v>95</v>
      </c>
      <c r="D149" s="139" t="s">
        <v>372</v>
      </c>
      <c r="E149" s="140"/>
      <c r="F149" s="1411"/>
      <c r="G149" s="1411"/>
      <c r="H149" s="140"/>
      <c r="I149" s="140"/>
      <c r="J149" s="1411"/>
      <c r="K149" s="1411"/>
      <c r="L149" s="140"/>
      <c r="M149" s="140"/>
      <c r="N149" s="1420"/>
      <c r="O149" s="1418"/>
      <c r="P149" s="124"/>
      <c r="Q149" s="125"/>
      <c r="R149" s="306"/>
      <c r="T149" s="63"/>
    </row>
    <row r="150" spans="1:20" s="176" customFormat="1" ht="30" customHeight="1" x14ac:dyDescent="0.2">
      <c r="A150" s="114"/>
      <c r="B150" s="117"/>
      <c r="C150" s="138"/>
      <c r="D150" s="139" t="s">
        <v>1367</v>
      </c>
      <c r="E150" s="140" t="s">
        <v>138</v>
      </c>
      <c r="F150" s="1411"/>
      <c r="G150" s="1421">
        <v>500</v>
      </c>
      <c r="H150" s="1422">
        <v>450</v>
      </c>
      <c r="I150" s="1422">
        <v>400</v>
      </c>
      <c r="J150" s="1411"/>
      <c r="K150" s="1421">
        <v>0</v>
      </c>
      <c r="L150" s="1421">
        <v>0</v>
      </c>
      <c r="M150" s="1421">
        <v>0</v>
      </c>
      <c r="N150" s="1420" t="s">
        <v>1368</v>
      </c>
      <c r="O150" s="1418" t="s">
        <v>114</v>
      </c>
      <c r="P150" s="124" t="s">
        <v>115</v>
      </c>
      <c r="Q150" s="125" t="s">
        <v>1369</v>
      </c>
      <c r="R150" s="306"/>
      <c r="T150" s="63"/>
    </row>
    <row r="151" spans="1:20" s="176" customFormat="1" ht="30" customHeight="1" x14ac:dyDescent="0.2">
      <c r="A151" s="114"/>
      <c r="B151" s="117"/>
      <c r="C151" s="138"/>
      <c r="D151" s="139" t="s">
        <v>1370</v>
      </c>
      <c r="E151" s="140" t="s">
        <v>138</v>
      </c>
      <c r="F151" s="1411"/>
      <c r="G151" s="1421">
        <v>300</v>
      </c>
      <c r="H151" s="1422">
        <v>300</v>
      </c>
      <c r="I151" s="1422">
        <v>300</v>
      </c>
      <c r="J151" s="1411"/>
      <c r="K151" s="1421">
        <v>0</v>
      </c>
      <c r="L151" s="1421">
        <v>0</v>
      </c>
      <c r="M151" s="1421">
        <v>0</v>
      </c>
      <c r="N151" s="1420" t="s">
        <v>1371</v>
      </c>
      <c r="O151" s="1418" t="s">
        <v>114</v>
      </c>
      <c r="P151" s="124" t="s">
        <v>115</v>
      </c>
      <c r="Q151" s="125" t="s">
        <v>1372</v>
      </c>
      <c r="R151" s="306"/>
      <c r="T151" s="63"/>
    </row>
    <row r="152" spans="1:20" s="176" customFormat="1" ht="30" customHeight="1" x14ac:dyDescent="0.2">
      <c r="A152" s="114"/>
      <c r="B152" s="117"/>
      <c r="C152" s="138"/>
      <c r="D152" s="139" t="s">
        <v>1373</v>
      </c>
      <c r="E152" s="140" t="s">
        <v>138</v>
      </c>
      <c r="F152" s="1411"/>
      <c r="G152" s="1421">
        <v>500</v>
      </c>
      <c r="H152" s="1422">
        <v>450</v>
      </c>
      <c r="I152" s="1422">
        <v>400</v>
      </c>
      <c r="J152" s="1411"/>
      <c r="K152" s="1421">
        <v>0</v>
      </c>
      <c r="L152" s="1421">
        <v>0</v>
      </c>
      <c r="M152" s="1421">
        <v>0</v>
      </c>
      <c r="N152" s="1420" t="s">
        <v>1368</v>
      </c>
      <c r="O152" s="1418" t="s">
        <v>114</v>
      </c>
      <c r="P152" s="124" t="s">
        <v>115</v>
      </c>
      <c r="Q152" s="125" t="s">
        <v>1368</v>
      </c>
      <c r="R152" s="306"/>
      <c r="T152" s="63"/>
    </row>
    <row r="153" spans="1:20" s="176" customFormat="1" ht="30" customHeight="1" x14ac:dyDescent="0.2">
      <c r="A153" s="114"/>
      <c r="B153" s="117"/>
      <c r="C153" s="138"/>
      <c r="D153" s="139" t="s">
        <v>1374</v>
      </c>
      <c r="E153" s="140" t="s">
        <v>138</v>
      </c>
      <c r="F153" s="1411"/>
      <c r="G153" s="1421">
        <v>100</v>
      </c>
      <c r="H153" s="1422">
        <v>80</v>
      </c>
      <c r="I153" s="1422">
        <v>60</v>
      </c>
      <c r="J153" s="1411"/>
      <c r="K153" s="1421">
        <v>0</v>
      </c>
      <c r="L153" s="1421">
        <v>0</v>
      </c>
      <c r="M153" s="1421">
        <v>0</v>
      </c>
      <c r="N153" s="1420"/>
      <c r="O153" s="1418" t="s">
        <v>114</v>
      </c>
      <c r="P153" s="124" t="s">
        <v>115</v>
      </c>
      <c r="Q153" s="125"/>
      <c r="R153" s="306"/>
      <c r="T153" s="63"/>
    </row>
    <row r="154" spans="1:20" s="176" customFormat="1" ht="30" customHeight="1" x14ac:dyDescent="0.2">
      <c r="A154" s="114"/>
      <c r="B154" s="117"/>
      <c r="C154" s="138"/>
      <c r="D154" s="139" t="s">
        <v>353</v>
      </c>
      <c r="E154" s="140" t="s">
        <v>138</v>
      </c>
      <c r="F154" s="1411"/>
      <c r="G154" s="1421">
        <v>100</v>
      </c>
      <c r="H154" s="1422">
        <v>80</v>
      </c>
      <c r="I154" s="1422">
        <v>60</v>
      </c>
      <c r="J154" s="1411"/>
      <c r="K154" s="1421">
        <v>0</v>
      </c>
      <c r="L154" s="1421">
        <v>0</v>
      </c>
      <c r="M154" s="1421">
        <v>0</v>
      </c>
      <c r="N154" s="1420" t="s">
        <v>1371</v>
      </c>
      <c r="O154" s="1418" t="s">
        <v>114</v>
      </c>
      <c r="P154" s="124" t="s">
        <v>115</v>
      </c>
      <c r="Q154" s="125" t="s">
        <v>1372</v>
      </c>
      <c r="R154" s="306"/>
      <c r="T154" s="63"/>
    </row>
    <row r="155" spans="1:20" s="176" customFormat="1" ht="20.100000000000001" customHeight="1" x14ac:dyDescent="0.2">
      <c r="A155" s="114"/>
      <c r="B155" s="117"/>
      <c r="C155" s="138"/>
      <c r="D155" s="1426"/>
      <c r="E155" s="140"/>
      <c r="F155" s="1411"/>
      <c r="G155" s="1411"/>
      <c r="H155" s="140"/>
      <c r="I155" s="140"/>
      <c r="J155" s="1411"/>
      <c r="K155" s="1411"/>
      <c r="L155" s="140"/>
      <c r="M155" s="140"/>
      <c r="N155" s="1420"/>
      <c r="O155" s="1445"/>
      <c r="P155" s="243"/>
      <c r="Q155" s="226"/>
      <c r="R155" s="306"/>
      <c r="T155" s="63"/>
    </row>
    <row r="156" spans="1:20" s="176" customFormat="1" ht="20.100000000000001" customHeight="1" x14ac:dyDescent="0.2">
      <c r="A156" s="114">
        <v>4</v>
      </c>
      <c r="B156" s="117" t="s">
        <v>1378</v>
      </c>
      <c r="C156" s="115" t="s">
        <v>829</v>
      </c>
      <c r="D156" s="1419"/>
      <c r="E156" s="140"/>
      <c r="F156" s="1411"/>
      <c r="G156" s="1411"/>
      <c r="H156" s="140"/>
      <c r="I156" s="140"/>
      <c r="J156" s="1411"/>
      <c r="K156" s="1411"/>
      <c r="L156" s="140"/>
      <c r="M156" s="140"/>
      <c r="N156" s="1420"/>
      <c r="O156" s="1445"/>
      <c r="P156" s="243"/>
      <c r="Q156" s="226"/>
      <c r="R156" s="306"/>
      <c r="T156" s="63"/>
    </row>
    <row r="157" spans="1:20" s="176" customFormat="1" ht="20.100000000000001" customHeight="1" x14ac:dyDescent="0.2">
      <c r="A157" s="114"/>
      <c r="B157" s="117"/>
      <c r="C157" s="138" t="s">
        <v>95</v>
      </c>
      <c r="D157" s="139" t="s">
        <v>829</v>
      </c>
      <c r="E157" s="140"/>
      <c r="F157" s="1411"/>
      <c r="G157" s="1411"/>
      <c r="H157" s="140"/>
      <c r="I157" s="140"/>
      <c r="J157" s="1411"/>
      <c r="K157" s="1411"/>
      <c r="L157" s="140"/>
      <c r="M157" s="140"/>
      <c r="N157" s="1420"/>
      <c r="O157" s="1445"/>
      <c r="P157" s="243"/>
      <c r="Q157" s="226"/>
      <c r="R157" s="306"/>
      <c r="T157" s="63"/>
    </row>
    <row r="158" spans="1:20" s="176" customFormat="1" ht="20.100000000000001" customHeight="1" x14ac:dyDescent="0.2">
      <c r="A158" s="114"/>
      <c r="B158" s="117"/>
      <c r="C158" s="138"/>
      <c r="D158" s="139" t="s">
        <v>1367</v>
      </c>
      <c r="E158" s="140" t="s">
        <v>97</v>
      </c>
      <c r="F158" s="1411"/>
      <c r="G158" s="1421">
        <v>120</v>
      </c>
      <c r="H158" s="1422">
        <v>120</v>
      </c>
      <c r="I158" s="1422">
        <v>120</v>
      </c>
      <c r="J158" s="1411"/>
      <c r="K158" s="1421">
        <v>0</v>
      </c>
      <c r="L158" s="1421">
        <v>0</v>
      </c>
      <c r="M158" s="1421">
        <v>0</v>
      </c>
      <c r="N158" s="1420"/>
      <c r="O158" s="1445"/>
      <c r="P158" s="243"/>
      <c r="Q158" s="226"/>
      <c r="R158" s="306"/>
      <c r="T158" s="63"/>
    </row>
    <row r="159" spans="1:20" s="176" customFormat="1" ht="20.100000000000001" customHeight="1" x14ac:dyDescent="0.2">
      <c r="A159" s="114"/>
      <c r="B159" s="117"/>
      <c r="C159" s="138"/>
      <c r="D159" s="139" t="s">
        <v>1373</v>
      </c>
      <c r="E159" s="140" t="s">
        <v>97</v>
      </c>
      <c r="F159" s="1411"/>
      <c r="G159" s="1421">
        <v>80</v>
      </c>
      <c r="H159" s="1422">
        <v>80</v>
      </c>
      <c r="I159" s="1422">
        <v>80</v>
      </c>
      <c r="J159" s="1411"/>
      <c r="K159" s="1421">
        <v>0</v>
      </c>
      <c r="L159" s="1421">
        <v>0</v>
      </c>
      <c r="M159" s="1421">
        <v>0</v>
      </c>
      <c r="N159" s="1420"/>
      <c r="O159" s="1445"/>
      <c r="P159" s="243"/>
      <c r="Q159" s="226"/>
      <c r="R159" s="306"/>
      <c r="T159" s="63"/>
    </row>
    <row r="160" spans="1:20" s="176" customFormat="1" ht="20.100000000000001" customHeight="1" x14ac:dyDescent="0.2">
      <c r="A160" s="114"/>
      <c r="B160" s="117"/>
      <c r="C160" s="138"/>
      <c r="D160" s="139" t="s">
        <v>1374</v>
      </c>
      <c r="E160" s="140" t="s">
        <v>97</v>
      </c>
      <c r="F160" s="1411"/>
      <c r="G160" s="1421">
        <v>16</v>
      </c>
      <c r="H160" s="1422">
        <v>16</v>
      </c>
      <c r="I160" s="1422">
        <v>16</v>
      </c>
      <c r="J160" s="1411"/>
      <c r="K160" s="1421">
        <v>0</v>
      </c>
      <c r="L160" s="1421">
        <v>0</v>
      </c>
      <c r="M160" s="1421">
        <v>0</v>
      </c>
      <c r="N160" s="1420"/>
      <c r="O160" s="1445"/>
      <c r="P160" s="243"/>
      <c r="Q160" s="226"/>
      <c r="R160" s="306"/>
      <c r="T160" s="63"/>
    </row>
    <row r="161" spans="1:20" s="176" customFormat="1" ht="20.100000000000001" customHeight="1" x14ac:dyDescent="0.2">
      <c r="A161" s="114"/>
      <c r="B161" s="117"/>
      <c r="C161" s="138"/>
      <c r="D161" s="139" t="s">
        <v>353</v>
      </c>
      <c r="E161" s="140" t="s">
        <v>97</v>
      </c>
      <c r="F161" s="1411"/>
      <c r="G161" s="1421">
        <v>16</v>
      </c>
      <c r="H161" s="1422">
        <v>16</v>
      </c>
      <c r="I161" s="1422">
        <v>16</v>
      </c>
      <c r="J161" s="1411"/>
      <c r="K161" s="1421">
        <v>0</v>
      </c>
      <c r="L161" s="1421">
        <v>0</v>
      </c>
      <c r="M161" s="1421">
        <v>0</v>
      </c>
      <c r="N161" s="1420"/>
      <c r="O161" s="1445"/>
      <c r="P161" s="243"/>
      <c r="Q161" s="226"/>
      <c r="R161" s="306"/>
      <c r="T161" s="63"/>
    </row>
    <row r="162" spans="1:20" s="176" customFormat="1" ht="20.100000000000001" customHeight="1" x14ac:dyDescent="0.2">
      <c r="A162" s="114"/>
      <c r="B162" s="117"/>
      <c r="C162" s="138"/>
      <c r="D162" s="1426"/>
      <c r="E162" s="140"/>
      <c r="F162" s="1411"/>
      <c r="G162" s="1411"/>
      <c r="H162" s="140"/>
      <c r="I162" s="140"/>
      <c r="J162" s="1411"/>
      <c r="K162" s="1411"/>
      <c r="L162" s="140"/>
      <c r="M162" s="140"/>
      <c r="N162" s="1420"/>
      <c r="O162" s="1445"/>
      <c r="P162" s="243"/>
      <c r="Q162" s="226"/>
      <c r="R162" s="306"/>
      <c r="T162" s="63"/>
    </row>
    <row r="163" spans="1:20" s="176" customFormat="1" ht="20.100000000000001" customHeight="1" x14ac:dyDescent="0.2">
      <c r="A163" s="126" t="s">
        <v>385</v>
      </c>
      <c r="B163" s="129"/>
      <c r="C163" s="1415" t="s">
        <v>386</v>
      </c>
      <c r="D163" s="1416"/>
      <c r="E163" s="140"/>
      <c r="F163" s="1411"/>
      <c r="G163" s="1411"/>
      <c r="H163" s="140"/>
      <c r="I163" s="140"/>
      <c r="J163" s="1411"/>
      <c r="K163" s="1411"/>
      <c r="L163" s="140"/>
      <c r="M163" s="140"/>
      <c r="N163" s="1420"/>
      <c r="O163" s="1445"/>
      <c r="P163" s="243"/>
      <c r="Q163" s="226"/>
      <c r="R163" s="306"/>
      <c r="T163" s="63"/>
    </row>
    <row r="164" spans="1:20" s="176" customFormat="1" ht="20.100000000000001" customHeight="1" x14ac:dyDescent="0.2">
      <c r="A164" s="114">
        <v>1</v>
      </c>
      <c r="B164" s="117" t="s">
        <v>1379</v>
      </c>
      <c r="C164" s="115" t="s">
        <v>387</v>
      </c>
      <c r="D164" s="1419"/>
      <c r="E164" s="1470"/>
      <c r="F164" s="1411"/>
      <c r="G164" s="1411"/>
      <c r="H164" s="140"/>
      <c r="I164" s="140"/>
      <c r="J164" s="1411"/>
      <c r="K164" s="1411"/>
      <c r="L164" s="140"/>
      <c r="M164" s="140"/>
      <c r="N164" s="1420"/>
      <c r="O164" s="1418"/>
      <c r="P164" s="124"/>
      <c r="Q164" s="226"/>
      <c r="R164" s="306"/>
      <c r="T164" s="63"/>
    </row>
    <row r="165" spans="1:20" s="176" customFormat="1" ht="86.25" customHeight="1" x14ac:dyDescent="0.2">
      <c r="A165" s="114"/>
      <c r="B165" s="117"/>
      <c r="C165" s="138" t="s">
        <v>388</v>
      </c>
      <c r="D165" s="139" t="s">
        <v>389</v>
      </c>
      <c r="E165" s="140" t="s">
        <v>97</v>
      </c>
      <c r="F165" s="1411"/>
      <c r="G165" s="1442" t="s">
        <v>1350</v>
      </c>
      <c r="H165" s="1443"/>
      <c r="I165" s="1444"/>
      <c r="J165" s="1411"/>
      <c r="K165" s="1442" t="s">
        <v>1350</v>
      </c>
      <c r="L165" s="1443"/>
      <c r="M165" s="1444"/>
      <c r="N165" s="1420" t="s">
        <v>391</v>
      </c>
      <c r="O165" s="1418" t="s">
        <v>114</v>
      </c>
      <c r="P165" s="124" t="s">
        <v>392</v>
      </c>
      <c r="Q165" s="226" t="s">
        <v>391</v>
      </c>
      <c r="R165" s="306"/>
      <c r="T165" s="63"/>
    </row>
    <row r="166" spans="1:20" s="176" customFormat="1" ht="20.100000000000001" customHeight="1" x14ac:dyDescent="0.2">
      <c r="A166" s="114"/>
      <c r="B166" s="117"/>
      <c r="C166" s="138"/>
      <c r="D166" s="1426"/>
      <c r="E166" s="140"/>
      <c r="F166" s="1411"/>
      <c r="G166" s="1411"/>
      <c r="H166" s="140"/>
      <c r="I166" s="140"/>
      <c r="J166" s="1411"/>
      <c r="K166" s="1411"/>
      <c r="L166" s="140"/>
      <c r="M166" s="140"/>
      <c r="N166" s="1420"/>
      <c r="O166" s="1418"/>
      <c r="P166" s="124"/>
      <c r="Q166" s="226"/>
      <c r="R166" s="306"/>
      <c r="T166" s="63"/>
    </row>
    <row r="167" spans="1:20" s="176" customFormat="1" ht="20.100000000000001" customHeight="1" thickBot="1" x14ac:dyDescent="0.25">
      <c r="A167" s="1471"/>
      <c r="B167" s="1472"/>
      <c r="C167" s="1473"/>
      <c r="D167" s="1474"/>
      <c r="E167" s="1475"/>
      <c r="F167" s="1476"/>
      <c r="G167" s="1476"/>
      <c r="H167" s="1472"/>
      <c r="I167" s="1472"/>
      <c r="J167" s="1477"/>
      <c r="K167" s="1476"/>
      <c r="L167" s="1472"/>
      <c r="M167" s="1472"/>
      <c r="N167" s="1478"/>
      <c r="O167" s="1479"/>
      <c r="P167" s="301"/>
      <c r="Q167" s="1480"/>
      <c r="R167" s="1414"/>
      <c r="T167" s="63"/>
    </row>
    <row r="168" spans="1:20" ht="9.9" customHeight="1" x14ac:dyDescent="0.2">
      <c r="F168" s="176"/>
      <c r="G168" s="176"/>
      <c r="H168" s="176"/>
      <c r="I168" s="176"/>
      <c r="J168" s="176"/>
      <c r="K168" s="176"/>
      <c r="L168" s="176"/>
      <c r="M168" s="176"/>
    </row>
    <row r="169" spans="1:20" ht="13.2" x14ac:dyDescent="0.2">
      <c r="F169" s="176"/>
      <c r="G169" s="176"/>
      <c r="H169" s="176"/>
      <c r="I169" s="176"/>
      <c r="J169" s="176"/>
      <c r="K169" s="176"/>
      <c r="L169" s="176"/>
      <c r="M169" s="176"/>
    </row>
    <row r="170" spans="1:20" ht="16.5" customHeight="1" x14ac:dyDescent="0.2">
      <c r="F170" s="176"/>
      <c r="G170" s="176"/>
      <c r="H170" s="176"/>
      <c r="I170" s="176"/>
      <c r="J170" s="176"/>
      <c r="K170" s="176"/>
      <c r="L170" s="176"/>
      <c r="M170" s="176"/>
    </row>
    <row r="171" spans="1:20" ht="13.2" x14ac:dyDescent="0.2">
      <c r="F171" s="176"/>
      <c r="G171" s="176"/>
      <c r="H171" s="176"/>
      <c r="I171" s="176"/>
      <c r="J171" s="176"/>
      <c r="K171" s="176"/>
      <c r="L171" s="176"/>
      <c r="M171" s="176"/>
    </row>
    <row r="174" spans="1:20" ht="16.5" customHeight="1" x14ac:dyDescent="0.15"/>
  </sheetData>
  <mergeCells count="21">
    <mergeCell ref="K117:M117"/>
    <mergeCell ref="C128:D128"/>
    <mergeCell ref="F129:I129"/>
    <mergeCell ref="G165:I165"/>
    <mergeCell ref="K165:M165"/>
    <mergeCell ref="F8:I8"/>
    <mergeCell ref="J8:M8"/>
    <mergeCell ref="O8:O9"/>
    <mergeCell ref="P8:P9"/>
    <mergeCell ref="Q8:Q9"/>
    <mergeCell ref="K113:M113"/>
    <mergeCell ref="A1:Q1"/>
    <mergeCell ref="A3:D4"/>
    <mergeCell ref="A5:D5"/>
    <mergeCell ref="A7:A9"/>
    <mergeCell ref="B7:B9"/>
    <mergeCell ref="C7:D9"/>
    <mergeCell ref="E7:E9"/>
    <mergeCell ref="F7:M7"/>
    <mergeCell ref="N7:N9"/>
    <mergeCell ref="O7:Q7"/>
  </mergeCells>
  <printOptions horizontalCentered="1"/>
  <pageMargins left="0.39370078740157483" right="0.39370078740157483" top="0.39370078740157483" bottom="0.39370078740157483" header="0" footer="0"/>
  <pageSetup paperSize="9" scale="34" fitToHeight="0" orientation="portrait" r:id="rId1"/>
  <headerFooter alignWithMargins="0">
    <oddFooter>&amp;L&amp;9&amp;F&amp;C&amp;9&amp;P of &amp;N</oddFooter>
  </headerFooter>
  <rowBreaks count="1" manualBreakCount="1">
    <brk id="116" max="16"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1089B-A8F9-4887-8DE7-615FBCCFD5F3}">
  <sheetPr>
    <tabColor rgb="FFFFFF00"/>
  </sheetPr>
  <dimension ref="B1:AL198"/>
  <sheetViews>
    <sheetView view="pageBreakPreview" topLeftCell="M7" zoomScale="85" zoomScaleNormal="55" zoomScaleSheetLayoutView="85" workbookViewId="0">
      <selection activeCell="J114" sqref="J114"/>
    </sheetView>
  </sheetViews>
  <sheetFormatPr defaultColWidth="8.8984375" defaultRowHeight="13.2" x14ac:dyDescent="0.2"/>
  <cols>
    <col min="1" max="1" width="2.796875" style="2" customWidth="1"/>
    <col min="2" max="2" width="8.8984375" style="2"/>
    <col min="3" max="3" width="14.69921875" style="2" customWidth="1"/>
    <col min="4" max="4" width="14.69921875" style="320" customWidth="1"/>
    <col min="5" max="5" width="30.8984375" style="2" customWidth="1"/>
    <col min="6" max="8" width="7.796875" style="2" customWidth="1"/>
    <col min="9" max="9" width="5.796875" style="2" customWidth="1"/>
    <col min="10" max="11" width="5.796875" style="318" customWidth="1"/>
    <col min="12" max="12" width="14.796875" style="2" customWidth="1"/>
    <col min="13" max="13" width="8.8984375" style="2"/>
    <col min="14" max="14" width="21.8984375" style="319" customWidth="1"/>
    <col min="15" max="15" width="30.09765625" style="320" customWidth="1"/>
    <col min="16" max="16" width="35.8984375" style="2" customWidth="1"/>
    <col min="17" max="19" width="7.796875" style="2" customWidth="1"/>
    <col min="20" max="23" width="8.8984375" style="2"/>
    <col min="24" max="24" width="14.796875" style="2" customWidth="1"/>
    <col min="25" max="25" width="8.8984375" style="2"/>
    <col min="26" max="26" width="25.59765625" style="2" customWidth="1"/>
    <col min="27" max="27" width="27.296875" style="321" customWidth="1"/>
    <col min="28" max="28" width="4.8984375" style="321" customWidth="1"/>
    <col min="29" max="29" width="62.09765625" style="2" customWidth="1"/>
    <col min="30" max="32" width="7.796875" style="2" hidden="1" customWidth="1"/>
    <col min="33" max="33" width="8.8984375" style="2"/>
    <col min="34" max="34" width="8.8984375" style="2" hidden="1" customWidth="1"/>
    <col min="35" max="35" width="8.8984375" style="2"/>
    <col min="36" max="36" width="43.19921875" style="2" customWidth="1"/>
    <col min="37" max="37" width="4" style="2" customWidth="1"/>
    <col min="38" max="16384" width="8.8984375" style="2"/>
  </cols>
  <sheetData>
    <row r="1" spans="2:38" ht="42" x14ac:dyDescent="0.5">
      <c r="B1" s="1481" t="s">
        <v>1380</v>
      </c>
      <c r="C1" s="1482"/>
      <c r="D1" s="1483"/>
      <c r="E1" s="1484"/>
      <c r="F1" s="1484"/>
      <c r="G1" s="1484"/>
      <c r="H1" s="1484"/>
      <c r="I1" s="1484"/>
      <c r="J1" s="1484"/>
      <c r="K1" s="1484"/>
      <c r="L1" s="1484"/>
      <c r="M1" s="1484"/>
      <c r="N1" s="1483"/>
      <c r="O1" s="1483"/>
      <c r="P1" s="1484"/>
      <c r="Q1" s="1484"/>
      <c r="R1" s="1484"/>
      <c r="S1" s="1484"/>
      <c r="T1" s="1484"/>
      <c r="U1" s="1484"/>
      <c r="V1" s="1484"/>
      <c r="W1" s="1484"/>
      <c r="X1" s="1484"/>
      <c r="Y1" s="1484"/>
      <c r="Z1" s="1484"/>
      <c r="AA1" s="1484"/>
      <c r="AB1" s="1484"/>
      <c r="AC1" s="1484"/>
      <c r="AD1" s="1484"/>
      <c r="AE1" s="1484"/>
      <c r="AF1" s="1484"/>
      <c r="AG1" s="1484"/>
      <c r="AH1" s="1484"/>
      <c r="AI1" s="1484"/>
      <c r="AJ1" s="1484"/>
      <c r="AL1" s="314" t="s">
        <v>394</v>
      </c>
    </row>
    <row r="2" spans="2:38" ht="21.75" customHeight="1" x14ac:dyDescent="0.2">
      <c r="B2" s="315" t="s">
        <v>395</v>
      </c>
      <c r="C2" s="315"/>
      <c r="D2" s="315"/>
      <c r="E2" s="315"/>
      <c r="H2" s="1485"/>
      <c r="I2" s="1486" t="s">
        <v>396</v>
      </c>
      <c r="J2" s="1486"/>
      <c r="AL2" s="314"/>
    </row>
    <row r="3" spans="2:38" ht="21.75" customHeight="1" x14ac:dyDescent="0.2">
      <c r="B3" s="322" t="s">
        <v>397</v>
      </c>
      <c r="C3" s="323"/>
      <c r="D3" s="324"/>
      <c r="E3" s="325" t="s">
        <v>398</v>
      </c>
      <c r="H3" s="1487"/>
      <c r="I3" s="1486" t="s">
        <v>399</v>
      </c>
      <c r="J3" s="1486"/>
    </row>
    <row r="4" spans="2:38" ht="21.75" customHeight="1" x14ac:dyDescent="0.2">
      <c r="B4" s="327"/>
      <c r="C4" s="327"/>
      <c r="D4" s="327"/>
      <c r="E4" s="328"/>
      <c r="H4" s="329"/>
      <c r="I4" s="317" t="s">
        <v>401</v>
      </c>
      <c r="J4" s="317"/>
      <c r="AH4" s="318" t="s">
        <v>402</v>
      </c>
    </row>
    <row r="5" spans="2:38" s="334" customFormat="1" ht="21" customHeight="1" thickBot="1" x14ac:dyDescent="0.25">
      <c r="B5" s="331" t="s">
        <v>1381</v>
      </c>
      <c r="C5" s="331"/>
      <c r="D5" s="331"/>
      <c r="E5" s="333"/>
      <c r="F5" s="333"/>
      <c r="G5" s="333"/>
      <c r="H5" s="333"/>
      <c r="I5" s="333"/>
      <c r="J5" s="333"/>
      <c r="K5" s="333"/>
      <c r="L5" s="333"/>
      <c r="N5" s="333"/>
      <c r="O5" s="335"/>
      <c r="AA5" s="336"/>
      <c r="AB5" s="336"/>
      <c r="AH5" s="84" t="s">
        <v>1382</v>
      </c>
      <c r="AI5" s="2"/>
      <c r="AJ5" s="337">
        <v>45838</v>
      </c>
      <c r="AL5" s="334" t="s">
        <v>975</v>
      </c>
    </row>
    <row r="6" spans="2:38" s="348" customFormat="1" ht="27" customHeight="1" x14ac:dyDescent="0.25">
      <c r="B6" s="339" t="s">
        <v>1383</v>
      </c>
      <c r="C6" s="340"/>
      <c r="D6" s="340"/>
      <c r="E6" s="340"/>
      <c r="F6" s="340"/>
      <c r="G6" s="340"/>
      <c r="H6" s="340"/>
      <c r="I6" s="340"/>
      <c r="J6" s="340"/>
      <c r="K6" s="340"/>
      <c r="L6" s="341"/>
      <c r="M6" s="342" t="s">
        <v>1384</v>
      </c>
      <c r="N6" s="343"/>
      <c r="O6" s="343"/>
      <c r="P6" s="343"/>
      <c r="Q6" s="343"/>
      <c r="R6" s="343"/>
      <c r="S6" s="343"/>
      <c r="T6" s="343"/>
      <c r="U6" s="343"/>
      <c r="V6" s="1488"/>
      <c r="W6" s="1488"/>
      <c r="X6" s="344"/>
      <c r="Y6" s="345" t="s">
        <v>1385</v>
      </c>
      <c r="Z6" s="346"/>
      <c r="AA6" s="346"/>
      <c r="AB6" s="346"/>
      <c r="AC6" s="346"/>
      <c r="AD6" s="346"/>
      <c r="AE6" s="346"/>
      <c r="AF6" s="346"/>
      <c r="AG6" s="346"/>
      <c r="AH6" s="346"/>
      <c r="AI6" s="346"/>
      <c r="AJ6" s="347"/>
    </row>
    <row r="7" spans="2:38" s="334" customFormat="1" ht="78.75" customHeight="1" x14ac:dyDescent="0.25">
      <c r="B7" s="1489" t="s">
        <v>408</v>
      </c>
      <c r="C7" s="501" t="s">
        <v>409</v>
      </c>
      <c r="D7" s="501" t="s">
        <v>410</v>
      </c>
      <c r="E7" s="501" t="s">
        <v>411</v>
      </c>
      <c r="F7" s="501" t="s">
        <v>412</v>
      </c>
      <c r="G7" s="501" t="s">
        <v>413</v>
      </c>
      <c r="H7" s="501" t="s">
        <v>414</v>
      </c>
      <c r="I7" s="1490" t="s">
        <v>1386</v>
      </c>
      <c r="J7" s="1491"/>
      <c r="K7" s="1492" t="s">
        <v>427</v>
      </c>
      <c r="L7" s="1493" t="s">
        <v>423</v>
      </c>
      <c r="M7" s="1489" t="s">
        <v>408</v>
      </c>
      <c r="N7" s="501" t="s">
        <v>409</v>
      </c>
      <c r="O7" s="501" t="s">
        <v>410</v>
      </c>
      <c r="P7" s="501" t="s">
        <v>411</v>
      </c>
      <c r="Q7" s="501" t="s">
        <v>412</v>
      </c>
      <c r="R7" s="501" t="s">
        <v>413</v>
      </c>
      <c r="S7" s="501" t="s">
        <v>414</v>
      </c>
      <c r="T7" s="1494" t="s">
        <v>424</v>
      </c>
      <c r="U7" s="1494"/>
      <c r="V7" s="1495" t="s">
        <v>427</v>
      </c>
      <c r="W7" s="371" t="s">
        <v>59</v>
      </c>
      <c r="X7" s="1493" t="s">
        <v>423</v>
      </c>
      <c r="Y7" s="1489" t="s">
        <v>408</v>
      </c>
      <c r="Z7" s="501" t="s">
        <v>409</v>
      </c>
      <c r="AA7" s="501" t="s">
        <v>410</v>
      </c>
      <c r="AB7" s="1490" t="s">
        <v>411</v>
      </c>
      <c r="AC7" s="1491"/>
      <c r="AD7" s="1496" t="s">
        <v>412</v>
      </c>
      <c r="AE7" s="1496" t="s">
        <v>413</v>
      </c>
      <c r="AF7" s="1496" t="s">
        <v>414</v>
      </c>
      <c r="AG7" s="501" t="s">
        <v>1387</v>
      </c>
      <c r="AH7" s="501" t="s">
        <v>426</v>
      </c>
      <c r="AI7" s="501" t="s">
        <v>427</v>
      </c>
      <c r="AJ7" s="1493" t="s">
        <v>423</v>
      </c>
    </row>
    <row r="8" spans="2:38" s="334" customFormat="1" ht="25.5" customHeight="1" x14ac:dyDescent="0.25">
      <c r="B8" s="365" t="s">
        <v>428</v>
      </c>
      <c r="C8" s="1497" t="s">
        <v>720</v>
      </c>
      <c r="D8" s="1498" t="s">
        <v>1388</v>
      </c>
      <c r="E8" s="368" t="s">
        <v>1389</v>
      </c>
      <c r="F8" s="1499">
        <v>0.3</v>
      </c>
      <c r="G8" s="400">
        <v>0.1</v>
      </c>
      <c r="H8" s="1499">
        <v>0.3</v>
      </c>
      <c r="I8" s="370">
        <v>1</v>
      </c>
      <c r="J8" s="371" t="s">
        <v>1390</v>
      </c>
      <c r="K8" s="1500" t="str">
        <f>$AI$8</f>
        <v>상</v>
      </c>
      <c r="L8" s="1501" t="str">
        <f>IF(I8*I9&gt;=1,"Error (택1 요망)","택1 요망")</f>
        <v>택1 요망</v>
      </c>
      <c r="M8" s="365" t="s">
        <v>431</v>
      </c>
      <c r="N8" s="1497" t="s">
        <v>1391</v>
      </c>
      <c r="O8" s="1502" t="s">
        <v>1392</v>
      </c>
      <c r="P8" s="376" t="s">
        <v>1393</v>
      </c>
      <c r="Q8" s="1499">
        <v>0.3</v>
      </c>
      <c r="R8" s="400">
        <v>0.1</v>
      </c>
      <c r="S8" s="1499">
        <v>0.3</v>
      </c>
      <c r="T8" s="411">
        <v>1</v>
      </c>
      <c r="U8" s="371" t="s">
        <v>1390</v>
      </c>
      <c r="V8" s="1500" t="str">
        <f t="shared" ref="V8:V45" si="0">$AI$8</f>
        <v>상</v>
      </c>
      <c r="W8" s="486" cm="1">
        <f t="array" ref="W8">IF($AI$8="상",70,IF($AI$8="중",35,IF($AI$8="하",20,fault)))</f>
        <v>70</v>
      </c>
      <c r="X8" s="1503" t="s">
        <v>470</v>
      </c>
      <c r="Y8" s="365" t="s">
        <v>433</v>
      </c>
      <c r="Z8" s="1497" t="s">
        <v>434</v>
      </c>
      <c r="AA8" s="1497" t="s">
        <v>435</v>
      </c>
      <c r="AB8" s="437" t="s">
        <v>95</v>
      </c>
      <c r="AC8" s="383" t="s">
        <v>1394</v>
      </c>
      <c r="AD8" s="1504"/>
      <c r="AE8" s="1504"/>
      <c r="AF8" s="1504"/>
      <c r="AG8" s="1505" t="s">
        <v>218</v>
      </c>
      <c r="AH8" s="1506">
        <f>IF(AG8="1)",1,IF(AG8="2)",1.05,IF(AG8="3)",1.1,IF(AG8="4)",1.15,IF(AG8="5)",1.2,IF(AG8="6)",1.25,IF(AG8="7)",1.15,IF(AG8="8)",1.2,""))))))))</f>
        <v>1.1499999999999999</v>
      </c>
      <c r="AI8" s="1506" t="str">
        <f>IF(AH8*AH16*AH19&gt;1.5,"상",IF(AH8*AH16*AH19&gt;1.2,"중","하"))</f>
        <v>상</v>
      </c>
      <c r="AJ8" s="413" t="s">
        <v>1395</v>
      </c>
    </row>
    <row r="9" spans="2:38" s="334" customFormat="1" ht="25.5" customHeight="1" x14ac:dyDescent="0.25">
      <c r="B9" s="365" t="s">
        <v>438</v>
      </c>
      <c r="C9" s="1507"/>
      <c r="D9" s="1498"/>
      <c r="E9" s="368" t="s">
        <v>1396</v>
      </c>
      <c r="F9" s="1499">
        <v>0.3</v>
      </c>
      <c r="G9" s="400">
        <v>0.1</v>
      </c>
      <c r="H9" s="1499">
        <v>0.3</v>
      </c>
      <c r="I9" s="370">
        <v>0</v>
      </c>
      <c r="J9" s="371" t="s">
        <v>1390</v>
      </c>
      <c r="K9" s="1500" t="str">
        <f>$AI$8</f>
        <v>상</v>
      </c>
      <c r="L9" s="1508"/>
      <c r="M9" s="365" t="s">
        <v>440</v>
      </c>
      <c r="N9" s="1507"/>
      <c r="O9" s="1509"/>
      <c r="P9" s="376" t="s">
        <v>1397</v>
      </c>
      <c r="Q9" s="1499">
        <v>0.3</v>
      </c>
      <c r="R9" s="400">
        <v>0.1</v>
      </c>
      <c r="S9" s="1499">
        <v>0.3</v>
      </c>
      <c r="T9" s="411">
        <v>1</v>
      </c>
      <c r="U9" s="371" t="s">
        <v>1390</v>
      </c>
      <c r="V9" s="1500" t="str">
        <f t="shared" si="0"/>
        <v>상</v>
      </c>
      <c r="W9" s="486" cm="1">
        <f t="array" ref="W9">IF($AI$8="상",200,IF($AI$8="중",120,IF($AI$8="하",60,fault)))</f>
        <v>200</v>
      </c>
      <c r="X9" s="1510"/>
      <c r="Y9" s="365" t="s">
        <v>442</v>
      </c>
      <c r="Z9" s="1507"/>
      <c r="AA9" s="1507"/>
      <c r="AB9" s="437" t="s">
        <v>525</v>
      </c>
      <c r="AC9" s="383" t="s">
        <v>1398</v>
      </c>
      <c r="AD9" s="1504"/>
      <c r="AE9" s="1504"/>
      <c r="AF9" s="1504"/>
      <c r="AG9" s="1511"/>
      <c r="AH9" s="1512"/>
      <c r="AI9" s="1512"/>
      <c r="AJ9" s="1513"/>
    </row>
    <row r="10" spans="2:38" s="334" customFormat="1" ht="25.5" customHeight="1" x14ac:dyDescent="0.25">
      <c r="B10" s="365" t="s">
        <v>444</v>
      </c>
      <c r="C10" s="1507"/>
      <c r="D10" s="1514" t="s">
        <v>1399</v>
      </c>
      <c r="E10" s="368" t="s">
        <v>1399</v>
      </c>
      <c r="F10" s="1499">
        <v>0.3</v>
      </c>
      <c r="G10" s="400">
        <v>0.1</v>
      </c>
      <c r="H10" s="1499">
        <v>0.3</v>
      </c>
      <c r="I10" s="370">
        <v>1</v>
      </c>
      <c r="J10" s="371" t="s">
        <v>1390</v>
      </c>
      <c r="K10" s="1515" t="str">
        <f>$AI$8</f>
        <v>상</v>
      </c>
      <c r="L10" s="1516" t="s">
        <v>470</v>
      </c>
      <c r="M10" s="365" t="s">
        <v>446</v>
      </c>
      <c r="N10" s="1507"/>
      <c r="O10" s="1509"/>
      <c r="P10" s="376" t="s">
        <v>1400</v>
      </c>
      <c r="Q10" s="1499">
        <v>0.3</v>
      </c>
      <c r="R10" s="400">
        <v>0.1</v>
      </c>
      <c r="S10" s="1499">
        <v>0.3</v>
      </c>
      <c r="T10" s="1517">
        <v>0</v>
      </c>
      <c r="U10" s="371" t="s">
        <v>1390</v>
      </c>
      <c r="V10" s="1515" t="str">
        <f t="shared" si="0"/>
        <v>상</v>
      </c>
      <c r="W10" s="486" cm="1">
        <f t="array" ref="W10">IF($AI$8="상",140,IF($AI$8="중",70,IF($AI$8="하",40,fault)))</f>
        <v>140</v>
      </c>
      <c r="X10" s="1510"/>
      <c r="Y10" s="365" t="s">
        <v>448</v>
      </c>
      <c r="Z10" s="1507"/>
      <c r="AA10" s="1507"/>
      <c r="AB10" s="437" t="s">
        <v>121</v>
      </c>
      <c r="AC10" s="1518" t="s">
        <v>1401</v>
      </c>
      <c r="AD10" s="1519"/>
      <c r="AE10" s="1519"/>
      <c r="AF10" s="1519"/>
      <c r="AG10" s="1511"/>
      <c r="AH10" s="1512"/>
      <c r="AI10" s="1512"/>
      <c r="AJ10" s="1513"/>
    </row>
    <row r="11" spans="2:38" s="334" customFormat="1" ht="25.5" customHeight="1" x14ac:dyDescent="0.25">
      <c r="B11" s="365" t="s">
        <v>450</v>
      </c>
      <c r="C11" s="1507"/>
      <c r="D11" s="1514" t="s">
        <v>1402</v>
      </c>
      <c r="E11" s="368" t="s">
        <v>1402</v>
      </c>
      <c r="F11" s="1499">
        <v>0.3</v>
      </c>
      <c r="G11" s="400">
        <v>0.1</v>
      </c>
      <c r="H11" s="1499">
        <v>0.3</v>
      </c>
      <c r="I11" s="370">
        <v>0</v>
      </c>
      <c r="J11" s="371" t="s">
        <v>1390</v>
      </c>
      <c r="K11" s="1515" t="str">
        <f>$AI$8</f>
        <v>상</v>
      </c>
      <c r="L11" s="1520"/>
      <c r="M11" s="365" t="s">
        <v>453</v>
      </c>
      <c r="N11" s="1507"/>
      <c r="O11" s="1509"/>
      <c r="P11" s="376" t="s">
        <v>1403</v>
      </c>
      <c r="Q11" s="1499">
        <v>0.3</v>
      </c>
      <c r="R11" s="400">
        <v>0.1</v>
      </c>
      <c r="S11" s="1499">
        <v>0.3</v>
      </c>
      <c r="T11" s="1517">
        <v>1</v>
      </c>
      <c r="U11" s="371" t="s">
        <v>1390</v>
      </c>
      <c r="V11" s="1515" t="str">
        <f t="shared" si="0"/>
        <v>상</v>
      </c>
      <c r="W11" s="486" cm="1">
        <f t="array" ref="W11">IF($AI$8="상",70,IF($AI$8="중",35,IF($AI$8="하",20,fault)))</f>
        <v>70</v>
      </c>
      <c r="X11" s="1510"/>
      <c r="Y11" s="365" t="s">
        <v>455</v>
      </c>
      <c r="Z11" s="1507"/>
      <c r="AA11" s="1507"/>
      <c r="AB11" s="437" t="s">
        <v>160</v>
      </c>
      <c r="AC11" s="1518" t="s">
        <v>1404</v>
      </c>
      <c r="AD11" s="1519"/>
      <c r="AE11" s="1519"/>
      <c r="AF11" s="1519"/>
      <c r="AG11" s="1511"/>
      <c r="AH11" s="1512"/>
      <c r="AI11" s="1512"/>
      <c r="AJ11" s="1513"/>
    </row>
    <row r="12" spans="2:38" s="334" customFormat="1" ht="25.5" customHeight="1" x14ac:dyDescent="0.25">
      <c r="B12" s="365" t="s">
        <v>457</v>
      </c>
      <c r="C12" s="1521"/>
      <c r="D12" s="1514" t="s">
        <v>644</v>
      </c>
      <c r="E12" s="368" t="s">
        <v>644</v>
      </c>
      <c r="F12" s="1499">
        <v>0.3</v>
      </c>
      <c r="G12" s="400">
        <v>0.1</v>
      </c>
      <c r="H12" s="1499">
        <v>0.3</v>
      </c>
      <c r="I12" s="370">
        <v>0</v>
      </c>
      <c r="J12" s="371" t="s">
        <v>1390</v>
      </c>
      <c r="K12" s="1515" t="str">
        <f>$AI$8</f>
        <v>상</v>
      </c>
      <c r="L12" s="1522"/>
      <c r="M12" s="365" t="s">
        <v>461</v>
      </c>
      <c r="N12" s="1507"/>
      <c r="O12" s="1509"/>
      <c r="P12" s="467" t="s">
        <v>1405</v>
      </c>
      <c r="Q12" s="377">
        <v>0.3</v>
      </c>
      <c r="R12" s="400">
        <v>0.1</v>
      </c>
      <c r="S12" s="377">
        <v>0.3</v>
      </c>
      <c r="T12" s="411">
        <v>0</v>
      </c>
      <c r="U12" s="371" t="s">
        <v>1390</v>
      </c>
      <c r="V12" s="1515" t="str">
        <f t="shared" si="0"/>
        <v>상</v>
      </c>
      <c r="W12" s="486" cm="1">
        <f t="array" ref="W12">IF($AI$8="상",70,IF($AI$8="중",35,IF($AI$8="하",20,fault)))</f>
        <v>70</v>
      </c>
      <c r="X12" s="1510"/>
      <c r="Y12" s="365" t="s">
        <v>463</v>
      </c>
      <c r="Z12" s="1507"/>
      <c r="AA12" s="1507"/>
      <c r="AB12" s="437" t="s">
        <v>166</v>
      </c>
      <c r="AC12" s="1518" t="s">
        <v>1406</v>
      </c>
      <c r="AD12" s="1519"/>
      <c r="AE12" s="1519"/>
      <c r="AF12" s="1519"/>
      <c r="AG12" s="1511"/>
      <c r="AH12" s="1512"/>
      <c r="AI12" s="1512"/>
      <c r="AJ12" s="1513"/>
    </row>
    <row r="13" spans="2:38" s="334" customFormat="1" ht="25.5" customHeight="1" x14ac:dyDescent="0.25">
      <c r="B13" s="365" t="s">
        <v>465</v>
      </c>
      <c r="C13" s="1497" t="s">
        <v>688</v>
      </c>
      <c r="D13" s="1523" t="s">
        <v>688</v>
      </c>
      <c r="E13" s="424" t="s">
        <v>112</v>
      </c>
      <c r="F13" s="1499">
        <v>0.3</v>
      </c>
      <c r="G13" s="1524">
        <v>0.1</v>
      </c>
      <c r="H13" s="1499">
        <v>0.3</v>
      </c>
      <c r="I13" s="371">
        <v>1</v>
      </c>
      <c r="J13" s="371" t="s">
        <v>97</v>
      </c>
      <c r="K13" s="1525"/>
      <c r="L13" s="408"/>
      <c r="M13" s="365" t="s">
        <v>467</v>
      </c>
      <c r="N13" s="1507"/>
      <c r="O13" s="1509"/>
      <c r="P13" s="467" t="s">
        <v>1407</v>
      </c>
      <c r="Q13" s="377">
        <v>0.3</v>
      </c>
      <c r="R13" s="400">
        <v>0.1</v>
      </c>
      <c r="S13" s="377">
        <v>0.3</v>
      </c>
      <c r="T13" s="411">
        <v>1</v>
      </c>
      <c r="U13" s="371" t="s">
        <v>1390</v>
      </c>
      <c r="V13" s="1515" t="str">
        <f t="shared" si="0"/>
        <v>상</v>
      </c>
      <c r="W13" s="486" cm="1">
        <f t="array" ref="W13">IF($AI$8="상",140,IF($AI$8="중",70,IF($AI$8="하",40,fault)))</f>
        <v>140</v>
      </c>
      <c r="X13" s="1510"/>
      <c r="Y13" s="365" t="s">
        <v>471</v>
      </c>
      <c r="Z13" s="1507"/>
      <c r="AA13" s="1507"/>
      <c r="AB13" s="437" t="s">
        <v>169</v>
      </c>
      <c r="AC13" s="1518" t="s">
        <v>1408</v>
      </c>
      <c r="AD13" s="1519"/>
      <c r="AE13" s="1519"/>
      <c r="AF13" s="1519"/>
      <c r="AG13" s="1511"/>
      <c r="AH13" s="1512"/>
      <c r="AI13" s="1512"/>
      <c r="AJ13" s="1513"/>
    </row>
    <row r="14" spans="2:38" s="334" customFormat="1" ht="25.5" customHeight="1" x14ac:dyDescent="0.25">
      <c r="B14" s="365" t="s">
        <v>473</v>
      </c>
      <c r="C14" s="1507"/>
      <c r="D14" s="1526"/>
      <c r="E14" s="424" t="s">
        <v>1409</v>
      </c>
      <c r="F14" s="1499">
        <v>0.3</v>
      </c>
      <c r="G14" s="1524">
        <v>0.1</v>
      </c>
      <c r="H14" s="1499">
        <v>0.3</v>
      </c>
      <c r="I14" s="1527">
        <v>3</v>
      </c>
      <c r="J14" s="371" t="s">
        <v>118</v>
      </c>
      <c r="K14" s="1525"/>
      <c r="L14" s="408"/>
      <c r="M14" s="365" t="s">
        <v>475</v>
      </c>
      <c r="N14" s="1507"/>
      <c r="O14" s="1509"/>
      <c r="P14" s="467" t="s">
        <v>1410</v>
      </c>
      <c r="Q14" s="377">
        <v>0.3</v>
      </c>
      <c r="R14" s="400">
        <v>0.1</v>
      </c>
      <c r="S14" s="377">
        <v>0.3</v>
      </c>
      <c r="T14" s="1517">
        <v>0</v>
      </c>
      <c r="U14" s="371" t="s">
        <v>1390</v>
      </c>
      <c r="V14" s="1515" t="str">
        <f t="shared" si="0"/>
        <v>상</v>
      </c>
      <c r="W14" s="486" cm="1">
        <f t="array" ref="W14">IF($AI$8="상",70,IF($AI$8="중",35,IF($AI$8="하",20,fault)))</f>
        <v>70</v>
      </c>
      <c r="X14" s="1510"/>
      <c r="Y14" s="365" t="s">
        <v>476</v>
      </c>
      <c r="Z14" s="1507"/>
      <c r="AA14" s="1507"/>
      <c r="AB14" s="437" t="s">
        <v>218</v>
      </c>
      <c r="AC14" s="1518" t="s">
        <v>1411</v>
      </c>
      <c r="AD14" s="1519"/>
      <c r="AE14" s="1519"/>
      <c r="AF14" s="1519"/>
      <c r="AG14" s="1511"/>
      <c r="AH14" s="1512"/>
      <c r="AI14" s="1512"/>
      <c r="AJ14" s="1513"/>
    </row>
    <row r="15" spans="2:38" s="334" customFormat="1" ht="25.5" customHeight="1" x14ac:dyDescent="0.25">
      <c r="B15" s="365" t="s">
        <v>478</v>
      </c>
      <c r="C15" s="1507"/>
      <c r="D15" s="1526"/>
      <c r="E15" s="424" t="s">
        <v>1409</v>
      </c>
      <c r="F15" s="1499">
        <v>0.3</v>
      </c>
      <c r="G15" s="1524">
        <v>0.1</v>
      </c>
      <c r="H15" s="1499">
        <v>0.3</v>
      </c>
      <c r="I15" s="1527">
        <v>3</v>
      </c>
      <c r="J15" s="371" t="s">
        <v>118</v>
      </c>
      <c r="K15" s="1525"/>
      <c r="L15" s="408"/>
      <c r="M15" s="365" t="s">
        <v>480</v>
      </c>
      <c r="N15" s="1507"/>
      <c r="O15" s="1509"/>
      <c r="P15" s="467" t="s">
        <v>1412</v>
      </c>
      <c r="Q15" s="377">
        <v>0.3</v>
      </c>
      <c r="R15" s="400">
        <v>0.1</v>
      </c>
      <c r="S15" s="377">
        <v>0.3</v>
      </c>
      <c r="T15" s="411">
        <v>1</v>
      </c>
      <c r="U15" s="371" t="s">
        <v>1390</v>
      </c>
      <c r="V15" s="1515" t="str">
        <f t="shared" si="0"/>
        <v>상</v>
      </c>
      <c r="W15" s="486" cm="1">
        <f t="array" ref="W15">IF($AI$8="상",200,IF($AI$8="중",120,IF($AI$8="하",60,fault)))</f>
        <v>200</v>
      </c>
      <c r="X15" s="1510"/>
      <c r="Y15" s="365" t="s">
        <v>482</v>
      </c>
      <c r="Z15" s="1507"/>
      <c r="AA15" s="1521"/>
      <c r="AB15" s="437" t="s">
        <v>223</v>
      </c>
      <c r="AC15" s="1518" t="s">
        <v>1413</v>
      </c>
      <c r="AD15" s="1519"/>
      <c r="AE15" s="1519"/>
      <c r="AF15" s="1519"/>
      <c r="AG15" s="1528"/>
      <c r="AH15" s="1529"/>
      <c r="AI15" s="1512"/>
      <c r="AJ15" s="418"/>
    </row>
    <row r="16" spans="2:38" s="334" customFormat="1" ht="25.5" customHeight="1" x14ac:dyDescent="0.25">
      <c r="B16" s="365" t="s">
        <v>484</v>
      </c>
      <c r="C16" s="1507"/>
      <c r="D16" s="1530"/>
      <c r="E16" s="424" t="s">
        <v>1414</v>
      </c>
      <c r="F16" s="1499">
        <v>0.3</v>
      </c>
      <c r="G16" s="1524">
        <v>0.1</v>
      </c>
      <c r="H16" s="1499">
        <v>0.3</v>
      </c>
      <c r="I16" s="1531">
        <v>0</v>
      </c>
      <c r="J16" s="371" t="s">
        <v>118</v>
      </c>
      <c r="K16" s="1525"/>
      <c r="L16" s="408"/>
      <c r="M16" s="365" t="s">
        <v>486</v>
      </c>
      <c r="N16" s="1507"/>
      <c r="O16" s="1509"/>
      <c r="P16" s="467" t="s">
        <v>1415</v>
      </c>
      <c r="Q16" s="377">
        <v>0.3</v>
      </c>
      <c r="R16" s="400">
        <v>0.1</v>
      </c>
      <c r="S16" s="377">
        <v>0.3</v>
      </c>
      <c r="T16" s="411">
        <v>1</v>
      </c>
      <c r="U16" s="371" t="s">
        <v>1390</v>
      </c>
      <c r="V16" s="1515" t="str">
        <f t="shared" si="0"/>
        <v>상</v>
      </c>
      <c r="W16" s="486" cm="1">
        <f t="array" ref="W16">IF($AI$8="상",200,IF($AI$8="중",120,IF($AI$8="하",60,fault)))</f>
        <v>200</v>
      </c>
      <c r="X16" s="1510"/>
      <c r="Y16" s="365" t="s">
        <v>488</v>
      </c>
      <c r="Z16" s="1507"/>
      <c r="AA16" s="1497" t="s">
        <v>1416</v>
      </c>
      <c r="AB16" s="437" t="s">
        <v>95</v>
      </c>
      <c r="AC16" s="406" t="s">
        <v>1417</v>
      </c>
      <c r="AD16" s="1532"/>
      <c r="AE16" s="1532"/>
      <c r="AF16" s="1532"/>
      <c r="AG16" s="384" t="s">
        <v>941</v>
      </c>
      <c r="AH16" s="1506">
        <f>IF(AG16="1)",1,IF(AG16="2)",1.1,IF(AG16="3)",1.2,IF(AG16="4)",1.15,IF(AG16="5)",1.2,IF(AG16="6)",1.25,IF(AG16="7)",1.15,IF(AG16="8)",1.2,""))))))))</f>
        <v>1.2</v>
      </c>
      <c r="AI16" s="1512"/>
      <c r="AJ16" s="496"/>
    </row>
    <row r="17" spans="2:36" s="334" customFormat="1" ht="25.5" customHeight="1" x14ac:dyDescent="0.25">
      <c r="B17" s="365" t="s">
        <v>493</v>
      </c>
      <c r="C17" s="1507"/>
      <c r="D17" s="1523" t="s">
        <v>672</v>
      </c>
      <c r="E17" s="424" t="s">
        <v>96</v>
      </c>
      <c r="F17" s="1499">
        <v>0.3</v>
      </c>
      <c r="G17" s="1524">
        <v>0.1</v>
      </c>
      <c r="H17" s="1499">
        <v>0.3</v>
      </c>
      <c r="I17" s="371">
        <v>1</v>
      </c>
      <c r="J17" s="371" t="s">
        <v>97</v>
      </c>
      <c r="K17" s="1525"/>
      <c r="L17" s="408"/>
      <c r="M17" s="365" t="s">
        <v>495</v>
      </c>
      <c r="N17" s="1507"/>
      <c r="O17" s="1509"/>
      <c r="P17" s="467" t="s">
        <v>1418</v>
      </c>
      <c r="Q17" s="377">
        <v>0.3</v>
      </c>
      <c r="R17" s="400">
        <v>0.1</v>
      </c>
      <c r="S17" s="377">
        <v>0.3</v>
      </c>
      <c r="T17" s="411">
        <v>0</v>
      </c>
      <c r="U17" s="371" t="s">
        <v>1390</v>
      </c>
      <c r="V17" s="1515" t="str">
        <f t="shared" si="0"/>
        <v>상</v>
      </c>
      <c r="W17" s="486" cm="1">
        <f t="array" ref="W17">IF($AI$8="상",70,IF($AI$8="중",35,IF($AI$8="하",20,fault)))</f>
        <v>70</v>
      </c>
      <c r="X17" s="1510"/>
      <c r="Y17" s="365" t="s">
        <v>496</v>
      </c>
      <c r="Z17" s="1507"/>
      <c r="AA17" s="1507"/>
      <c r="AB17" s="437" t="s">
        <v>525</v>
      </c>
      <c r="AC17" s="406" t="s">
        <v>1419</v>
      </c>
      <c r="AD17" s="1532"/>
      <c r="AE17" s="1532"/>
      <c r="AF17" s="1532"/>
      <c r="AG17" s="384"/>
      <c r="AH17" s="1512"/>
      <c r="AI17" s="1512"/>
      <c r="AJ17" s="496"/>
    </row>
    <row r="18" spans="2:36" s="334" customFormat="1" ht="25.5" customHeight="1" x14ac:dyDescent="0.25">
      <c r="B18" s="365" t="s">
        <v>498</v>
      </c>
      <c r="C18" s="1521"/>
      <c r="D18" s="1530"/>
      <c r="E18" s="424" t="s">
        <v>677</v>
      </c>
      <c r="F18" s="1499">
        <v>0.3</v>
      </c>
      <c r="G18" s="1524">
        <v>0.1</v>
      </c>
      <c r="H18" s="1499">
        <v>0.3</v>
      </c>
      <c r="I18" s="371">
        <v>1</v>
      </c>
      <c r="J18" s="371" t="s">
        <v>97</v>
      </c>
      <c r="K18" s="1525"/>
      <c r="L18" s="408"/>
      <c r="M18" s="365" t="s">
        <v>500</v>
      </c>
      <c r="N18" s="1507"/>
      <c r="O18" s="1509"/>
      <c r="P18" s="467" t="s">
        <v>1420</v>
      </c>
      <c r="Q18" s="377">
        <v>0.3</v>
      </c>
      <c r="R18" s="400">
        <v>0.1</v>
      </c>
      <c r="S18" s="377">
        <v>0.3</v>
      </c>
      <c r="T18" s="411">
        <v>1</v>
      </c>
      <c r="U18" s="371" t="s">
        <v>1390</v>
      </c>
      <c r="V18" s="1515" t="str">
        <f t="shared" si="0"/>
        <v>상</v>
      </c>
      <c r="W18" s="486" cm="1">
        <f t="array" ref="W18">IF($AI$8="상",70,IF($AI$8="중",35,IF($AI$8="하",20,fault)))</f>
        <v>70</v>
      </c>
      <c r="X18" s="1510"/>
      <c r="Y18" s="365" t="s">
        <v>501</v>
      </c>
      <c r="Z18" s="1507"/>
      <c r="AA18" s="1507"/>
      <c r="AB18" s="437" t="s">
        <v>121</v>
      </c>
      <c r="AC18" s="406" t="s">
        <v>1421</v>
      </c>
      <c r="AD18" s="1532"/>
      <c r="AE18" s="1532"/>
      <c r="AF18" s="1532"/>
      <c r="AG18" s="384"/>
      <c r="AH18" s="1529"/>
      <c r="AI18" s="1512"/>
      <c r="AJ18" s="496"/>
    </row>
    <row r="19" spans="2:36" s="334" customFormat="1" ht="25.5" customHeight="1" x14ac:dyDescent="0.25">
      <c r="B19" s="365" t="s">
        <v>503</v>
      </c>
      <c r="C19" s="467"/>
      <c r="D19" s="467"/>
      <c r="E19" s="467"/>
      <c r="F19" s="467"/>
      <c r="G19" s="467"/>
      <c r="H19" s="467"/>
      <c r="I19" s="467"/>
      <c r="J19" s="467"/>
      <c r="K19" s="1525"/>
      <c r="L19" s="408"/>
      <c r="M19" s="365" t="s">
        <v>505</v>
      </c>
      <c r="N19" s="1507"/>
      <c r="O19" s="1509"/>
      <c r="P19" s="467" t="s">
        <v>1422</v>
      </c>
      <c r="Q19" s="377">
        <v>0.3</v>
      </c>
      <c r="R19" s="400">
        <v>0.1</v>
      </c>
      <c r="S19" s="377">
        <v>0.3</v>
      </c>
      <c r="T19" s="411">
        <v>0</v>
      </c>
      <c r="U19" s="371" t="s">
        <v>1390</v>
      </c>
      <c r="V19" s="1515" t="str">
        <f t="shared" si="0"/>
        <v>상</v>
      </c>
      <c r="W19" s="486" cm="1">
        <f t="array" ref="W19">IF($AI$8="상",70,IF($AI$8="중",35,IF($AI$8="하",20,fault)))</f>
        <v>70</v>
      </c>
      <c r="X19" s="1510"/>
      <c r="Y19" s="365" t="s">
        <v>507</v>
      </c>
      <c r="Z19" s="1507"/>
      <c r="AA19" s="1497" t="s">
        <v>1423</v>
      </c>
      <c r="AB19" s="437" t="s">
        <v>95</v>
      </c>
      <c r="AC19" s="1533" t="s">
        <v>1424</v>
      </c>
      <c r="AD19" s="1532"/>
      <c r="AE19" s="1532"/>
      <c r="AF19" s="1532"/>
      <c r="AG19" s="384" t="s">
        <v>160</v>
      </c>
      <c r="AH19" s="1506">
        <f>IF(AG19="1)",1,IF(AG19="2)",1.1,IF(AG19="3)",1.3,IF(AG19="4)",1.5,IF(AG19="5)",1.2,IF(AG19="6)",1.25,IF(AG19="7)",1.15,IF(AG19="8)",1.2,""))))))))</f>
        <v>1.5</v>
      </c>
      <c r="AI19" s="1512"/>
      <c r="AJ19" s="1534" t="s">
        <v>1425</v>
      </c>
    </row>
    <row r="20" spans="2:36" s="334" customFormat="1" ht="25.5" customHeight="1" x14ac:dyDescent="0.25">
      <c r="B20" s="365" t="s">
        <v>511</v>
      </c>
      <c r="C20" s="467"/>
      <c r="D20" s="467"/>
      <c r="E20" s="467"/>
      <c r="F20" s="467"/>
      <c r="G20" s="467"/>
      <c r="H20" s="467"/>
      <c r="I20" s="467"/>
      <c r="J20" s="467"/>
      <c r="K20" s="1525"/>
      <c r="L20" s="408"/>
      <c r="M20" s="365" t="s">
        <v>520</v>
      </c>
      <c r="N20" s="1507"/>
      <c r="O20" s="1535"/>
      <c r="P20" s="376" t="s">
        <v>1426</v>
      </c>
      <c r="Q20" s="1499">
        <v>0.3</v>
      </c>
      <c r="R20" s="400">
        <v>0.1</v>
      </c>
      <c r="S20" s="1499">
        <v>0.3</v>
      </c>
      <c r="T20" s="1517">
        <v>2</v>
      </c>
      <c r="U20" s="371" t="s">
        <v>1390</v>
      </c>
      <c r="V20" s="1515" t="str">
        <f t="shared" si="0"/>
        <v>상</v>
      </c>
      <c r="W20" s="486" cm="1">
        <f t="array" ref="W20">IF($AI$8="상",70,IF($AI$8="중",35,IF($AI$8="하",20,fault)))</f>
        <v>70</v>
      </c>
      <c r="X20" s="1536"/>
      <c r="Y20" s="365" t="s">
        <v>515</v>
      </c>
      <c r="Z20" s="1507"/>
      <c r="AA20" s="1507"/>
      <c r="AB20" s="437" t="s">
        <v>525</v>
      </c>
      <c r="AC20" s="1533" t="s">
        <v>1427</v>
      </c>
      <c r="AD20" s="1532"/>
      <c r="AE20" s="1532"/>
      <c r="AF20" s="1532"/>
      <c r="AG20" s="384"/>
      <c r="AH20" s="1512"/>
      <c r="AI20" s="1512"/>
      <c r="AJ20" s="1537"/>
    </row>
    <row r="21" spans="2:36" s="334" customFormat="1" ht="25.5" customHeight="1" x14ac:dyDescent="0.25">
      <c r="B21" s="365" t="s">
        <v>517</v>
      </c>
      <c r="C21" s="467"/>
      <c r="D21" s="467"/>
      <c r="E21" s="467"/>
      <c r="F21" s="467"/>
      <c r="G21" s="467"/>
      <c r="H21" s="467"/>
      <c r="I21" s="467"/>
      <c r="J21" s="467"/>
      <c r="K21" s="1525"/>
      <c r="L21" s="408"/>
      <c r="M21" s="365" t="s">
        <v>528</v>
      </c>
      <c r="N21" s="1507"/>
      <c r="O21" s="1502" t="s">
        <v>1428</v>
      </c>
      <c r="P21" s="376" t="s">
        <v>1397</v>
      </c>
      <c r="Q21" s="1499">
        <v>0.3</v>
      </c>
      <c r="R21" s="400">
        <v>0.1</v>
      </c>
      <c r="S21" s="1499">
        <v>0.3</v>
      </c>
      <c r="T21" s="1517">
        <v>0</v>
      </c>
      <c r="U21" s="371" t="s">
        <v>1390</v>
      </c>
      <c r="V21" s="1515" t="str">
        <f t="shared" si="0"/>
        <v>상</v>
      </c>
      <c r="W21" s="486" cm="1">
        <f t="array" ref="W21">IF($AI$8="상",200,IF($AI$8="중",120,IF($AI$8="하",60,fault)))</f>
        <v>200</v>
      </c>
      <c r="X21" s="1503" t="s">
        <v>470</v>
      </c>
      <c r="Y21" s="365" t="s">
        <v>522</v>
      </c>
      <c r="Z21" s="1507"/>
      <c r="AA21" s="1507"/>
      <c r="AB21" s="437" t="s">
        <v>121</v>
      </c>
      <c r="AC21" s="1533" t="s">
        <v>1429</v>
      </c>
      <c r="AD21" s="1532"/>
      <c r="AE21" s="1532"/>
      <c r="AF21" s="1532"/>
      <c r="AG21" s="384"/>
      <c r="AH21" s="1512"/>
      <c r="AI21" s="1512"/>
      <c r="AJ21" s="1537"/>
    </row>
    <row r="22" spans="2:36" s="334" customFormat="1" ht="25.5" customHeight="1" x14ac:dyDescent="0.25">
      <c r="B22" s="365" t="s">
        <v>526</v>
      </c>
      <c r="C22" s="467"/>
      <c r="D22" s="467"/>
      <c r="E22" s="467"/>
      <c r="F22" s="467"/>
      <c r="G22" s="467"/>
      <c r="H22" s="467"/>
      <c r="I22" s="467"/>
      <c r="J22" s="467"/>
      <c r="K22" s="1525"/>
      <c r="L22" s="408"/>
      <c r="M22" s="365" t="s">
        <v>535</v>
      </c>
      <c r="N22" s="1507"/>
      <c r="O22" s="1509"/>
      <c r="P22" s="376" t="s">
        <v>1430</v>
      </c>
      <c r="Q22" s="1499">
        <v>0.3</v>
      </c>
      <c r="R22" s="400">
        <v>0.1</v>
      </c>
      <c r="S22" s="1499">
        <v>0.3</v>
      </c>
      <c r="T22" s="411">
        <v>1</v>
      </c>
      <c r="U22" s="371" t="s">
        <v>1390</v>
      </c>
      <c r="V22" s="1515" t="str">
        <f t="shared" si="0"/>
        <v>상</v>
      </c>
      <c r="W22" s="486" cm="1">
        <f t="array" ref="W22">IF($AI$8="상",140,IF($AI$8="중",70,IF($AI$8="하",40,fault)))</f>
        <v>140</v>
      </c>
      <c r="X22" s="1510"/>
      <c r="Y22" s="365" t="s">
        <v>531</v>
      </c>
      <c r="Z22" s="1521"/>
      <c r="AA22" s="1507"/>
      <c r="AB22" s="437" t="s">
        <v>160</v>
      </c>
      <c r="AC22" s="1533" t="s">
        <v>1431</v>
      </c>
      <c r="AD22" s="1532"/>
      <c r="AE22" s="1532"/>
      <c r="AF22" s="1532"/>
      <c r="AG22" s="384"/>
      <c r="AH22" s="1529"/>
      <c r="AI22" s="1529"/>
      <c r="AJ22" s="1538"/>
    </row>
    <row r="23" spans="2:36" s="334" customFormat="1" ht="25.5" customHeight="1" x14ac:dyDescent="0.25">
      <c r="B23" s="365" t="s">
        <v>533</v>
      </c>
      <c r="C23" s="467"/>
      <c r="D23" s="467"/>
      <c r="E23" s="467"/>
      <c r="F23" s="467"/>
      <c r="G23" s="467"/>
      <c r="H23" s="467"/>
      <c r="I23" s="467"/>
      <c r="J23" s="467"/>
      <c r="K23" s="1525"/>
      <c r="L23" s="408"/>
      <c r="M23" s="365" t="s">
        <v>540</v>
      </c>
      <c r="N23" s="1507"/>
      <c r="O23" s="1509"/>
      <c r="P23" s="376" t="s">
        <v>1432</v>
      </c>
      <c r="Q23" s="377">
        <v>0.3</v>
      </c>
      <c r="R23" s="400">
        <v>0.1</v>
      </c>
      <c r="S23" s="1499">
        <v>0.3</v>
      </c>
      <c r="T23" s="411">
        <v>1</v>
      </c>
      <c r="U23" s="371" t="s">
        <v>1390</v>
      </c>
      <c r="V23" s="1515" t="str">
        <f t="shared" si="0"/>
        <v>상</v>
      </c>
      <c r="W23" s="486" cm="1">
        <f t="array" ref="W23">IF($AI$8="상",140,IF($AI$8="중",70,IF($AI$8="하",40,fault)))</f>
        <v>140</v>
      </c>
      <c r="X23" s="1510"/>
      <c r="Y23" s="365" t="s">
        <v>536</v>
      </c>
      <c r="Z23" s="1502" t="s">
        <v>1238</v>
      </c>
      <c r="AA23" s="1502" t="s">
        <v>1238</v>
      </c>
      <c r="AB23" s="437" t="s">
        <v>95</v>
      </c>
      <c r="AC23" s="406" t="s">
        <v>1239</v>
      </c>
      <c r="AD23" s="1539">
        <f t="shared" ref="AD23:AF25" si="1">Q86</f>
        <v>0.3</v>
      </c>
      <c r="AE23" s="1539">
        <f t="shared" si="1"/>
        <v>0.1</v>
      </c>
      <c r="AF23" s="1539">
        <f t="shared" si="1"/>
        <v>0.3</v>
      </c>
      <c r="AG23" s="485" t="s">
        <v>692</v>
      </c>
      <c r="AH23" s="486">
        <f>IF(AG23="yes", 1,0)</f>
        <v>1</v>
      </c>
      <c r="AI23" s="486" t="s">
        <v>114</v>
      </c>
      <c r="AJ23" s="496"/>
    </row>
    <row r="24" spans="2:36" s="334" customFormat="1" ht="25.5" customHeight="1" x14ac:dyDescent="0.25">
      <c r="B24" s="365" t="s">
        <v>538</v>
      </c>
      <c r="C24" s="467"/>
      <c r="D24" s="467"/>
      <c r="E24" s="467"/>
      <c r="F24" s="467"/>
      <c r="G24" s="467"/>
      <c r="H24" s="467"/>
      <c r="I24" s="467"/>
      <c r="J24" s="467"/>
      <c r="K24" s="1525"/>
      <c r="L24" s="408"/>
      <c r="M24" s="365" t="s">
        <v>545</v>
      </c>
      <c r="N24" s="1507"/>
      <c r="O24" s="1509"/>
      <c r="P24" s="376" t="s">
        <v>1433</v>
      </c>
      <c r="Q24" s="377">
        <v>0.3</v>
      </c>
      <c r="R24" s="400">
        <v>0.1</v>
      </c>
      <c r="S24" s="1499">
        <v>0.3</v>
      </c>
      <c r="T24" s="411">
        <v>1</v>
      </c>
      <c r="U24" s="371" t="s">
        <v>1390</v>
      </c>
      <c r="V24" s="1515" t="str">
        <f t="shared" si="0"/>
        <v>상</v>
      </c>
      <c r="W24" s="486" cm="1">
        <f t="array" ref="W24">IF($AI$8="상",200,IF($AI$8="중",120,IF($AI$8="하",60,fault)))</f>
        <v>200</v>
      </c>
      <c r="X24" s="1510"/>
      <c r="Y24" s="365" t="s">
        <v>542</v>
      </c>
      <c r="Z24" s="1509"/>
      <c r="AA24" s="1509"/>
      <c r="AB24" s="437" t="s">
        <v>525</v>
      </c>
      <c r="AC24" s="406" t="s">
        <v>1241</v>
      </c>
      <c r="AD24" s="1539">
        <f t="shared" si="1"/>
        <v>0.3</v>
      </c>
      <c r="AE24" s="1539">
        <f t="shared" si="1"/>
        <v>0.1</v>
      </c>
      <c r="AF24" s="1539">
        <f t="shared" si="1"/>
        <v>0.3</v>
      </c>
      <c r="AG24" s="485" t="s">
        <v>398</v>
      </c>
      <c r="AH24" s="486">
        <f>IF(AG24="yes", 1,0)</f>
        <v>0</v>
      </c>
      <c r="AI24" s="486" t="s">
        <v>114</v>
      </c>
      <c r="AJ24" s="496"/>
    </row>
    <row r="25" spans="2:36" s="334" customFormat="1" ht="25.5" customHeight="1" x14ac:dyDescent="0.25">
      <c r="B25" s="365" t="s">
        <v>543</v>
      </c>
      <c r="C25" s="467"/>
      <c r="D25" s="467"/>
      <c r="E25" s="467"/>
      <c r="F25" s="467"/>
      <c r="G25" s="467"/>
      <c r="H25" s="467"/>
      <c r="I25" s="467"/>
      <c r="J25" s="467"/>
      <c r="K25" s="1525"/>
      <c r="L25" s="408"/>
      <c r="M25" s="365" t="s">
        <v>550</v>
      </c>
      <c r="N25" s="1507"/>
      <c r="O25" s="1509"/>
      <c r="P25" s="376" t="s">
        <v>1434</v>
      </c>
      <c r="Q25" s="1499">
        <v>0.3</v>
      </c>
      <c r="R25" s="400">
        <v>0.1</v>
      </c>
      <c r="S25" s="1499">
        <v>0.3</v>
      </c>
      <c r="T25" s="1517">
        <v>0</v>
      </c>
      <c r="U25" s="371" t="s">
        <v>1390</v>
      </c>
      <c r="V25" s="1515" t="str">
        <f t="shared" si="0"/>
        <v>상</v>
      </c>
      <c r="W25" s="486" cm="1">
        <f t="array" ref="W25">IF($AI$8="상",200,IF($AI$8="중",120,IF($AI$8="하",60,fault)))</f>
        <v>200</v>
      </c>
      <c r="X25" s="1510"/>
      <c r="Y25" s="365" t="s">
        <v>547</v>
      </c>
      <c r="Z25" s="1509"/>
      <c r="AA25" s="1509"/>
      <c r="AB25" s="1506" t="s">
        <v>121</v>
      </c>
      <c r="AC25" s="1540" t="s">
        <v>1435</v>
      </c>
      <c r="AD25" s="1539">
        <f t="shared" si="1"/>
        <v>0.3</v>
      </c>
      <c r="AE25" s="1539">
        <f t="shared" si="1"/>
        <v>0.1</v>
      </c>
      <c r="AF25" s="1539">
        <f t="shared" si="1"/>
        <v>0.3</v>
      </c>
      <c r="AG25" s="1541" t="s">
        <v>398</v>
      </c>
      <c r="AH25" s="1506">
        <f>IF(AG25="yes", 1,0)</f>
        <v>0</v>
      </c>
      <c r="AI25" s="1506" t="s">
        <v>114</v>
      </c>
      <c r="AJ25" s="496"/>
    </row>
    <row r="26" spans="2:36" s="334" customFormat="1" ht="25.5" customHeight="1" x14ac:dyDescent="0.25">
      <c r="B26" s="365" t="s">
        <v>548</v>
      </c>
      <c r="C26" s="467"/>
      <c r="D26" s="467"/>
      <c r="E26" s="467"/>
      <c r="F26" s="467"/>
      <c r="G26" s="467"/>
      <c r="H26" s="467"/>
      <c r="I26" s="467"/>
      <c r="J26" s="467"/>
      <c r="K26" s="1525"/>
      <c r="L26" s="408"/>
      <c r="M26" s="365" t="s">
        <v>555</v>
      </c>
      <c r="N26" s="1507"/>
      <c r="O26" s="1535"/>
      <c r="P26" s="376" t="s">
        <v>1426</v>
      </c>
      <c r="Q26" s="1499">
        <v>0.3</v>
      </c>
      <c r="R26" s="400">
        <v>0.1</v>
      </c>
      <c r="S26" s="1499">
        <v>0.3</v>
      </c>
      <c r="T26" s="1517">
        <v>0</v>
      </c>
      <c r="U26" s="371" t="s">
        <v>1390</v>
      </c>
      <c r="V26" s="1515" t="str">
        <f t="shared" si="0"/>
        <v>상</v>
      </c>
      <c r="W26" s="486" cm="1">
        <f t="array" ref="W26">IF($AI$8="상",70,IF($AI$8="중",35,IF($AI$8="하",20,fault)))</f>
        <v>70</v>
      </c>
      <c r="X26" s="1536"/>
      <c r="Y26" s="365" t="s">
        <v>552</v>
      </c>
      <c r="Z26" s="1509"/>
      <c r="AA26" s="1509"/>
      <c r="AB26" s="1512"/>
      <c r="AC26" s="1542"/>
      <c r="AD26" s="1539" t="e">
        <f>#REF!</f>
        <v>#REF!</v>
      </c>
      <c r="AE26" s="1539" t="e">
        <f>#REF!</f>
        <v>#REF!</v>
      </c>
      <c r="AF26" s="1539" t="e">
        <f>#REF!</f>
        <v>#REF!</v>
      </c>
      <c r="AG26" s="1543"/>
      <c r="AH26" s="1512"/>
      <c r="AI26" s="1512"/>
      <c r="AJ26" s="496"/>
    </row>
    <row r="27" spans="2:36" s="334" customFormat="1" ht="25.5" customHeight="1" x14ac:dyDescent="0.25">
      <c r="B27" s="365" t="s">
        <v>553</v>
      </c>
      <c r="C27" s="467"/>
      <c r="D27" s="467"/>
      <c r="E27" s="467"/>
      <c r="F27" s="467"/>
      <c r="G27" s="467"/>
      <c r="H27" s="467"/>
      <c r="I27" s="467"/>
      <c r="J27" s="467"/>
      <c r="K27" s="1525"/>
      <c r="L27" s="408"/>
      <c r="M27" s="365" t="s">
        <v>560</v>
      </c>
      <c r="N27" s="1507"/>
      <c r="O27" s="1502" t="s">
        <v>1436</v>
      </c>
      <c r="P27" s="376" t="s">
        <v>1437</v>
      </c>
      <c r="Q27" s="1499">
        <v>0.3</v>
      </c>
      <c r="R27" s="1524">
        <v>0.1</v>
      </c>
      <c r="S27" s="1499">
        <v>0.3</v>
      </c>
      <c r="T27" s="411">
        <v>1</v>
      </c>
      <c r="U27" s="371" t="s">
        <v>1390</v>
      </c>
      <c r="V27" s="1515" t="str">
        <f t="shared" si="0"/>
        <v>상</v>
      </c>
      <c r="W27" s="486" cm="1">
        <f t="array" ref="W27">IF($AI$8="상",50,IF($AI$8="중",40,IF($AI$8="하",30,fault)))</f>
        <v>50</v>
      </c>
      <c r="X27" s="408"/>
      <c r="Y27" s="365" t="s">
        <v>557</v>
      </c>
      <c r="Z27" s="1509"/>
      <c r="AA27" s="1509"/>
      <c r="AB27" s="1512"/>
      <c r="AC27" s="1542"/>
      <c r="AD27" s="1539" t="e">
        <f>#REF!</f>
        <v>#REF!</v>
      </c>
      <c r="AE27" s="1539" t="e">
        <f>#REF!</f>
        <v>#REF!</v>
      </c>
      <c r="AF27" s="1539" t="e">
        <f>#REF!</f>
        <v>#REF!</v>
      </c>
      <c r="AG27" s="1543"/>
      <c r="AH27" s="1512"/>
      <c r="AI27" s="1512"/>
      <c r="AJ27" s="496"/>
    </row>
    <row r="28" spans="2:36" s="334" customFormat="1" ht="25.5" customHeight="1" x14ac:dyDescent="0.25">
      <c r="B28" s="365" t="s">
        <v>558</v>
      </c>
      <c r="C28" s="467"/>
      <c r="D28" s="467"/>
      <c r="E28" s="467"/>
      <c r="F28" s="467"/>
      <c r="G28" s="467"/>
      <c r="H28" s="467"/>
      <c r="I28" s="467"/>
      <c r="J28" s="467"/>
      <c r="K28" s="1525"/>
      <c r="L28" s="408"/>
      <c r="M28" s="365" t="s">
        <v>565</v>
      </c>
      <c r="N28" s="1507"/>
      <c r="O28" s="1509"/>
      <c r="P28" s="376" t="s">
        <v>1397</v>
      </c>
      <c r="Q28" s="1499">
        <v>0.3</v>
      </c>
      <c r="R28" s="1524">
        <v>0.1</v>
      </c>
      <c r="S28" s="1499">
        <v>0.3</v>
      </c>
      <c r="T28" s="411">
        <v>1</v>
      </c>
      <c r="U28" s="371" t="s">
        <v>1390</v>
      </c>
      <c r="V28" s="1515" t="str">
        <f t="shared" si="0"/>
        <v>상</v>
      </c>
      <c r="W28" s="486" cm="1">
        <f t="array" ref="W28">IF($AI$8="상",120,IF($AI$8="중",80,IF($AI$8="하",60,fault)))</f>
        <v>120</v>
      </c>
      <c r="X28" s="408"/>
      <c r="Y28" s="365" t="s">
        <v>562</v>
      </c>
      <c r="Z28" s="1509"/>
      <c r="AA28" s="1509"/>
      <c r="AB28" s="1512"/>
      <c r="AC28" s="1542"/>
      <c r="AD28" s="1539" t="e">
        <f>#REF!</f>
        <v>#REF!</v>
      </c>
      <c r="AE28" s="1539" t="e">
        <f>#REF!</f>
        <v>#REF!</v>
      </c>
      <c r="AF28" s="1539" t="e">
        <f>#REF!</f>
        <v>#REF!</v>
      </c>
      <c r="AG28" s="1543"/>
      <c r="AH28" s="1512"/>
      <c r="AI28" s="1512"/>
      <c r="AJ28" s="496"/>
    </row>
    <row r="29" spans="2:36" s="334" customFormat="1" ht="25.5" customHeight="1" x14ac:dyDescent="0.25">
      <c r="B29" s="365" t="s">
        <v>563</v>
      </c>
      <c r="C29" s="467"/>
      <c r="D29" s="467"/>
      <c r="E29" s="467"/>
      <c r="F29" s="467"/>
      <c r="G29" s="467"/>
      <c r="H29" s="467"/>
      <c r="I29" s="467"/>
      <c r="J29" s="467"/>
      <c r="K29" s="1525"/>
      <c r="L29" s="408"/>
      <c r="M29" s="365" t="s">
        <v>572</v>
      </c>
      <c r="N29" s="1507"/>
      <c r="O29" s="1509"/>
      <c r="P29" s="376" t="s">
        <v>1400</v>
      </c>
      <c r="Q29" s="377">
        <v>0.3</v>
      </c>
      <c r="R29" s="378">
        <v>0.1</v>
      </c>
      <c r="S29" s="1499">
        <v>0.3</v>
      </c>
      <c r="T29" s="411">
        <v>0</v>
      </c>
      <c r="U29" s="371" t="s">
        <v>1390</v>
      </c>
      <c r="V29" s="1515" t="str">
        <f t="shared" si="0"/>
        <v>상</v>
      </c>
      <c r="W29" s="486" cm="1">
        <f t="array" ref="W29">IF($AI$8="상",50,IF($AI$8="중",40,IF($AI$8="하",30,fault)))</f>
        <v>50</v>
      </c>
      <c r="X29" s="408"/>
      <c r="Y29" s="365" t="s">
        <v>567</v>
      </c>
      <c r="Z29" s="1509"/>
      <c r="AA29" s="1509"/>
      <c r="AB29" s="1529"/>
      <c r="AC29" s="1544"/>
      <c r="AD29" s="1539" t="e">
        <f>#REF!</f>
        <v>#REF!</v>
      </c>
      <c r="AE29" s="1539" t="e">
        <f>#REF!</f>
        <v>#REF!</v>
      </c>
      <c r="AF29" s="1539" t="e">
        <f>#REF!</f>
        <v>#REF!</v>
      </c>
      <c r="AG29" s="1545"/>
      <c r="AH29" s="1529"/>
      <c r="AI29" s="1529"/>
      <c r="AJ29" s="496"/>
    </row>
    <row r="30" spans="2:36" s="334" customFormat="1" ht="25.5" customHeight="1" x14ac:dyDescent="0.25">
      <c r="B30" s="365" t="s">
        <v>568</v>
      </c>
      <c r="C30" s="467"/>
      <c r="D30" s="467"/>
      <c r="E30" s="467"/>
      <c r="F30" s="467"/>
      <c r="G30" s="467"/>
      <c r="H30" s="467"/>
      <c r="I30" s="467"/>
      <c r="J30" s="467"/>
      <c r="K30" s="1525"/>
      <c r="L30" s="408"/>
      <c r="M30" s="365" t="s">
        <v>576</v>
      </c>
      <c r="N30" s="1507"/>
      <c r="O30" s="1509"/>
      <c r="P30" s="376" t="s">
        <v>1403</v>
      </c>
      <c r="Q30" s="377">
        <v>0.3</v>
      </c>
      <c r="R30" s="378">
        <v>0.1</v>
      </c>
      <c r="S30" s="1499">
        <v>0.3</v>
      </c>
      <c r="T30" s="1517">
        <v>1</v>
      </c>
      <c r="U30" s="371" t="s">
        <v>1390</v>
      </c>
      <c r="V30" s="1515" t="str">
        <f t="shared" si="0"/>
        <v>상</v>
      </c>
      <c r="W30" s="486" cm="1">
        <f t="array" ref="W30">IF($AI$8="상",50,IF($AI$8="중",40,IF($AI$8="하",30,fault)))</f>
        <v>50</v>
      </c>
      <c r="X30" s="408"/>
      <c r="Y30" s="365" t="s">
        <v>573</v>
      </c>
      <c r="Z30" s="1509"/>
      <c r="AA30" s="1509"/>
      <c r="AB30" s="437" t="s">
        <v>160</v>
      </c>
      <c r="AC30" s="503" t="s">
        <v>1246</v>
      </c>
      <c r="AD30" s="1539">
        <f t="shared" ref="AD30:AF32" si="2">Q90</f>
        <v>0.3</v>
      </c>
      <c r="AE30" s="1539">
        <f t="shared" si="2"/>
        <v>0.1</v>
      </c>
      <c r="AF30" s="1539">
        <f t="shared" si="2"/>
        <v>0.3</v>
      </c>
      <c r="AG30" s="485" t="s">
        <v>398</v>
      </c>
      <c r="AH30" s="486">
        <f>IF(AG30="yes", 1,0)</f>
        <v>0</v>
      </c>
      <c r="AI30" s="486" t="s">
        <v>114</v>
      </c>
      <c r="AJ30" s="496"/>
    </row>
    <row r="31" spans="2:36" s="334" customFormat="1" ht="25.5" customHeight="1" x14ac:dyDescent="0.25">
      <c r="B31" s="365" t="s">
        <v>574</v>
      </c>
      <c r="C31" s="467"/>
      <c r="D31" s="467"/>
      <c r="E31" s="467"/>
      <c r="F31" s="467"/>
      <c r="G31" s="467"/>
      <c r="H31" s="467"/>
      <c r="I31" s="467"/>
      <c r="J31" s="467"/>
      <c r="K31" s="1525"/>
      <c r="L31" s="408"/>
      <c r="M31" s="365" t="s">
        <v>582</v>
      </c>
      <c r="N31" s="1507"/>
      <c r="O31" s="1509"/>
      <c r="P31" s="376" t="s">
        <v>1405</v>
      </c>
      <c r="Q31" s="377">
        <v>0.3</v>
      </c>
      <c r="R31" s="378">
        <v>0.1</v>
      </c>
      <c r="S31" s="1499">
        <v>0.3</v>
      </c>
      <c r="T31" s="411">
        <v>0</v>
      </c>
      <c r="U31" s="371" t="s">
        <v>1390</v>
      </c>
      <c r="V31" s="1515" t="str">
        <f t="shared" si="0"/>
        <v>상</v>
      </c>
      <c r="W31" s="486" cm="1">
        <f t="array" ref="W31">IF($AI$8="상",50,IF($AI$8="중",40,IF($AI$8="하",30,fault)))</f>
        <v>50</v>
      </c>
      <c r="X31" s="408"/>
      <c r="Y31" s="365" t="s">
        <v>579</v>
      </c>
      <c r="Z31" s="1509"/>
      <c r="AA31" s="1509"/>
      <c r="AB31" s="437" t="s">
        <v>166</v>
      </c>
      <c r="AC31" s="503" t="s">
        <v>1247</v>
      </c>
      <c r="AD31" s="1539">
        <f t="shared" si="2"/>
        <v>0.3</v>
      </c>
      <c r="AE31" s="1539">
        <f t="shared" si="2"/>
        <v>0.1</v>
      </c>
      <c r="AF31" s="1539">
        <f t="shared" si="2"/>
        <v>0.3</v>
      </c>
      <c r="AG31" s="485" t="s">
        <v>398</v>
      </c>
      <c r="AH31" s="486">
        <f>IF(AG31="yes", 1,0)</f>
        <v>0</v>
      </c>
      <c r="AI31" s="486" t="s">
        <v>114</v>
      </c>
      <c r="AJ31" s="496"/>
    </row>
    <row r="32" spans="2:36" s="334" customFormat="1" ht="25.5" customHeight="1" x14ac:dyDescent="0.25">
      <c r="B32" s="365" t="s">
        <v>580</v>
      </c>
      <c r="C32" s="467"/>
      <c r="D32" s="467"/>
      <c r="E32" s="467"/>
      <c r="F32" s="467"/>
      <c r="G32" s="467"/>
      <c r="H32" s="467"/>
      <c r="I32" s="467"/>
      <c r="J32" s="467"/>
      <c r="K32" s="1525"/>
      <c r="L32" s="408"/>
      <c r="M32" s="365" t="s">
        <v>587</v>
      </c>
      <c r="N32" s="1507"/>
      <c r="O32" s="1509"/>
      <c r="P32" s="376" t="s">
        <v>1407</v>
      </c>
      <c r="Q32" s="377">
        <v>0.3</v>
      </c>
      <c r="R32" s="378">
        <v>0.1</v>
      </c>
      <c r="S32" s="1499">
        <v>0.3</v>
      </c>
      <c r="T32" s="411">
        <v>1</v>
      </c>
      <c r="U32" s="371" t="s">
        <v>1390</v>
      </c>
      <c r="V32" s="1515" t="str">
        <f t="shared" si="0"/>
        <v>상</v>
      </c>
      <c r="W32" s="486" cm="1">
        <f t="array" ref="W32">IF($AI$8="상",70,IF($AI$8="중",50,IF($AI$8="하",30,fault)))</f>
        <v>70</v>
      </c>
      <c r="X32" s="408"/>
      <c r="Y32" s="365" t="s">
        <v>584</v>
      </c>
      <c r="Z32" s="1535"/>
      <c r="AA32" s="1535"/>
      <c r="AB32" s="437" t="s">
        <v>169</v>
      </c>
      <c r="AC32" s="503" t="s">
        <v>1250</v>
      </c>
      <c r="AD32" s="1539">
        <f t="shared" si="2"/>
        <v>0.3</v>
      </c>
      <c r="AE32" s="1539">
        <f t="shared" si="2"/>
        <v>0.1</v>
      </c>
      <c r="AF32" s="1539">
        <f t="shared" si="2"/>
        <v>0.3</v>
      </c>
      <c r="AG32" s="485" t="s">
        <v>398</v>
      </c>
      <c r="AH32" s="486">
        <f>IF(AG32="yes", 1,0)</f>
        <v>0</v>
      </c>
      <c r="AI32" s="486" t="s">
        <v>114</v>
      </c>
      <c r="AJ32" s="496"/>
    </row>
    <row r="33" spans="2:36" s="334" customFormat="1" ht="25.5" customHeight="1" x14ac:dyDescent="0.25">
      <c r="B33" s="365" t="s">
        <v>585</v>
      </c>
      <c r="C33" s="467"/>
      <c r="D33" s="467"/>
      <c r="E33" s="467"/>
      <c r="F33" s="467"/>
      <c r="G33" s="467"/>
      <c r="H33" s="467"/>
      <c r="I33" s="467"/>
      <c r="J33" s="467"/>
      <c r="K33" s="1525"/>
      <c r="L33" s="408"/>
      <c r="M33" s="365" t="s">
        <v>594</v>
      </c>
      <c r="N33" s="1507"/>
      <c r="O33" s="1509"/>
      <c r="P33" s="376" t="s">
        <v>1410</v>
      </c>
      <c r="Q33" s="377">
        <v>0.3</v>
      </c>
      <c r="R33" s="378">
        <v>0.1</v>
      </c>
      <c r="S33" s="1499">
        <v>0.3</v>
      </c>
      <c r="T33" s="1517">
        <v>1</v>
      </c>
      <c r="U33" s="371" t="s">
        <v>1390</v>
      </c>
      <c r="V33" s="1515" t="str">
        <f t="shared" si="0"/>
        <v>상</v>
      </c>
      <c r="W33" s="486" cm="1">
        <f t="array" ref="W33">IF($AI$8="상",50,IF($AI$8="중",40,IF($AI$8="하",30,fault)))</f>
        <v>50</v>
      </c>
      <c r="X33" s="408"/>
      <c r="Y33" s="365" t="s">
        <v>589</v>
      </c>
      <c r="Z33" s="1497" t="s">
        <v>1438</v>
      </c>
      <c r="AA33" s="1497" t="s">
        <v>1438</v>
      </c>
      <c r="AB33" s="437" t="s">
        <v>95</v>
      </c>
      <c r="AC33" s="503" t="s">
        <v>1439</v>
      </c>
      <c r="AD33" s="1546"/>
      <c r="AE33" s="1546"/>
      <c r="AF33" s="1546"/>
      <c r="AG33" s="1547">
        <v>46736</v>
      </c>
      <c r="AH33" s="486"/>
      <c r="AI33" s="486"/>
      <c r="AJ33" s="1548" t="s">
        <v>1440</v>
      </c>
    </row>
    <row r="34" spans="2:36" s="334" customFormat="1" ht="25.5" customHeight="1" x14ac:dyDescent="0.25">
      <c r="B34" s="365" t="s">
        <v>592</v>
      </c>
      <c r="C34" s="467"/>
      <c r="D34" s="467"/>
      <c r="E34" s="467"/>
      <c r="F34" s="467"/>
      <c r="G34" s="467"/>
      <c r="H34" s="467"/>
      <c r="I34" s="467"/>
      <c r="J34" s="467"/>
      <c r="K34" s="1525"/>
      <c r="L34" s="408"/>
      <c r="M34" s="365" t="s">
        <v>602</v>
      </c>
      <c r="N34" s="1507"/>
      <c r="O34" s="1509"/>
      <c r="P34" s="376" t="s">
        <v>1412</v>
      </c>
      <c r="Q34" s="1499">
        <v>0.3</v>
      </c>
      <c r="R34" s="1524">
        <v>0.1</v>
      </c>
      <c r="S34" s="1499">
        <v>0.3</v>
      </c>
      <c r="T34" s="411">
        <v>1</v>
      </c>
      <c r="U34" s="371" t="s">
        <v>1390</v>
      </c>
      <c r="V34" s="1515" t="str">
        <f t="shared" si="0"/>
        <v>상</v>
      </c>
      <c r="W34" s="486" cm="1">
        <f t="array" ref="W34">IF($AI$8="상",120,IF($AI$8="중",80,IF($AI$8="하",60,fault)))</f>
        <v>120</v>
      </c>
      <c r="X34" s="408"/>
      <c r="Y34" s="365" t="s">
        <v>595</v>
      </c>
      <c r="Z34" s="1507"/>
      <c r="AA34" s="1507"/>
      <c r="AB34" s="437" t="s">
        <v>525</v>
      </c>
      <c r="AC34" s="503" t="s">
        <v>1441</v>
      </c>
      <c r="AD34" s="1546"/>
      <c r="AE34" s="1546"/>
      <c r="AF34" s="1546"/>
      <c r="AG34" s="485">
        <v>0</v>
      </c>
      <c r="AH34" s="486"/>
      <c r="AI34" s="486"/>
      <c r="AJ34" s="1548" t="s">
        <v>1442</v>
      </c>
    </row>
    <row r="35" spans="2:36" s="334" customFormat="1" ht="25.5" customHeight="1" x14ac:dyDescent="0.25">
      <c r="B35" s="365" t="s">
        <v>599</v>
      </c>
      <c r="C35" s="467"/>
      <c r="D35" s="467"/>
      <c r="E35" s="467"/>
      <c r="F35" s="467"/>
      <c r="G35" s="467"/>
      <c r="H35" s="467"/>
      <c r="I35" s="467"/>
      <c r="J35" s="467"/>
      <c r="K35" s="1525"/>
      <c r="L35" s="408"/>
      <c r="M35" s="365" t="s">
        <v>607</v>
      </c>
      <c r="N35" s="1507"/>
      <c r="O35" s="1509"/>
      <c r="P35" s="376" t="s">
        <v>1415</v>
      </c>
      <c r="Q35" s="1499">
        <v>0.3</v>
      </c>
      <c r="R35" s="1524">
        <v>0.1</v>
      </c>
      <c r="S35" s="1499">
        <v>0.3</v>
      </c>
      <c r="T35" s="411">
        <v>1</v>
      </c>
      <c r="U35" s="371" t="s">
        <v>1390</v>
      </c>
      <c r="V35" s="1515" t="str">
        <f t="shared" si="0"/>
        <v>상</v>
      </c>
      <c r="W35" s="486" cm="1">
        <f t="array" ref="W35">IF($AI$8="상",120,IF($AI$8="중",80,IF($AI$8="하",60,fault)))</f>
        <v>120</v>
      </c>
      <c r="X35" s="408"/>
      <c r="Y35" s="365" t="s">
        <v>603</v>
      </c>
      <c r="Z35" s="1507"/>
      <c r="AA35" s="1507"/>
      <c r="AB35" s="437" t="s">
        <v>121</v>
      </c>
      <c r="AC35" s="503" t="s">
        <v>1443</v>
      </c>
      <c r="AD35" s="1546"/>
      <c r="AE35" s="1546"/>
      <c r="AF35" s="1546"/>
      <c r="AG35" s="1547">
        <v>0</v>
      </c>
      <c r="AH35" s="486"/>
      <c r="AI35" s="486"/>
      <c r="AJ35" s="496" t="s">
        <v>1444</v>
      </c>
    </row>
    <row r="36" spans="2:36" s="334" customFormat="1" ht="25.5" customHeight="1" x14ac:dyDescent="0.25">
      <c r="B36" s="365" t="s">
        <v>605</v>
      </c>
      <c r="C36" s="467"/>
      <c r="D36" s="467"/>
      <c r="E36" s="467"/>
      <c r="F36" s="467"/>
      <c r="G36" s="467"/>
      <c r="H36" s="467"/>
      <c r="I36" s="467"/>
      <c r="J36" s="467"/>
      <c r="K36" s="1525"/>
      <c r="L36" s="408"/>
      <c r="M36" s="365" t="s">
        <v>613</v>
      </c>
      <c r="N36" s="1507"/>
      <c r="O36" s="1509"/>
      <c r="P36" s="376" t="s">
        <v>1418</v>
      </c>
      <c r="Q36" s="1499">
        <v>0.3</v>
      </c>
      <c r="R36" s="1524">
        <v>0.1</v>
      </c>
      <c r="S36" s="1499">
        <v>0.3</v>
      </c>
      <c r="T36" s="411">
        <v>0</v>
      </c>
      <c r="U36" s="371" t="s">
        <v>1390</v>
      </c>
      <c r="V36" s="1515" t="str">
        <f t="shared" si="0"/>
        <v>상</v>
      </c>
      <c r="W36" s="486" cm="1">
        <f t="array" ref="W36">IF($AI$8="상",50,IF($AI$8="중",40,IF($AI$8="하",30,fault)))</f>
        <v>50</v>
      </c>
      <c r="X36" s="408"/>
      <c r="Y36" s="365" t="s">
        <v>609</v>
      </c>
      <c r="Z36" s="1507"/>
      <c r="AA36" s="1507"/>
      <c r="AB36" s="437" t="s">
        <v>160</v>
      </c>
      <c r="AC36" s="503" t="s">
        <v>1445</v>
      </c>
      <c r="AD36" s="1546"/>
      <c r="AE36" s="1546"/>
      <c r="AF36" s="1546"/>
      <c r="AG36" s="1547">
        <v>7</v>
      </c>
      <c r="AH36" s="486"/>
      <c r="AI36" s="486"/>
      <c r="AJ36" s="496" t="s">
        <v>1446</v>
      </c>
    </row>
    <row r="37" spans="2:36" s="334" customFormat="1" ht="25.5" customHeight="1" x14ac:dyDescent="0.25">
      <c r="B37" s="365" t="s">
        <v>611</v>
      </c>
      <c r="C37" s="467"/>
      <c r="D37" s="467"/>
      <c r="E37" s="467"/>
      <c r="F37" s="467"/>
      <c r="G37" s="467"/>
      <c r="H37" s="467"/>
      <c r="I37" s="467"/>
      <c r="J37" s="467"/>
      <c r="K37" s="1525"/>
      <c r="L37" s="408"/>
      <c r="M37" s="365" t="s">
        <v>619</v>
      </c>
      <c r="N37" s="1507"/>
      <c r="O37" s="1509"/>
      <c r="P37" s="376" t="s">
        <v>1420</v>
      </c>
      <c r="Q37" s="1499">
        <v>0.3</v>
      </c>
      <c r="R37" s="1524">
        <v>0.1</v>
      </c>
      <c r="S37" s="1499">
        <v>0.3</v>
      </c>
      <c r="T37" s="411">
        <v>1</v>
      </c>
      <c r="U37" s="371" t="s">
        <v>1390</v>
      </c>
      <c r="V37" s="1515" t="str">
        <f t="shared" si="0"/>
        <v>상</v>
      </c>
      <c r="W37" s="486" cm="1">
        <f t="array" ref="W37">IF($AI$8="상",50,IF($AI$8="중",40,IF($AI$8="하",30,fault)))</f>
        <v>50</v>
      </c>
      <c r="X37" s="408"/>
      <c r="Y37" s="365" t="s">
        <v>615</v>
      </c>
      <c r="Z37" s="1497" t="s">
        <v>847</v>
      </c>
      <c r="AA37" s="442" t="s">
        <v>848</v>
      </c>
      <c r="AB37" s="437" t="s">
        <v>95</v>
      </c>
      <c r="AC37" s="420" t="s">
        <v>849</v>
      </c>
      <c r="AD37" s="1546"/>
      <c r="AE37" s="1546"/>
      <c r="AF37" s="1546"/>
      <c r="AG37" s="1549">
        <v>0.7</v>
      </c>
      <c r="AH37" s="486"/>
      <c r="AI37" s="486"/>
      <c r="AJ37" s="380" t="s">
        <v>850</v>
      </c>
    </row>
    <row r="38" spans="2:36" s="334" customFormat="1" ht="25.5" customHeight="1" x14ac:dyDescent="0.25">
      <c r="B38" s="365" t="s">
        <v>617</v>
      </c>
      <c r="C38" s="467"/>
      <c r="D38" s="467"/>
      <c r="E38" s="467"/>
      <c r="F38" s="467"/>
      <c r="G38" s="467"/>
      <c r="H38" s="467"/>
      <c r="I38" s="467"/>
      <c r="J38" s="467"/>
      <c r="K38" s="1525"/>
      <c r="L38" s="408"/>
      <c r="M38" s="365" t="s">
        <v>623</v>
      </c>
      <c r="N38" s="1507"/>
      <c r="O38" s="1509"/>
      <c r="P38" s="376" t="s">
        <v>1422</v>
      </c>
      <c r="Q38" s="1499">
        <v>0.3</v>
      </c>
      <c r="R38" s="1524">
        <v>0.1</v>
      </c>
      <c r="S38" s="1499">
        <v>0.3</v>
      </c>
      <c r="T38" s="411">
        <v>0</v>
      </c>
      <c r="U38" s="371" t="s">
        <v>1390</v>
      </c>
      <c r="V38" s="1515" t="str">
        <f t="shared" si="0"/>
        <v>상</v>
      </c>
      <c r="W38" s="486" cm="1">
        <f t="array" ref="W38">IF($AI$8="상",120,IF($AI$8="중",80,IF($AI$8="하",60,fault)))</f>
        <v>120</v>
      </c>
      <c r="X38" s="408"/>
      <c r="Y38" s="365" t="s">
        <v>620</v>
      </c>
      <c r="Z38" s="1521"/>
      <c r="AA38" s="442" t="s">
        <v>855</v>
      </c>
      <c r="AB38" s="437" t="s">
        <v>525</v>
      </c>
      <c r="AC38" s="420" t="s">
        <v>856</v>
      </c>
      <c r="AD38" s="1546"/>
      <c r="AE38" s="1546"/>
      <c r="AF38" s="1546"/>
      <c r="AG38" s="1550">
        <v>0.7</v>
      </c>
      <c r="AH38" s="486"/>
      <c r="AI38" s="486"/>
      <c r="AJ38" s="380" t="s">
        <v>857</v>
      </c>
    </row>
    <row r="39" spans="2:36" s="334" customFormat="1" ht="25.5" customHeight="1" x14ac:dyDescent="0.25">
      <c r="B39" s="365" t="s">
        <v>621</v>
      </c>
      <c r="C39" s="467"/>
      <c r="D39" s="467"/>
      <c r="E39" s="467"/>
      <c r="F39" s="467"/>
      <c r="G39" s="467"/>
      <c r="H39" s="467"/>
      <c r="I39" s="467"/>
      <c r="J39" s="467"/>
      <c r="K39" s="1525"/>
      <c r="L39" s="408"/>
      <c r="M39" s="365" t="s">
        <v>629</v>
      </c>
      <c r="N39" s="1507"/>
      <c r="O39" s="1535"/>
      <c r="P39" s="376" t="s">
        <v>1426</v>
      </c>
      <c r="Q39" s="1499">
        <v>0.3</v>
      </c>
      <c r="R39" s="1524">
        <v>0.1</v>
      </c>
      <c r="S39" s="1499">
        <v>0.3</v>
      </c>
      <c r="T39" s="1517">
        <v>2</v>
      </c>
      <c r="U39" s="371" t="s">
        <v>1390</v>
      </c>
      <c r="V39" s="1515" t="str">
        <f t="shared" si="0"/>
        <v>상</v>
      </c>
      <c r="W39" s="486" cm="1">
        <f t="array" ref="W39">IF($AI$8="상",50,IF($AI$8="중",40,IF($AI$8="하",30,fault)))</f>
        <v>50</v>
      </c>
      <c r="X39" s="408"/>
      <c r="Y39" s="365" t="s">
        <v>625</v>
      </c>
      <c r="Z39" s="1497" t="s">
        <v>862</v>
      </c>
      <c r="AA39" s="436" t="s">
        <v>863</v>
      </c>
      <c r="AB39" s="437" t="s">
        <v>121</v>
      </c>
      <c r="AC39" s="420" t="s">
        <v>864</v>
      </c>
      <c r="AD39" s="1546"/>
      <c r="AE39" s="1546"/>
      <c r="AF39" s="1546"/>
      <c r="AG39" s="1551">
        <v>161</v>
      </c>
      <c r="AH39" s="486"/>
      <c r="AI39" s="486"/>
      <c r="AJ39" s="380" t="s">
        <v>865</v>
      </c>
    </row>
    <row r="40" spans="2:36" s="334" customFormat="1" ht="25.5" customHeight="1" x14ac:dyDescent="0.25">
      <c r="B40" s="365" t="s">
        <v>626</v>
      </c>
      <c r="C40" s="467"/>
      <c r="D40" s="467"/>
      <c r="E40" s="467"/>
      <c r="F40" s="467"/>
      <c r="G40" s="467"/>
      <c r="H40" s="467"/>
      <c r="I40" s="467"/>
      <c r="J40" s="467"/>
      <c r="K40" s="1525"/>
      <c r="L40" s="408"/>
      <c r="M40" s="365" t="s">
        <v>634</v>
      </c>
      <c r="N40" s="1507"/>
      <c r="O40" s="1502" t="s">
        <v>1447</v>
      </c>
      <c r="P40" s="376" t="s">
        <v>1397</v>
      </c>
      <c r="Q40" s="1499">
        <v>0.3</v>
      </c>
      <c r="R40" s="1524">
        <v>0.1</v>
      </c>
      <c r="S40" s="1499">
        <v>0.3</v>
      </c>
      <c r="T40" s="411">
        <v>0</v>
      </c>
      <c r="U40" s="371" t="s">
        <v>1390</v>
      </c>
      <c r="V40" s="1515" t="str">
        <f t="shared" si="0"/>
        <v>상</v>
      </c>
      <c r="W40" s="486" cm="1">
        <f t="array" ref="W40">IF($AI$8="상",50,IF($AI$8="중",40,IF($AI$8="하",30,fault)))</f>
        <v>50</v>
      </c>
      <c r="X40" s="408"/>
      <c r="Y40" s="365" t="s">
        <v>631</v>
      </c>
      <c r="Z40" s="1507"/>
      <c r="AA40" s="436" t="s">
        <v>870</v>
      </c>
      <c r="AB40" s="437" t="s">
        <v>95</v>
      </c>
      <c r="AC40" s="436" t="s">
        <v>871</v>
      </c>
      <c r="AD40" s="1552"/>
      <c r="AE40" s="1552"/>
      <c r="AF40" s="1552"/>
      <c r="AG40" s="485">
        <v>6</v>
      </c>
      <c r="AH40" s="486"/>
      <c r="AI40" s="486"/>
      <c r="AJ40" s="380" t="s">
        <v>872</v>
      </c>
    </row>
    <row r="41" spans="2:36" s="334" customFormat="1" ht="25.5" customHeight="1" x14ac:dyDescent="0.25">
      <c r="B41" s="365" t="s">
        <v>632</v>
      </c>
      <c r="C41" s="467"/>
      <c r="D41" s="467"/>
      <c r="E41" s="467"/>
      <c r="F41" s="467"/>
      <c r="G41" s="467"/>
      <c r="H41" s="467"/>
      <c r="I41" s="467"/>
      <c r="J41" s="467"/>
      <c r="K41" s="1525"/>
      <c r="L41" s="408"/>
      <c r="M41" s="365" t="s">
        <v>641</v>
      </c>
      <c r="N41" s="1507"/>
      <c r="O41" s="1509"/>
      <c r="P41" s="376" t="s">
        <v>1430</v>
      </c>
      <c r="Q41" s="377">
        <v>0.3</v>
      </c>
      <c r="R41" s="378">
        <v>0.1</v>
      </c>
      <c r="S41" s="1499">
        <v>0.3</v>
      </c>
      <c r="T41" s="411">
        <v>1</v>
      </c>
      <c r="U41" s="371" t="s">
        <v>1390</v>
      </c>
      <c r="V41" s="1515" t="str">
        <f t="shared" si="0"/>
        <v>상</v>
      </c>
      <c r="W41" s="486" cm="1">
        <f t="array" ref="W41">IF($AI$8="상",120,IF($AI$8="중",80,IF($AI$8="하",60,fault)))</f>
        <v>120</v>
      </c>
      <c r="X41" s="408"/>
      <c r="Y41" s="365" t="s">
        <v>636</v>
      </c>
      <c r="Z41" s="1507"/>
      <c r="AA41" s="410" t="s">
        <v>877</v>
      </c>
      <c r="AB41" s="437" t="s">
        <v>525</v>
      </c>
      <c r="AC41" s="436" t="s">
        <v>878</v>
      </c>
      <c r="AD41" s="1552"/>
      <c r="AE41" s="1552"/>
      <c r="AF41" s="1552"/>
      <c r="AG41" s="411">
        <v>32000</v>
      </c>
      <c r="AH41" s="486"/>
      <c r="AI41" s="486"/>
      <c r="AJ41" s="380" t="s">
        <v>865</v>
      </c>
    </row>
    <row r="42" spans="2:36" s="334" customFormat="1" ht="25.5" customHeight="1" x14ac:dyDescent="0.25">
      <c r="B42" s="365" t="s">
        <v>639</v>
      </c>
      <c r="C42" s="467"/>
      <c r="D42" s="467"/>
      <c r="E42" s="467"/>
      <c r="F42" s="467"/>
      <c r="G42" s="467"/>
      <c r="H42" s="467"/>
      <c r="I42" s="467"/>
      <c r="J42" s="467"/>
      <c r="K42" s="1525"/>
      <c r="L42" s="408"/>
      <c r="M42" s="365" t="s">
        <v>646</v>
      </c>
      <c r="N42" s="1507"/>
      <c r="O42" s="1509"/>
      <c r="P42" s="376" t="s">
        <v>1432</v>
      </c>
      <c r="Q42" s="377">
        <v>0.3</v>
      </c>
      <c r="R42" s="378">
        <v>0.1</v>
      </c>
      <c r="S42" s="1499">
        <v>0.3</v>
      </c>
      <c r="T42" s="411">
        <v>1</v>
      </c>
      <c r="U42" s="371" t="s">
        <v>1390</v>
      </c>
      <c r="V42" s="1515" t="str">
        <f t="shared" si="0"/>
        <v>상</v>
      </c>
      <c r="W42" s="486" cm="1">
        <f t="array" ref="W42">IF($AI$8="상",120,IF($AI$8="중",80,IF($AI$8="하",60,fault)))</f>
        <v>120</v>
      </c>
      <c r="X42" s="408"/>
      <c r="Y42" s="365" t="s">
        <v>642</v>
      </c>
      <c r="Z42" s="1507"/>
      <c r="AA42" s="491"/>
      <c r="AB42" s="437" t="s">
        <v>121</v>
      </c>
      <c r="AC42" s="436" t="s">
        <v>884</v>
      </c>
      <c r="AD42" s="1552"/>
      <c r="AE42" s="1552"/>
      <c r="AF42" s="1552"/>
      <c r="AG42" s="411">
        <v>39000</v>
      </c>
      <c r="AH42" s="486"/>
      <c r="AI42" s="486"/>
      <c r="AJ42" s="380" t="s">
        <v>865</v>
      </c>
    </row>
    <row r="43" spans="2:36" s="334" customFormat="1" ht="25.5" customHeight="1" x14ac:dyDescent="0.25">
      <c r="B43" s="365" t="s">
        <v>643</v>
      </c>
      <c r="C43" s="467"/>
      <c r="D43" s="467"/>
      <c r="E43" s="467"/>
      <c r="F43" s="467"/>
      <c r="G43" s="467"/>
      <c r="H43" s="467"/>
      <c r="I43" s="467"/>
      <c r="J43" s="467"/>
      <c r="K43" s="1525"/>
      <c r="L43" s="408"/>
      <c r="M43" s="365" t="s">
        <v>653</v>
      </c>
      <c r="N43" s="1507"/>
      <c r="O43" s="1509"/>
      <c r="P43" s="376" t="s">
        <v>1433</v>
      </c>
      <c r="Q43" s="377">
        <v>0.3</v>
      </c>
      <c r="R43" s="378">
        <v>0.1</v>
      </c>
      <c r="S43" s="1499">
        <v>0.3</v>
      </c>
      <c r="T43" s="411">
        <v>1</v>
      </c>
      <c r="U43" s="371" t="s">
        <v>1390</v>
      </c>
      <c r="V43" s="1515" t="str">
        <f t="shared" si="0"/>
        <v>상</v>
      </c>
      <c r="W43" s="486" cm="1">
        <f t="array" ref="W43">IF($AI$8="상",120,IF($AI$8="중",80,IF($AI$8="하",60,fault)))</f>
        <v>120</v>
      </c>
      <c r="X43" s="408"/>
      <c r="Y43" s="365" t="s">
        <v>649</v>
      </c>
      <c r="Z43" s="1521"/>
      <c r="AA43" s="415"/>
      <c r="AB43" s="437" t="s">
        <v>160</v>
      </c>
      <c r="AC43" s="436" t="s">
        <v>888</v>
      </c>
      <c r="AD43" s="1552"/>
      <c r="AE43" s="1552"/>
      <c r="AF43" s="1552"/>
      <c r="AG43" s="411">
        <v>57000</v>
      </c>
      <c r="AH43" s="486"/>
      <c r="AI43" s="486"/>
      <c r="AJ43" s="380" t="s">
        <v>865</v>
      </c>
    </row>
    <row r="44" spans="2:36" s="334" customFormat="1" ht="25.5" customHeight="1" x14ac:dyDescent="0.25">
      <c r="B44" s="365" t="s">
        <v>650</v>
      </c>
      <c r="C44" s="467"/>
      <c r="D44" s="467"/>
      <c r="E44" s="467"/>
      <c r="F44" s="467"/>
      <c r="G44" s="467"/>
      <c r="H44" s="467"/>
      <c r="I44" s="467"/>
      <c r="J44" s="467"/>
      <c r="K44" s="1525"/>
      <c r="L44" s="408"/>
      <c r="M44" s="365" t="s">
        <v>663</v>
      </c>
      <c r="N44" s="1507"/>
      <c r="O44" s="1509"/>
      <c r="P44" s="376" t="s">
        <v>1434</v>
      </c>
      <c r="Q44" s="1499">
        <v>0.3</v>
      </c>
      <c r="R44" s="1524">
        <v>0.1</v>
      </c>
      <c r="S44" s="1499">
        <v>0.3</v>
      </c>
      <c r="T44" s="1517">
        <v>0</v>
      </c>
      <c r="U44" s="371" t="s">
        <v>1390</v>
      </c>
      <c r="V44" s="1515" t="str">
        <f t="shared" si="0"/>
        <v>상</v>
      </c>
      <c r="W44" s="486" cm="1">
        <f t="array" ref="W44">IF($AI$8="상",50,IF($AI$8="중",40,IF($AI$8="하",30,fault)))</f>
        <v>50</v>
      </c>
      <c r="X44" s="408"/>
      <c r="Y44" s="365" t="s">
        <v>655</v>
      </c>
      <c r="Z44" s="1553" t="s">
        <v>126</v>
      </c>
      <c r="AA44" s="1553" t="s">
        <v>126</v>
      </c>
      <c r="AB44" s="437" t="s">
        <v>95</v>
      </c>
      <c r="AC44" s="436" t="s">
        <v>1448</v>
      </c>
      <c r="AD44" s="1547">
        <f>F16</f>
        <v>0.3</v>
      </c>
      <c r="AE44" s="1547">
        <f>G16</f>
        <v>0.1</v>
      </c>
      <c r="AF44" s="1547">
        <f>H16</f>
        <v>0.3</v>
      </c>
      <c r="AG44" s="1547" t="s">
        <v>398</v>
      </c>
      <c r="AH44" s="486">
        <f>IF(AG44="yes", 1,0)</f>
        <v>0</v>
      </c>
      <c r="AI44" s="486"/>
      <c r="AJ44" s="496"/>
    </row>
    <row r="45" spans="2:36" s="334" customFormat="1" ht="25.5" customHeight="1" x14ac:dyDescent="0.25">
      <c r="B45" s="365" t="s">
        <v>660</v>
      </c>
      <c r="C45" s="467"/>
      <c r="D45" s="467"/>
      <c r="E45" s="467"/>
      <c r="F45" s="467"/>
      <c r="G45" s="467"/>
      <c r="H45" s="467"/>
      <c r="I45" s="467"/>
      <c r="J45" s="467"/>
      <c r="K45" s="1525"/>
      <c r="L45" s="408"/>
      <c r="M45" s="365" t="s">
        <v>668</v>
      </c>
      <c r="N45" s="1521"/>
      <c r="O45" s="1535"/>
      <c r="P45" s="376" t="s">
        <v>1426</v>
      </c>
      <c r="Q45" s="1499">
        <v>0.3</v>
      </c>
      <c r="R45" s="1524">
        <v>0.1</v>
      </c>
      <c r="S45" s="1499">
        <v>0.3</v>
      </c>
      <c r="T45" s="1517">
        <v>0</v>
      </c>
      <c r="U45" s="371" t="s">
        <v>1390</v>
      </c>
      <c r="V45" s="1515" t="str">
        <f t="shared" si="0"/>
        <v>상</v>
      </c>
      <c r="W45" s="486" cm="1">
        <f t="array" ref="W45">IF($AI$8="상",50,IF($AI$8="중",40,IF($AI$8="하",30,fault)))</f>
        <v>50</v>
      </c>
      <c r="X45" s="408"/>
      <c r="Y45" s="365" t="s">
        <v>664</v>
      </c>
      <c r="Z45" s="1553" t="s">
        <v>1449</v>
      </c>
      <c r="AA45" s="1553" t="s">
        <v>1450</v>
      </c>
      <c r="AB45" s="437" t="s">
        <v>95</v>
      </c>
      <c r="AC45" s="503" t="s">
        <v>1451</v>
      </c>
      <c r="AD45" s="1546"/>
      <c r="AE45" s="1546"/>
      <c r="AF45" s="1546"/>
      <c r="AG45" s="485" t="s">
        <v>398</v>
      </c>
      <c r="AH45" s="486"/>
      <c r="AI45" s="486"/>
      <c r="AJ45" s="496"/>
    </row>
    <row r="46" spans="2:36" s="334" customFormat="1" ht="25.5" customHeight="1" x14ac:dyDescent="0.25">
      <c r="B46" s="365" t="s">
        <v>666</v>
      </c>
      <c r="C46" s="467"/>
      <c r="D46" s="467"/>
      <c r="E46" s="467"/>
      <c r="F46" s="467"/>
      <c r="G46" s="467"/>
      <c r="H46" s="467"/>
      <c r="I46" s="467"/>
      <c r="J46" s="467"/>
      <c r="K46" s="1525"/>
      <c r="L46" s="408"/>
      <c r="M46" s="365" t="s">
        <v>673</v>
      </c>
      <c r="N46" s="1554" t="s">
        <v>1015</v>
      </c>
      <c r="O46" s="1554" t="s">
        <v>1015</v>
      </c>
      <c r="P46" s="376" t="s">
        <v>1452</v>
      </c>
      <c r="Q46" s="1499">
        <v>0.3</v>
      </c>
      <c r="R46" s="1524">
        <v>0.1</v>
      </c>
      <c r="S46" s="1499">
        <v>0.3</v>
      </c>
      <c r="T46" s="411">
        <v>1</v>
      </c>
      <c r="U46" s="371" t="s">
        <v>1390</v>
      </c>
      <c r="V46" s="1555" t="s">
        <v>114</v>
      </c>
      <c r="W46" s="486"/>
      <c r="X46" s="380"/>
      <c r="Y46" s="365" t="s">
        <v>669</v>
      </c>
      <c r="Z46" s="502"/>
      <c r="AA46" s="495"/>
      <c r="AB46" s="495"/>
      <c r="AC46" s="503"/>
      <c r="AD46" s="503"/>
      <c r="AE46" s="503"/>
      <c r="AF46" s="503"/>
      <c r="AG46" s="486"/>
      <c r="AH46" s="486"/>
      <c r="AI46" s="486"/>
      <c r="AJ46" s="496"/>
    </row>
    <row r="47" spans="2:36" s="334" customFormat="1" ht="25.5" customHeight="1" x14ac:dyDescent="0.25">
      <c r="B47" s="365" t="s">
        <v>671</v>
      </c>
      <c r="C47" s="467"/>
      <c r="D47" s="467"/>
      <c r="E47" s="467"/>
      <c r="F47" s="467"/>
      <c r="G47" s="467"/>
      <c r="H47" s="467"/>
      <c r="I47" s="467"/>
      <c r="J47" s="467"/>
      <c r="K47" s="1525"/>
      <c r="L47" s="408"/>
      <c r="M47" s="365" t="s">
        <v>678</v>
      </c>
      <c r="N47" s="1556"/>
      <c r="O47" s="1556"/>
      <c r="P47" s="376" t="s">
        <v>1453</v>
      </c>
      <c r="Q47" s="1499">
        <v>0.3</v>
      </c>
      <c r="R47" s="1524">
        <v>0.1</v>
      </c>
      <c r="S47" s="1499">
        <v>0.3</v>
      </c>
      <c r="T47" s="411">
        <v>1</v>
      </c>
      <c r="U47" s="371" t="s">
        <v>1390</v>
      </c>
      <c r="V47" s="1555" t="s">
        <v>114</v>
      </c>
      <c r="W47" s="486"/>
      <c r="X47" s="380"/>
      <c r="Y47" s="365" t="s">
        <v>675</v>
      </c>
      <c r="Z47" s="502"/>
      <c r="AA47" s="495"/>
      <c r="AB47" s="495"/>
      <c r="AC47" s="503"/>
      <c r="AD47" s="503"/>
      <c r="AE47" s="503"/>
      <c r="AF47" s="503"/>
      <c r="AG47" s="486"/>
      <c r="AH47" s="486"/>
      <c r="AI47" s="486"/>
      <c r="AJ47" s="496"/>
    </row>
    <row r="48" spans="2:36" s="334" customFormat="1" ht="25.5" customHeight="1" x14ac:dyDescent="0.25">
      <c r="B48" s="365" t="s">
        <v>676</v>
      </c>
      <c r="C48" s="467"/>
      <c r="D48" s="467"/>
      <c r="E48" s="467"/>
      <c r="F48" s="467"/>
      <c r="G48" s="467"/>
      <c r="H48" s="467"/>
      <c r="I48" s="467"/>
      <c r="J48" s="467"/>
      <c r="K48" s="1525"/>
      <c r="L48" s="408"/>
      <c r="M48" s="365" t="s">
        <v>683</v>
      </c>
      <c r="N48" s="1556"/>
      <c r="O48" s="1556"/>
      <c r="P48" s="376" t="s">
        <v>1454</v>
      </c>
      <c r="Q48" s="1499">
        <v>0.3</v>
      </c>
      <c r="R48" s="1524">
        <v>0.1</v>
      </c>
      <c r="S48" s="1499">
        <v>0.3</v>
      </c>
      <c r="T48" s="411">
        <v>1</v>
      </c>
      <c r="U48" s="371" t="s">
        <v>1390</v>
      </c>
      <c r="V48" s="1555" t="s">
        <v>114</v>
      </c>
      <c r="W48" s="486"/>
      <c r="X48" s="380"/>
      <c r="Y48" s="365" t="s">
        <v>679</v>
      </c>
      <c r="Z48" s="502"/>
      <c r="AA48" s="495"/>
      <c r="AB48" s="495"/>
      <c r="AC48" s="503"/>
      <c r="AD48" s="503"/>
      <c r="AE48" s="503"/>
      <c r="AF48" s="503"/>
      <c r="AG48" s="486"/>
      <c r="AH48" s="486"/>
      <c r="AI48" s="486"/>
      <c r="AJ48" s="496"/>
    </row>
    <row r="49" spans="2:36" ht="25.5" customHeight="1" x14ac:dyDescent="0.2">
      <c r="B49" s="365" t="s">
        <v>680</v>
      </c>
      <c r="C49" s="467"/>
      <c r="D49" s="467"/>
      <c r="E49" s="467"/>
      <c r="F49" s="467"/>
      <c r="G49" s="467"/>
      <c r="H49" s="467"/>
      <c r="I49" s="467"/>
      <c r="J49" s="467"/>
      <c r="K49" s="1525"/>
      <c r="L49" s="408"/>
      <c r="M49" s="365" t="s">
        <v>689</v>
      </c>
      <c r="N49" s="1556"/>
      <c r="O49" s="1556"/>
      <c r="P49" s="376" t="s">
        <v>1455</v>
      </c>
      <c r="Q49" s="1499">
        <v>0.3</v>
      </c>
      <c r="R49" s="1524">
        <v>0.1</v>
      </c>
      <c r="S49" s="1499">
        <v>0.3</v>
      </c>
      <c r="T49" s="411">
        <v>1</v>
      </c>
      <c r="U49" s="371" t="s">
        <v>1390</v>
      </c>
      <c r="V49" s="1555" t="s">
        <v>114</v>
      </c>
      <c r="W49" s="486"/>
      <c r="X49" s="380"/>
      <c r="Y49" s="365" t="s">
        <v>684</v>
      </c>
      <c r="Z49" s="502"/>
      <c r="AA49" s="495"/>
      <c r="AB49" s="495"/>
      <c r="AC49" s="503"/>
      <c r="AD49" s="503"/>
      <c r="AE49" s="503"/>
      <c r="AF49" s="503"/>
      <c r="AG49" s="486"/>
      <c r="AH49" s="486"/>
      <c r="AI49" s="486"/>
      <c r="AJ49" s="496"/>
    </row>
    <row r="50" spans="2:36" ht="25.5" customHeight="1" x14ac:dyDescent="0.2">
      <c r="B50" s="365" t="s">
        <v>687</v>
      </c>
      <c r="C50" s="467"/>
      <c r="D50" s="467"/>
      <c r="E50" s="467"/>
      <c r="F50" s="467"/>
      <c r="G50" s="467"/>
      <c r="H50" s="467"/>
      <c r="I50" s="467"/>
      <c r="J50" s="467"/>
      <c r="K50" s="1525"/>
      <c r="L50" s="408"/>
      <c r="M50" s="365" t="s">
        <v>697</v>
      </c>
      <c r="N50" s="1556"/>
      <c r="O50" s="1556"/>
      <c r="P50" s="376" t="s">
        <v>1456</v>
      </c>
      <c r="Q50" s="1499">
        <v>0.3</v>
      </c>
      <c r="R50" s="1524">
        <v>0.1</v>
      </c>
      <c r="S50" s="1499">
        <v>0.3</v>
      </c>
      <c r="T50" s="411">
        <v>1</v>
      </c>
      <c r="U50" s="371" t="s">
        <v>1390</v>
      </c>
      <c r="V50" s="1555" t="s">
        <v>114</v>
      </c>
      <c r="W50" s="486"/>
      <c r="X50" s="380"/>
      <c r="Y50" s="365" t="s">
        <v>690</v>
      </c>
      <c r="Z50" s="502"/>
      <c r="AA50" s="495"/>
      <c r="AB50" s="495"/>
      <c r="AC50" s="503"/>
      <c r="AD50" s="503"/>
      <c r="AE50" s="503"/>
      <c r="AF50" s="503"/>
      <c r="AG50" s="486"/>
      <c r="AH50" s="486"/>
      <c r="AI50" s="486"/>
      <c r="AJ50" s="496"/>
    </row>
    <row r="51" spans="2:36" ht="25.5" customHeight="1" x14ac:dyDescent="0.2">
      <c r="B51" s="365" t="s">
        <v>694</v>
      </c>
      <c r="C51" s="467"/>
      <c r="D51" s="467"/>
      <c r="E51" s="467"/>
      <c r="F51" s="467"/>
      <c r="G51" s="467"/>
      <c r="H51" s="467"/>
      <c r="I51" s="467"/>
      <c r="J51" s="467"/>
      <c r="K51" s="1525"/>
      <c r="L51" s="408"/>
      <c r="M51" s="365" t="s">
        <v>702</v>
      </c>
      <c r="N51" s="1556"/>
      <c r="O51" s="1556"/>
      <c r="P51" s="376" t="s">
        <v>1457</v>
      </c>
      <c r="Q51" s="1499">
        <v>0.3</v>
      </c>
      <c r="R51" s="1524">
        <v>0.1</v>
      </c>
      <c r="S51" s="1499">
        <v>0.3</v>
      </c>
      <c r="T51" s="411">
        <v>1</v>
      </c>
      <c r="U51" s="371" t="s">
        <v>1390</v>
      </c>
      <c r="V51" s="1555" t="s">
        <v>114</v>
      </c>
      <c r="W51" s="486"/>
      <c r="X51" s="380"/>
      <c r="Y51" s="365" t="s">
        <v>699</v>
      </c>
      <c r="Z51" s="502"/>
      <c r="AA51" s="495"/>
      <c r="AB51" s="495"/>
      <c r="AC51" s="503"/>
      <c r="AD51" s="503"/>
      <c r="AE51" s="503"/>
      <c r="AF51" s="503"/>
      <c r="AG51" s="486"/>
      <c r="AH51" s="486"/>
      <c r="AI51" s="486"/>
      <c r="AJ51" s="496"/>
    </row>
    <row r="52" spans="2:36" ht="25.5" customHeight="1" x14ac:dyDescent="0.2">
      <c r="B52" s="365" t="s">
        <v>700</v>
      </c>
      <c r="C52" s="467"/>
      <c r="D52" s="467"/>
      <c r="E52" s="467"/>
      <c r="F52" s="467"/>
      <c r="G52" s="467"/>
      <c r="H52" s="467"/>
      <c r="I52" s="467"/>
      <c r="J52" s="467"/>
      <c r="K52" s="1525"/>
      <c r="L52" s="408"/>
      <c r="M52" s="365" t="s">
        <v>708</v>
      </c>
      <c r="N52" s="1556"/>
      <c r="O52" s="1556"/>
      <c r="P52" s="376" t="s">
        <v>1019</v>
      </c>
      <c r="Q52" s="1499">
        <v>0.3</v>
      </c>
      <c r="R52" s="1524">
        <v>0.1</v>
      </c>
      <c r="S52" s="1499">
        <v>0.3</v>
      </c>
      <c r="T52" s="411">
        <v>1</v>
      </c>
      <c r="U52" s="371" t="s">
        <v>1390</v>
      </c>
      <c r="V52" s="1555" t="s">
        <v>114</v>
      </c>
      <c r="W52" s="486"/>
      <c r="X52" s="380"/>
      <c r="Y52" s="365" t="s">
        <v>705</v>
      </c>
      <c r="Z52" s="502"/>
      <c r="AA52" s="495"/>
      <c r="AB52" s="495"/>
      <c r="AC52" s="503"/>
      <c r="AD52" s="503"/>
      <c r="AE52" s="503"/>
      <c r="AF52" s="503"/>
      <c r="AG52" s="486"/>
      <c r="AH52" s="486"/>
      <c r="AI52" s="486"/>
      <c r="AJ52" s="496"/>
    </row>
    <row r="53" spans="2:36" ht="25.5" customHeight="1" x14ac:dyDescent="0.2">
      <c r="B53" s="365" t="s">
        <v>706</v>
      </c>
      <c r="C53" s="467"/>
      <c r="D53" s="467"/>
      <c r="E53" s="467"/>
      <c r="F53" s="467"/>
      <c r="G53" s="467"/>
      <c r="H53" s="467"/>
      <c r="I53" s="467"/>
      <c r="J53" s="467"/>
      <c r="K53" s="1525"/>
      <c r="L53" s="408"/>
      <c r="M53" s="365" t="s">
        <v>714</v>
      </c>
      <c r="N53" s="1556"/>
      <c r="O53" s="1556"/>
      <c r="P53" s="376" t="s">
        <v>1458</v>
      </c>
      <c r="Q53" s="1499">
        <v>0.3</v>
      </c>
      <c r="R53" s="1524">
        <v>0.1</v>
      </c>
      <c r="S53" s="1499">
        <v>0.3</v>
      </c>
      <c r="T53" s="411">
        <v>1</v>
      </c>
      <c r="U53" s="371" t="s">
        <v>1390</v>
      </c>
      <c r="V53" s="1555" t="s">
        <v>114</v>
      </c>
      <c r="W53" s="486"/>
      <c r="X53" s="380"/>
      <c r="Y53" s="365" t="s">
        <v>710</v>
      </c>
      <c r="Z53" s="502"/>
      <c r="AA53" s="495"/>
      <c r="AB53" s="495"/>
      <c r="AC53" s="503"/>
      <c r="AD53" s="503"/>
      <c r="AE53" s="503"/>
      <c r="AF53" s="503"/>
      <c r="AG53" s="486"/>
      <c r="AH53" s="486"/>
      <c r="AI53" s="486"/>
      <c r="AJ53" s="496"/>
    </row>
    <row r="54" spans="2:36" ht="25.5" customHeight="1" x14ac:dyDescent="0.2">
      <c r="B54" s="365" t="s">
        <v>711</v>
      </c>
      <c r="C54" s="467"/>
      <c r="D54" s="467"/>
      <c r="E54" s="467"/>
      <c r="F54" s="467"/>
      <c r="G54" s="467"/>
      <c r="H54" s="467"/>
      <c r="I54" s="467"/>
      <c r="J54" s="467"/>
      <c r="K54" s="1525"/>
      <c r="L54" s="408"/>
      <c r="M54" s="365" t="s">
        <v>719</v>
      </c>
      <c r="N54" s="1556"/>
      <c r="O54" s="1556"/>
      <c r="P54" s="376" t="s">
        <v>1459</v>
      </c>
      <c r="Q54" s="1499">
        <v>0.3</v>
      </c>
      <c r="R54" s="1524">
        <v>0.1</v>
      </c>
      <c r="S54" s="1499">
        <v>0.3</v>
      </c>
      <c r="T54" s="411">
        <v>1</v>
      </c>
      <c r="U54" s="371" t="s">
        <v>1390</v>
      </c>
      <c r="V54" s="1555" t="s">
        <v>114</v>
      </c>
      <c r="W54" s="486"/>
      <c r="X54" s="380"/>
      <c r="Y54" s="365" t="s">
        <v>715</v>
      </c>
      <c r="Z54" s="502"/>
      <c r="AA54" s="495"/>
      <c r="AB54" s="495"/>
      <c r="AC54" s="503"/>
      <c r="AD54" s="503"/>
      <c r="AE54" s="503"/>
      <c r="AF54" s="503"/>
      <c r="AG54" s="486"/>
      <c r="AH54" s="486"/>
      <c r="AI54" s="486"/>
      <c r="AJ54" s="496"/>
    </row>
    <row r="55" spans="2:36" ht="25.5" customHeight="1" x14ac:dyDescent="0.2">
      <c r="B55" s="365" t="s">
        <v>716</v>
      </c>
      <c r="C55" s="467"/>
      <c r="D55" s="467"/>
      <c r="E55" s="467"/>
      <c r="F55" s="467"/>
      <c r="G55" s="467"/>
      <c r="H55" s="467"/>
      <c r="I55" s="467"/>
      <c r="J55" s="467"/>
      <c r="K55" s="1525"/>
      <c r="L55" s="408"/>
      <c r="M55" s="365" t="s">
        <v>725</v>
      </c>
      <c r="N55" s="1556"/>
      <c r="O55" s="1556"/>
      <c r="P55" s="376" t="s">
        <v>1307</v>
      </c>
      <c r="Q55" s="1499">
        <v>0.3</v>
      </c>
      <c r="R55" s="1524">
        <v>0.1</v>
      </c>
      <c r="S55" s="1499">
        <v>0.3</v>
      </c>
      <c r="T55" s="411">
        <v>1</v>
      </c>
      <c r="U55" s="371" t="s">
        <v>1390</v>
      </c>
      <c r="V55" s="1555" t="s">
        <v>114</v>
      </c>
      <c r="W55" s="486"/>
      <c r="X55" s="380"/>
      <c r="Y55" s="365" t="s">
        <v>721</v>
      </c>
      <c r="Z55" s="502"/>
      <c r="AA55" s="495"/>
      <c r="AB55" s="495"/>
      <c r="AC55" s="503"/>
      <c r="AD55" s="503"/>
      <c r="AE55" s="503"/>
      <c r="AF55" s="503"/>
      <c r="AG55" s="486"/>
      <c r="AH55" s="486"/>
      <c r="AI55" s="486"/>
      <c r="AJ55" s="496"/>
    </row>
    <row r="56" spans="2:36" ht="25.5" customHeight="1" x14ac:dyDescent="0.2">
      <c r="B56" s="365" t="s">
        <v>723</v>
      </c>
      <c r="C56" s="467"/>
      <c r="D56" s="467"/>
      <c r="E56" s="467"/>
      <c r="F56" s="467"/>
      <c r="G56" s="467"/>
      <c r="H56" s="467"/>
      <c r="I56" s="467"/>
      <c r="J56" s="467"/>
      <c r="K56" s="1525"/>
      <c r="L56" s="408"/>
      <c r="M56" s="365" t="s">
        <v>730</v>
      </c>
      <c r="N56" s="1557"/>
      <c r="O56" s="1557"/>
      <c r="P56" s="376" t="s">
        <v>1310</v>
      </c>
      <c r="Q56" s="1499">
        <v>0.3</v>
      </c>
      <c r="R56" s="1524">
        <v>0.1</v>
      </c>
      <c r="S56" s="1499">
        <v>0.3</v>
      </c>
      <c r="T56" s="411">
        <v>1</v>
      </c>
      <c r="U56" s="371" t="s">
        <v>1390</v>
      </c>
      <c r="V56" s="1555" t="s">
        <v>114</v>
      </c>
      <c r="W56" s="486"/>
      <c r="X56" s="380"/>
      <c r="Y56" s="365" t="s">
        <v>726</v>
      </c>
      <c r="Z56" s="502"/>
      <c r="AA56" s="495"/>
      <c r="AB56" s="495"/>
      <c r="AC56" s="503"/>
      <c r="AD56" s="503"/>
      <c r="AE56" s="503"/>
      <c r="AF56" s="503"/>
      <c r="AG56" s="486"/>
      <c r="AH56" s="486"/>
      <c r="AI56" s="486"/>
      <c r="AJ56" s="496"/>
    </row>
    <row r="57" spans="2:36" ht="25.5" customHeight="1" x14ac:dyDescent="0.2">
      <c r="B57" s="365" t="s">
        <v>728</v>
      </c>
      <c r="C57" s="467"/>
      <c r="D57" s="467"/>
      <c r="E57" s="467"/>
      <c r="F57" s="467"/>
      <c r="G57" s="467"/>
      <c r="H57" s="467"/>
      <c r="I57" s="467"/>
      <c r="J57" s="467"/>
      <c r="K57" s="1525"/>
      <c r="L57" s="408"/>
      <c r="M57" s="365" t="s">
        <v>737</v>
      </c>
      <c r="N57" s="1554" t="s">
        <v>188</v>
      </c>
      <c r="O57" s="1497" t="s">
        <v>188</v>
      </c>
      <c r="P57" s="376" t="s">
        <v>1460</v>
      </c>
      <c r="Q57" s="1499">
        <v>0.3</v>
      </c>
      <c r="R57" s="1524">
        <v>0.1</v>
      </c>
      <c r="S57" s="1499">
        <v>0.3</v>
      </c>
      <c r="T57" s="411">
        <v>1</v>
      </c>
      <c r="U57" s="371" t="s">
        <v>1390</v>
      </c>
      <c r="V57" s="1555" t="s">
        <v>114</v>
      </c>
      <c r="W57" s="486"/>
      <c r="X57" s="380" t="s">
        <v>1461</v>
      </c>
      <c r="Y57" s="365" t="s">
        <v>731</v>
      </c>
      <c r="Z57" s="502"/>
      <c r="AA57" s="495"/>
      <c r="AB57" s="495"/>
      <c r="AC57" s="503"/>
      <c r="AD57" s="503"/>
      <c r="AE57" s="503"/>
      <c r="AF57" s="503"/>
      <c r="AG57" s="486"/>
      <c r="AH57" s="486"/>
      <c r="AI57" s="486"/>
      <c r="AJ57" s="496"/>
    </row>
    <row r="58" spans="2:36" ht="25.5" customHeight="1" x14ac:dyDescent="0.2">
      <c r="B58" s="365" t="s">
        <v>735</v>
      </c>
      <c r="C58" s="467"/>
      <c r="D58" s="467"/>
      <c r="E58" s="467"/>
      <c r="F58" s="467"/>
      <c r="G58" s="467"/>
      <c r="H58" s="467"/>
      <c r="I58" s="467"/>
      <c r="J58" s="467"/>
      <c r="K58" s="1525"/>
      <c r="L58" s="408"/>
      <c r="M58" s="365" t="s">
        <v>744</v>
      </c>
      <c r="N58" s="1556"/>
      <c r="O58" s="1507"/>
      <c r="P58" s="376" t="s">
        <v>1462</v>
      </c>
      <c r="Q58" s="1499">
        <v>0.3</v>
      </c>
      <c r="R58" s="1524">
        <v>0.1</v>
      </c>
      <c r="S58" s="1499">
        <v>0.3</v>
      </c>
      <c r="T58" s="1517">
        <v>1</v>
      </c>
      <c r="U58" s="371" t="s">
        <v>1390</v>
      </c>
      <c r="V58" s="1555" t="s">
        <v>114</v>
      </c>
      <c r="W58" s="486"/>
      <c r="X58" s="380" t="s">
        <v>1461</v>
      </c>
      <c r="Y58" s="365" t="s">
        <v>738</v>
      </c>
      <c r="Z58" s="502"/>
      <c r="AA58" s="495"/>
      <c r="AB58" s="495"/>
      <c r="AC58" s="503"/>
      <c r="AD58" s="503"/>
      <c r="AE58" s="503"/>
      <c r="AF58" s="503"/>
      <c r="AG58" s="486"/>
      <c r="AH58" s="486"/>
      <c r="AI58" s="486"/>
      <c r="AJ58" s="496"/>
    </row>
    <row r="59" spans="2:36" ht="25.5" customHeight="1" x14ac:dyDescent="0.2">
      <c r="B59" s="365" t="s">
        <v>741</v>
      </c>
      <c r="C59" s="467"/>
      <c r="D59" s="467"/>
      <c r="E59" s="467"/>
      <c r="F59" s="467"/>
      <c r="G59" s="467"/>
      <c r="H59" s="467"/>
      <c r="I59" s="467"/>
      <c r="J59" s="467"/>
      <c r="K59" s="1525"/>
      <c r="L59" s="408"/>
      <c r="M59" s="365" t="s">
        <v>749</v>
      </c>
      <c r="N59" s="1556"/>
      <c r="O59" s="1507"/>
      <c r="P59" s="376" t="s">
        <v>1463</v>
      </c>
      <c r="Q59" s="1499">
        <v>0.3</v>
      </c>
      <c r="R59" s="1524">
        <v>0.1</v>
      </c>
      <c r="S59" s="1499">
        <v>0.3</v>
      </c>
      <c r="T59" s="411">
        <v>0</v>
      </c>
      <c r="U59" s="371" t="s">
        <v>1390</v>
      </c>
      <c r="V59" s="1555" t="s">
        <v>114</v>
      </c>
      <c r="W59" s="486"/>
      <c r="X59" s="380" t="s">
        <v>1461</v>
      </c>
      <c r="Y59" s="365" t="s">
        <v>745</v>
      </c>
      <c r="Z59" s="502"/>
      <c r="AA59" s="495"/>
      <c r="AB59" s="495"/>
      <c r="AC59" s="503"/>
      <c r="AD59" s="503"/>
      <c r="AE59" s="503"/>
      <c r="AF59" s="503"/>
      <c r="AG59" s="486"/>
      <c r="AH59" s="486"/>
      <c r="AI59" s="486"/>
      <c r="AJ59" s="496"/>
    </row>
    <row r="60" spans="2:36" ht="25.5" customHeight="1" x14ac:dyDescent="0.2">
      <c r="B60" s="365" t="s">
        <v>747</v>
      </c>
      <c r="C60" s="467"/>
      <c r="D60" s="467"/>
      <c r="E60" s="467"/>
      <c r="F60" s="467"/>
      <c r="G60" s="467"/>
      <c r="H60" s="467"/>
      <c r="I60" s="467"/>
      <c r="J60" s="467"/>
      <c r="K60" s="1525"/>
      <c r="L60" s="408"/>
      <c r="M60" s="365" t="s">
        <v>757</v>
      </c>
      <c r="N60" s="1556"/>
      <c r="O60" s="1507"/>
      <c r="P60" s="376" t="s">
        <v>1464</v>
      </c>
      <c r="Q60" s="1499">
        <v>0.3</v>
      </c>
      <c r="R60" s="1524">
        <v>0.1</v>
      </c>
      <c r="S60" s="1499">
        <v>0.3</v>
      </c>
      <c r="T60" s="411">
        <v>1</v>
      </c>
      <c r="U60" s="371" t="s">
        <v>1390</v>
      </c>
      <c r="V60" s="1555" t="s">
        <v>114</v>
      </c>
      <c r="W60" s="486"/>
      <c r="X60" s="380" t="s">
        <v>1461</v>
      </c>
      <c r="Y60" s="365" t="s">
        <v>752</v>
      </c>
      <c r="Z60" s="502"/>
      <c r="AA60" s="495"/>
      <c r="AB60" s="495"/>
      <c r="AC60" s="503"/>
      <c r="AD60" s="503"/>
      <c r="AE60" s="503"/>
      <c r="AF60" s="503"/>
      <c r="AG60" s="486"/>
      <c r="AH60" s="486"/>
      <c r="AI60" s="486"/>
      <c r="AJ60" s="496"/>
    </row>
    <row r="61" spans="2:36" ht="25.5" customHeight="1" x14ac:dyDescent="0.2">
      <c r="B61" s="365" t="s">
        <v>755</v>
      </c>
      <c r="C61" s="467"/>
      <c r="D61" s="467"/>
      <c r="E61" s="467"/>
      <c r="F61" s="467"/>
      <c r="G61" s="467"/>
      <c r="H61" s="467"/>
      <c r="I61" s="467"/>
      <c r="J61" s="467"/>
      <c r="K61" s="1525"/>
      <c r="L61" s="408"/>
      <c r="M61" s="365" t="s">
        <v>764</v>
      </c>
      <c r="N61" s="1556"/>
      <c r="O61" s="1507"/>
      <c r="P61" s="376" t="s">
        <v>1465</v>
      </c>
      <c r="Q61" s="1499">
        <v>0.3</v>
      </c>
      <c r="R61" s="1524">
        <v>0.1</v>
      </c>
      <c r="S61" s="1499">
        <v>0.3</v>
      </c>
      <c r="T61" s="411">
        <v>1</v>
      </c>
      <c r="U61" s="371" t="s">
        <v>1390</v>
      </c>
      <c r="V61" s="1555" t="s">
        <v>114</v>
      </c>
      <c r="W61" s="486"/>
      <c r="X61" s="380" t="s">
        <v>1461</v>
      </c>
      <c r="Y61" s="365" t="s">
        <v>759</v>
      </c>
      <c r="Z61" s="502"/>
      <c r="AA61" s="495"/>
      <c r="AB61" s="495"/>
      <c r="AC61" s="503"/>
      <c r="AD61" s="503"/>
      <c r="AE61" s="503"/>
      <c r="AF61" s="503"/>
      <c r="AG61" s="486"/>
      <c r="AH61" s="486"/>
      <c r="AI61" s="486"/>
      <c r="AJ61" s="496"/>
    </row>
    <row r="62" spans="2:36" ht="25.5" customHeight="1" x14ac:dyDescent="0.2">
      <c r="B62" s="365" t="s">
        <v>762</v>
      </c>
      <c r="C62" s="467"/>
      <c r="D62" s="467"/>
      <c r="E62" s="467"/>
      <c r="F62" s="467"/>
      <c r="G62" s="467"/>
      <c r="H62" s="467"/>
      <c r="I62" s="467"/>
      <c r="J62" s="467"/>
      <c r="K62" s="1525"/>
      <c r="L62" s="408"/>
      <c r="M62" s="365" t="s">
        <v>773</v>
      </c>
      <c r="N62" s="1557"/>
      <c r="O62" s="1521"/>
      <c r="P62" s="376" t="s">
        <v>1466</v>
      </c>
      <c r="Q62" s="1499">
        <v>0.3</v>
      </c>
      <c r="R62" s="1524">
        <v>0.1</v>
      </c>
      <c r="S62" s="1499">
        <v>0.3</v>
      </c>
      <c r="T62" s="411">
        <v>1</v>
      </c>
      <c r="U62" s="371" t="s">
        <v>1390</v>
      </c>
      <c r="V62" s="1555" t="s">
        <v>114</v>
      </c>
      <c r="W62" s="486"/>
      <c r="X62" s="380" t="s">
        <v>1461</v>
      </c>
      <c r="Y62" s="365" t="s">
        <v>766</v>
      </c>
      <c r="Z62" s="502"/>
      <c r="AA62" s="495"/>
      <c r="AB62" s="495"/>
      <c r="AC62" s="503"/>
      <c r="AD62" s="503"/>
      <c r="AE62" s="503"/>
      <c r="AF62" s="503"/>
      <c r="AG62" s="486"/>
      <c r="AH62" s="486"/>
      <c r="AI62" s="486"/>
      <c r="AJ62" s="496"/>
    </row>
    <row r="63" spans="2:36" ht="25.5" customHeight="1" x14ac:dyDescent="0.2">
      <c r="B63" s="365" t="s">
        <v>769</v>
      </c>
      <c r="C63" s="467"/>
      <c r="D63" s="467"/>
      <c r="E63" s="467"/>
      <c r="F63" s="467"/>
      <c r="G63" s="467"/>
      <c r="H63" s="467"/>
      <c r="I63" s="467"/>
      <c r="J63" s="467"/>
      <c r="K63" s="1525"/>
      <c r="L63" s="408"/>
      <c r="M63" s="365" t="s">
        <v>781</v>
      </c>
      <c r="N63" s="1554" t="s">
        <v>1029</v>
      </c>
      <c r="O63" s="1497" t="s">
        <v>1029</v>
      </c>
      <c r="P63" s="376" t="s">
        <v>1467</v>
      </c>
      <c r="Q63" s="1499">
        <v>0.3</v>
      </c>
      <c r="R63" s="1524">
        <v>0.1</v>
      </c>
      <c r="S63" s="1499">
        <v>0.3</v>
      </c>
      <c r="T63" s="438">
        <v>1</v>
      </c>
      <c r="U63" s="371" t="s">
        <v>1390</v>
      </c>
      <c r="V63" s="1555" t="s">
        <v>114</v>
      </c>
      <c r="W63" s="486"/>
      <c r="X63" s="380"/>
      <c r="Y63" s="365" t="s">
        <v>775</v>
      </c>
      <c r="Z63" s="502"/>
      <c r="AA63" s="495"/>
      <c r="AB63" s="495"/>
      <c r="AC63" s="503"/>
      <c r="AD63" s="503"/>
      <c r="AE63" s="503"/>
      <c r="AF63" s="503"/>
      <c r="AG63" s="486"/>
      <c r="AH63" s="486"/>
      <c r="AI63" s="486"/>
      <c r="AJ63" s="496"/>
    </row>
    <row r="64" spans="2:36" ht="25.5" customHeight="1" x14ac:dyDescent="0.2">
      <c r="B64" s="365" t="s">
        <v>779</v>
      </c>
      <c r="C64" s="467"/>
      <c r="D64" s="467"/>
      <c r="E64" s="467"/>
      <c r="F64" s="467"/>
      <c r="G64" s="467"/>
      <c r="H64" s="467"/>
      <c r="I64" s="467"/>
      <c r="J64" s="467"/>
      <c r="K64" s="1525"/>
      <c r="L64" s="408"/>
      <c r="M64" s="365" t="s">
        <v>787</v>
      </c>
      <c r="N64" s="1556"/>
      <c r="O64" s="1507"/>
      <c r="P64" s="376" t="s">
        <v>1468</v>
      </c>
      <c r="Q64" s="1499">
        <v>0.3</v>
      </c>
      <c r="R64" s="1524">
        <v>0.1</v>
      </c>
      <c r="S64" s="1499">
        <v>0.3</v>
      </c>
      <c r="T64" s="1515">
        <f>0.5*($AG$33/10000+$AG$34/400+$AG$35*2+$AG$36)</f>
        <v>5.8368000000000002</v>
      </c>
      <c r="U64" s="371" t="s">
        <v>1390</v>
      </c>
      <c r="V64" s="1555" t="s">
        <v>114</v>
      </c>
      <c r="W64" s="486"/>
      <c r="X64" s="380"/>
      <c r="Y64" s="365" t="s">
        <v>783</v>
      </c>
      <c r="Z64" s="502"/>
      <c r="AA64" s="495"/>
      <c r="AB64" s="495"/>
      <c r="AC64" s="503"/>
      <c r="AD64" s="503"/>
      <c r="AE64" s="503"/>
      <c r="AF64" s="503"/>
      <c r="AG64" s="486"/>
      <c r="AH64" s="486"/>
      <c r="AI64" s="486"/>
      <c r="AJ64" s="496"/>
    </row>
    <row r="65" spans="2:36" ht="25.5" customHeight="1" x14ac:dyDescent="0.2">
      <c r="B65" s="365" t="s">
        <v>785</v>
      </c>
      <c r="C65" s="467"/>
      <c r="D65" s="467"/>
      <c r="E65" s="467"/>
      <c r="F65" s="467"/>
      <c r="G65" s="467"/>
      <c r="H65" s="467"/>
      <c r="I65" s="467"/>
      <c r="J65" s="467"/>
      <c r="K65" s="1525"/>
      <c r="L65" s="408"/>
      <c r="M65" s="365" t="s">
        <v>794</v>
      </c>
      <c r="N65" s="1556"/>
      <c r="O65" s="1507"/>
      <c r="P65" s="376" t="s">
        <v>1469</v>
      </c>
      <c r="Q65" s="1499">
        <v>0.3</v>
      </c>
      <c r="R65" s="1524">
        <v>0.1</v>
      </c>
      <c r="S65" s="1499">
        <v>0.3</v>
      </c>
      <c r="T65" s="1515">
        <f>0.5*($AG$33/10000+$AG$34/400+$AG$35*2+$AG$36)</f>
        <v>5.8368000000000002</v>
      </c>
      <c r="U65" s="371" t="s">
        <v>1390</v>
      </c>
      <c r="V65" s="1555" t="s">
        <v>114</v>
      </c>
      <c r="W65" s="486"/>
      <c r="X65" s="380"/>
      <c r="Y65" s="365" t="s">
        <v>789</v>
      </c>
      <c r="Z65" s="502"/>
      <c r="AA65" s="495"/>
      <c r="AB65" s="495"/>
      <c r="AC65" s="503"/>
      <c r="AD65" s="503"/>
      <c r="AE65" s="503"/>
      <c r="AF65" s="503"/>
      <c r="AG65" s="486"/>
      <c r="AH65" s="486"/>
      <c r="AI65" s="486"/>
      <c r="AJ65" s="496"/>
    </row>
    <row r="66" spans="2:36" ht="25.5" customHeight="1" x14ac:dyDescent="0.2">
      <c r="B66" s="365" t="s">
        <v>792</v>
      </c>
      <c r="C66" s="467"/>
      <c r="D66" s="467"/>
      <c r="E66" s="467"/>
      <c r="F66" s="467"/>
      <c r="G66" s="467"/>
      <c r="H66" s="467"/>
      <c r="I66" s="467"/>
      <c r="J66" s="467"/>
      <c r="K66" s="1525"/>
      <c r="L66" s="408"/>
      <c r="M66" s="365" t="s">
        <v>800</v>
      </c>
      <c r="N66" s="1556"/>
      <c r="O66" s="1507"/>
      <c r="P66" s="376" t="s">
        <v>1470</v>
      </c>
      <c r="Q66" s="1499">
        <v>0.3</v>
      </c>
      <c r="R66" s="1524">
        <v>0.1</v>
      </c>
      <c r="S66" s="1499">
        <v>0.3</v>
      </c>
      <c r="T66" s="1558">
        <v>1</v>
      </c>
      <c r="U66" s="371" t="s">
        <v>1390</v>
      </c>
      <c r="V66" s="1555" t="s">
        <v>114</v>
      </c>
      <c r="W66" s="486"/>
      <c r="X66" s="380"/>
      <c r="Y66" s="365" t="s">
        <v>796</v>
      </c>
      <c r="Z66" s="502"/>
      <c r="AA66" s="495"/>
      <c r="AB66" s="495"/>
      <c r="AC66" s="503"/>
      <c r="AD66" s="503"/>
      <c r="AE66" s="503"/>
      <c r="AF66" s="503"/>
      <c r="AG66" s="486"/>
      <c r="AH66" s="486"/>
      <c r="AI66" s="486"/>
      <c r="AJ66" s="496"/>
    </row>
    <row r="67" spans="2:36" ht="25.5" customHeight="1" x14ac:dyDescent="0.2">
      <c r="B67" s="365" t="s">
        <v>799</v>
      </c>
      <c r="C67" s="467"/>
      <c r="D67" s="467"/>
      <c r="E67" s="467"/>
      <c r="F67" s="467"/>
      <c r="G67" s="467"/>
      <c r="H67" s="467"/>
      <c r="I67" s="467"/>
      <c r="J67" s="467"/>
      <c r="K67" s="1525"/>
      <c r="L67" s="408"/>
      <c r="M67" s="365" t="s">
        <v>806</v>
      </c>
      <c r="N67" s="1556"/>
      <c r="O67" s="1507"/>
      <c r="P67" s="376" t="s">
        <v>1471</v>
      </c>
      <c r="Q67" s="1499">
        <v>0.3</v>
      </c>
      <c r="R67" s="1524">
        <v>0.1</v>
      </c>
      <c r="S67" s="1499">
        <v>0.3</v>
      </c>
      <c r="T67" s="1558">
        <v>1</v>
      </c>
      <c r="U67" s="371" t="s">
        <v>1390</v>
      </c>
      <c r="V67" s="1555" t="s">
        <v>114</v>
      </c>
      <c r="W67" s="486"/>
      <c r="X67" s="380"/>
      <c r="Y67" s="365" t="s">
        <v>802</v>
      </c>
      <c r="Z67" s="502"/>
      <c r="AA67" s="495"/>
      <c r="AB67" s="495"/>
      <c r="AC67" s="503"/>
      <c r="AD67" s="503"/>
      <c r="AE67" s="503"/>
      <c r="AF67" s="503"/>
      <c r="AG67" s="486"/>
      <c r="AH67" s="486"/>
      <c r="AI67" s="486"/>
      <c r="AJ67" s="496"/>
    </row>
    <row r="68" spans="2:36" ht="24.75" customHeight="1" x14ac:dyDescent="0.2">
      <c r="B68" s="365" t="s">
        <v>805</v>
      </c>
      <c r="C68" s="467"/>
      <c r="D68" s="467"/>
      <c r="E68" s="467"/>
      <c r="F68" s="467"/>
      <c r="G68" s="467"/>
      <c r="H68" s="467"/>
      <c r="I68" s="467"/>
      <c r="J68" s="467"/>
      <c r="K68" s="1525"/>
      <c r="L68" s="408"/>
      <c r="M68" s="365" t="s">
        <v>812</v>
      </c>
      <c r="N68" s="1556"/>
      <c r="O68" s="1507"/>
      <c r="P68" s="376" t="s">
        <v>1472</v>
      </c>
      <c r="Q68" s="1499">
        <v>0.3</v>
      </c>
      <c r="R68" s="1524">
        <v>0.1</v>
      </c>
      <c r="S68" s="1499">
        <v>0.3</v>
      </c>
      <c r="T68" s="1515">
        <f>0.5*($AG$33/10000+$AG$34/400+$AG$35*2+$AG$36)</f>
        <v>5.8368000000000002</v>
      </c>
      <c r="U68" s="371" t="s">
        <v>1390</v>
      </c>
      <c r="V68" s="1555" t="s">
        <v>114</v>
      </c>
      <c r="W68" s="486"/>
      <c r="X68" s="380"/>
      <c r="Y68" s="365" t="s">
        <v>808</v>
      </c>
      <c r="Z68" s="502"/>
      <c r="AA68" s="495"/>
      <c r="AB68" s="495"/>
      <c r="AC68" s="503"/>
      <c r="AD68" s="503"/>
      <c r="AE68" s="503"/>
      <c r="AF68" s="503"/>
      <c r="AG68" s="486"/>
      <c r="AH68" s="486"/>
      <c r="AI68" s="486"/>
      <c r="AJ68" s="496"/>
    </row>
    <row r="69" spans="2:36" ht="28.5" customHeight="1" x14ac:dyDescent="0.2">
      <c r="B69" s="365" t="s">
        <v>811</v>
      </c>
      <c r="C69" s="467"/>
      <c r="D69" s="467"/>
      <c r="E69" s="467"/>
      <c r="F69" s="467"/>
      <c r="G69" s="467"/>
      <c r="H69" s="467"/>
      <c r="I69" s="467"/>
      <c r="J69" s="467"/>
      <c r="K69" s="1525"/>
      <c r="L69" s="408"/>
      <c r="M69" s="365" t="s">
        <v>818</v>
      </c>
      <c r="N69" s="1556"/>
      <c r="O69" s="1507"/>
      <c r="P69" s="376" t="s">
        <v>1473</v>
      </c>
      <c r="Q69" s="1499">
        <v>0.3</v>
      </c>
      <c r="R69" s="1524">
        <v>0.1</v>
      </c>
      <c r="S69" s="1499">
        <v>0.3</v>
      </c>
      <c r="T69" s="1515">
        <f>0.5*($AG$33/10000+$AG$34/400)</f>
        <v>2.3368000000000002</v>
      </c>
      <c r="U69" s="371" t="s">
        <v>1390</v>
      </c>
      <c r="V69" s="1555" t="s">
        <v>114</v>
      </c>
      <c r="W69" s="486"/>
      <c r="X69" s="380"/>
      <c r="Y69" s="365" t="s">
        <v>814</v>
      </c>
      <c r="Z69" s="502"/>
      <c r="AA69" s="495"/>
      <c r="AB69" s="495"/>
      <c r="AC69" s="503"/>
      <c r="AD69" s="503"/>
      <c r="AE69" s="503"/>
      <c r="AF69" s="503"/>
      <c r="AG69" s="486"/>
      <c r="AH69" s="486"/>
      <c r="AI69" s="486"/>
      <c r="AJ69" s="496"/>
    </row>
    <row r="70" spans="2:36" ht="27" customHeight="1" x14ac:dyDescent="0.2">
      <c r="B70" s="365" t="s">
        <v>817</v>
      </c>
      <c r="C70" s="467"/>
      <c r="D70" s="467"/>
      <c r="E70" s="467"/>
      <c r="F70" s="467"/>
      <c r="G70" s="467"/>
      <c r="H70" s="467"/>
      <c r="I70" s="467"/>
      <c r="J70" s="467"/>
      <c r="K70" s="1525"/>
      <c r="L70" s="408"/>
      <c r="M70" s="365" t="s">
        <v>822</v>
      </c>
      <c r="N70" s="1556"/>
      <c r="O70" s="1507"/>
      <c r="P70" s="376" t="s">
        <v>1474</v>
      </c>
      <c r="Q70" s="1499">
        <v>0.3</v>
      </c>
      <c r="R70" s="1524">
        <v>0.1</v>
      </c>
      <c r="S70" s="1499">
        <v>0.3</v>
      </c>
      <c r="T70" s="1515">
        <f>0.5*($AG$35*2+$AG$36)</f>
        <v>3.5</v>
      </c>
      <c r="U70" s="371" t="s">
        <v>1390</v>
      </c>
      <c r="V70" s="1555" t="s">
        <v>114</v>
      </c>
      <c r="W70" s="486"/>
      <c r="X70" s="380"/>
      <c r="Y70" s="365" t="s">
        <v>820</v>
      </c>
      <c r="Z70" s="502"/>
      <c r="AA70" s="495"/>
      <c r="AB70" s="495"/>
      <c r="AC70" s="503"/>
      <c r="AD70" s="503"/>
      <c r="AE70" s="503"/>
      <c r="AF70" s="503"/>
      <c r="AG70" s="486"/>
      <c r="AH70" s="486"/>
      <c r="AI70" s="486"/>
      <c r="AJ70" s="496"/>
    </row>
    <row r="71" spans="2:36" ht="27" customHeight="1" x14ac:dyDescent="0.2">
      <c r="B71" s="365" t="s">
        <v>821</v>
      </c>
      <c r="C71" s="467"/>
      <c r="D71" s="467"/>
      <c r="E71" s="467"/>
      <c r="F71" s="467"/>
      <c r="G71" s="467"/>
      <c r="H71" s="467"/>
      <c r="I71" s="467"/>
      <c r="J71" s="467"/>
      <c r="K71" s="1525"/>
      <c r="L71" s="408"/>
      <c r="M71" s="365" t="s">
        <v>826</v>
      </c>
      <c r="N71" s="1556"/>
      <c r="O71" s="1507"/>
      <c r="P71" s="376" t="s">
        <v>1475</v>
      </c>
      <c r="Q71" s="1499">
        <v>0.3</v>
      </c>
      <c r="R71" s="1524">
        <v>0.1</v>
      </c>
      <c r="S71" s="1499">
        <v>0.3</v>
      </c>
      <c r="T71" s="1515">
        <f>AG36+AG35</f>
        <v>7</v>
      </c>
      <c r="U71" s="371" t="s">
        <v>1390</v>
      </c>
      <c r="V71" s="1555" t="s">
        <v>114</v>
      </c>
      <c r="W71" s="486"/>
      <c r="X71" s="408"/>
      <c r="Y71" s="365" t="s">
        <v>824</v>
      </c>
      <c r="Z71" s="502"/>
      <c r="AA71" s="495"/>
      <c r="AB71" s="495"/>
      <c r="AC71" s="503"/>
      <c r="AD71" s="503"/>
      <c r="AE71" s="503"/>
      <c r="AF71" s="503"/>
      <c r="AG71" s="486"/>
      <c r="AH71" s="486"/>
      <c r="AI71" s="486"/>
      <c r="AJ71" s="496"/>
    </row>
    <row r="72" spans="2:36" ht="27" customHeight="1" x14ac:dyDescent="0.2">
      <c r="B72" s="365" t="s">
        <v>825</v>
      </c>
      <c r="C72" s="467"/>
      <c r="D72" s="467"/>
      <c r="E72" s="467"/>
      <c r="F72" s="467"/>
      <c r="G72" s="467"/>
      <c r="H72" s="467"/>
      <c r="I72" s="467"/>
      <c r="J72" s="467"/>
      <c r="K72" s="1525"/>
      <c r="L72" s="408"/>
      <c r="M72" s="365" t="s">
        <v>833</v>
      </c>
      <c r="N72" s="1556"/>
      <c r="O72" s="1507"/>
      <c r="P72" s="376" t="s">
        <v>1157</v>
      </c>
      <c r="Q72" s="1499">
        <v>0.3</v>
      </c>
      <c r="R72" s="1524">
        <v>0.1</v>
      </c>
      <c r="S72" s="1499">
        <v>0.3</v>
      </c>
      <c r="T72" s="1515">
        <v>50</v>
      </c>
      <c r="U72" s="371" t="s">
        <v>1390</v>
      </c>
      <c r="V72" s="1555" t="s">
        <v>114</v>
      </c>
      <c r="W72" s="486"/>
      <c r="X72" s="408"/>
      <c r="Y72" s="365" t="s">
        <v>828</v>
      </c>
      <c r="Z72" s="502"/>
      <c r="AA72" s="495"/>
      <c r="AB72" s="495"/>
      <c r="AC72" s="503"/>
      <c r="AD72" s="503"/>
      <c r="AE72" s="503"/>
      <c r="AF72" s="503"/>
      <c r="AG72" s="486"/>
      <c r="AH72" s="486"/>
      <c r="AI72" s="486"/>
      <c r="AJ72" s="496"/>
    </row>
    <row r="73" spans="2:36" ht="28.5" customHeight="1" x14ac:dyDescent="0.2">
      <c r="B73" s="365" t="s">
        <v>832</v>
      </c>
      <c r="C73" s="467"/>
      <c r="D73" s="467"/>
      <c r="E73" s="467"/>
      <c r="F73" s="467"/>
      <c r="G73" s="467"/>
      <c r="H73" s="467"/>
      <c r="I73" s="467"/>
      <c r="J73" s="467"/>
      <c r="K73" s="1525"/>
      <c r="L73" s="408"/>
      <c r="M73" s="365" t="s">
        <v>839</v>
      </c>
      <c r="N73" s="1557"/>
      <c r="O73" s="1521"/>
      <c r="P73" s="376" t="s">
        <v>1348</v>
      </c>
      <c r="Q73" s="1499">
        <v>0.3</v>
      </c>
      <c r="R73" s="1524">
        <v>0.1</v>
      </c>
      <c r="S73" s="1499">
        <v>0.3</v>
      </c>
      <c r="T73" s="411">
        <v>0</v>
      </c>
      <c r="U73" s="371" t="s">
        <v>1390</v>
      </c>
      <c r="V73" s="1555" t="s">
        <v>114</v>
      </c>
      <c r="W73" s="486"/>
      <c r="X73" s="408" t="s">
        <v>1476</v>
      </c>
      <c r="Y73" s="365" t="s">
        <v>835</v>
      </c>
      <c r="Z73" s="502"/>
      <c r="AA73" s="495"/>
      <c r="AB73" s="495"/>
      <c r="AC73" s="503"/>
      <c r="AD73" s="503"/>
      <c r="AE73" s="503"/>
      <c r="AF73" s="503"/>
      <c r="AG73" s="486"/>
      <c r="AH73" s="486"/>
      <c r="AI73" s="486"/>
      <c r="AJ73" s="496"/>
    </row>
    <row r="74" spans="2:36" ht="28.5" customHeight="1" x14ac:dyDescent="0.2">
      <c r="B74" s="365" t="s">
        <v>838</v>
      </c>
      <c r="C74" s="467"/>
      <c r="D74" s="467"/>
      <c r="E74" s="467"/>
      <c r="F74" s="467"/>
      <c r="G74" s="467"/>
      <c r="H74" s="467"/>
      <c r="I74" s="467"/>
      <c r="J74" s="467"/>
      <c r="K74" s="1525"/>
      <c r="L74" s="408"/>
      <c r="M74" s="365" t="s">
        <v>844</v>
      </c>
      <c r="N74" s="1559" t="s">
        <v>1477</v>
      </c>
      <c r="O74" s="1553" t="s">
        <v>1478</v>
      </c>
      <c r="P74" s="376" t="s">
        <v>1479</v>
      </c>
      <c r="Q74" s="1499">
        <v>0.3</v>
      </c>
      <c r="R74" s="1524">
        <v>0.1</v>
      </c>
      <c r="S74" s="1499">
        <v>0.3</v>
      </c>
      <c r="T74" s="1560">
        <f>ROUND(9024*0.5,0)</f>
        <v>4512</v>
      </c>
      <c r="U74" s="371" t="s">
        <v>1203</v>
      </c>
      <c r="V74" s="1555" t="s">
        <v>114</v>
      </c>
      <c r="W74" s="486">
        <f>IF(T74=0,0,1)</f>
        <v>1</v>
      </c>
      <c r="X74" s="408"/>
      <c r="Y74" s="365" t="s">
        <v>841</v>
      </c>
      <c r="Z74" s="502"/>
      <c r="AA74" s="495"/>
      <c r="AB74" s="495"/>
      <c r="AC74" s="503"/>
      <c r="AD74" s="503"/>
      <c r="AE74" s="503"/>
      <c r="AF74" s="503"/>
      <c r="AG74" s="486"/>
      <c r="AH74" s="486"/>
      <c r="AI74" s="486"/>
      <c r="AJ74" s="496"/>
    </row>
    <row r="75" spans="2:36" ht="28.5" customHeight="1" x14ac:dyDescent="0.2">
      <c r="B75" s="365" t="s">
        <v>843</v>
      </c>
      <c r="C75" s="467"/>
      <c r="D75" s="467"/>
      <c r="E75" s="467"/>
      <c r="F75" s="467"/>
      <c r="G75" s="467"/>
      <c r="H75" s="467"/>
      <c r="I75" s="467"/>
      <c r="J75" s="467"/>
      <c r="K75" s="1525"/>
      <c r="L75" s="408"/>
      <c r="M75" s="365" t="s">
        <v>852</v>
      </c>
      <c r="N75" s="1561"/>
      <c r="O75" s="1553" t="s">
        <v>1480</v>
      </c>
      <c r="P75" s="376" t="s">
        <v>1481</v>
      </c>
      <c r="Q75" s="1499">
        <v>0.3</v>
      </c>
      <c r="R75" s="1524">
        <v>0.1</v>
      </c>
      <c r="S75" s="1499">
        <v>0.3</v>
      </c>
      <c r="T75" s="1560">
        <f>ROUND(1275*0.5,0)</f>
        <v>638</v>
      </c>
      <c r="U75" s="371" t="s">
        <v>1070</v>
      </c>
      <c r="V75" s="1555" t="s">
        <v>114</v>
      </c>
      <c r="W75" s="486">
        <f>IF(T75=0,0,1)</f>
        <v>1</v>
      </c>
      <c r="X75" s="408"/>
      <c r="Y75" s="365" t="s">
        <v>846</v>
      </c>
      <c r="Z75" s="502"/>
      <c r="AA75" s="495"/>
      <c r="AB75" s="495"/>
      <c r="AC75" s="503"/>
      <c r="AD75" s="503"/>
      <c r="AE75" s="503"/>
      <c r="AF75" s="503"/>
      <c r="AG75" s="486"/>
      <c r="AH75" s="486"/>
      <c r="AI75" s="486"/>
      <c r="AJ75" s="496"/>
    </row>
    <row r="76" spans="2:36" ht="28.5" customHeight="1" x14ac:dyDescent="0.2">
      <c r="B76" s="365" t="s">
        <v>851</v>
      </c>
      <c r="C76" s="467"/>
      <c r="D76" s="467"/>
      <c r="E76" s="467"/>
      <c r="F76" s="467"/>
      <c r="G76" s="467"/>
      <c r="H76" s="467"/>
      <c r="I76" s="467"/>
      <c r="J76" s="467"/>
      <c r="K76" s="1525"/>
      <c r="L76" s="408"/>
      <c r="M76" s="365" t="s">
        <v>859</v>
      </c>
      <c r="N76" s="1553" t="s">
        <v>1482</v>
      </c>
      <c r="O76" s="1553" t="s">
        <v>1482</v>
      </c>
      <c r="P76" s="499" t="s">
        <v>1483</v>
      </c>
      <c r="Q76" s="1499">
        <v>0.3</v>
      </c>
      <c r="R76" s="1524">
        <v>0.1</v>
      </c>
      <c r="S76" s="1499">
        <v>0.3</v>
      </c>
      <c r="T76" s="411">
        <v>1000</v>
      </c>
      <c r="U76" s="371" t="s">
        <v>1070</v>
      </c>
      <c r="V76" s="1555" t="s">
        <v>114</v>
      </c>
      <c r="W76" s="486"/>
      <c r="X76" s="408"/>
      <c r="Y76" s="365" t="s">
        <v>854</v>
      </c>
      <c r="Z76" s="502"/>
      <c r="AA76" s="495"/>
      <c r="AB76" s="495"/>
      <c r="AC76" s="503"/>
      <c r="AD76" s="503"/>
      <c r="AE76" s="503"/>
      <c r="AF76" s="503"/>
      <c r="AG76" s="486"/>
      <c r="AH76" s="486"/>
      <c r="AI76" s="486"/>
      <c r="AJ76" s="496"/>
    </row>
    <row r="77" spans="2:36" ht="28.5" customHeight="1" x14ac:dyDescent="0.2">
      <c r="B77" s="365" t="s">
        <v>858</v>
      </c>
      <c r="C77" s="498"/>
      <c r="D77" s="498"/>
      <c r="E77" s="498"/>
      <c r="F77" s="498"/>
      <c r="G77" s="498"/>
      <c r="H77" s="498"/>
      <c r="I77" s="498"/>
      <c r="J77" s="498"/>
      <c r="K77" s="1562"/>
      <c r="L77" s="408"/>
      <c r="M77" s="365" t="s">
        <v>867</v>
      </c>
      <c r="N77" s="1554" t="s">
        <v>1310</v>
      </c>
      <c r="O77" s="1553" t="s">
        <v>1484</v>
      </c>
      <c r="P77" s="376" t="s">
        <v>1485</v>
      </c>
      <c r="Q77" s="1499">
        <v>0.3</v>
      </c>
      <c r="R77" s="1524">
        <v>0.1</v>
      </c>
      <c r="S77" s="1499">
        <v>0.3</v>
      </c>
      <c r="T77" s="411">
        <v>100</v>
      </c>
      <c r="U77" s="371" t="s">
        <v>1203</v>
      </c>
      <c r="V77" s="1555" t="s">
        <v>114</v>
      </c>
      <c r="W77" s="486"/>
      <c r="X77" s="408"/>
      <c r="Y77" s="365" t="s">
        <v>861</v>
      </c>
      <c r="Z77" s="502"/>
      <c r="AA77" s="495"/>
      <c r="AB77" s="495"/>
      <c r="AC77" s="503"/>
      <c r="AD77" s="503"/>
      <c r="AE77" s="503"/>
      <c r="AF77" s="503"/>
      <c r="AG77" s="486"/>
      <c r="AH77" s="486"/>
      <c r="AI77" s="486"/>
      <c r="AJ77" s="496"/>
    </row>
    <row r="78" spans="2:36" ht="28.5" customHeight="1" x14ac:dyDescent="0.2">
      <c r="B78" s="365" t="s">
        <v>1486</v>
      </c>
      <c r="C78" s="498"/>
      <c r="D78" s="498"/>
      <c r="E78" s="498"/>
      <c r="F78" s="498"/>
      <c r="G78" s="498"/>
      <c r="H78" s="498"/>
      <c r="I78" s="498"/>
      <c r="J78" s="498"/>
      <c r="K78" s="1562"/>
      <c r="L78" s="408"/>
      <c r="M78" s="365" t="s">
        <v>874</v>
      </c>
      <c r="N78" s="1557"/>
      <c r="O78" s="1553" t="s">
        <v>1487</v>
      </c>
      <c r="P78" s="376" t="s">
        <v>1488</v>
      </c>
      <c r="Q78" s="1499">
        <v>0.3</v>
      </c>
      <c r="R78" s="1524">
        <v>0.1</v>
      </c>
      <c r="S78" s="1499">
        <v>0.3</v>
      </c>
      <c r="T78" s="411">
        <v>100</v>
      </c>
      <c r="U78" s="371" t="s">
        <v>1203</v>
      </c>
      <c r="V78" s="1555" t="s">
        <v>114</v>
      </c>
      <c r="W78" s="486"/>
      <c r="X78" s="408"/>
      <c r="Y78" s="365" t="s">
        <v>869</v>
      </c>
      <c r="Z78" s="502"/>
      <c r="AA78" s="495"/>
      <c r="AB78" s="495"/>
      <c r="AC78" s="503"/>
      <c r="AD78" s="503"/>
      <c r="AE78" s="503"/>
      <c r="AF78" s="503"/>
      <c r="AG78" s="486"/>
      <c r="AH78" s="486"/>
      <c r="AI78" s="486"/>
      <c r="AJ78" s="496"/>
    </row>
    <row r="79" spans="2:36" ht="45" customHeight="1" x14ac:dyDescent="0.2">
      <c r="B79" s="365" t="s">
        <v>873</v>
      </c>
      <c r="C79" s="498"/>
      <c r="D79" s="498"/>
      <c r="E79" s="498"/>
      <c r="F79" s="498"/>
      <c r="G79" s="498"/>
      <c r="H79" s="498"/>
      <c r="I79" s="498"/>
      <c r="J79" s="498"/>
      <c r="K79" s="1562"/>
      <c r="L79" s="408"/>
      <c r="M79" s="365" t="s">
        <v>880</v>
      </c>
      <c r="N79" s="1559" t="s">
        <v>314</v>
      </c>
      <c r="O79" s="1559" t="s">
        <v>314</v>
      </c>
      <c r="P79" s="376" t="s">
        <v>1049</v>
      </c>
      <c r="Q79" s="1499">
        <v>0.3</v>
      </c>
      <c r="R79" s="1524">
        <v>0.1</v>
      </c>
      <c r="S79" s="1499">
        <v>0.3</v>
      </c>
      <c r="T79" s="411">
        <v>0</v>
      </c>
      <c r="U79" s="371" t="s">
        <v>1489</v>
      </c>
      <c r="V79" s="1555" t="s">
        <v>114</v>
      </c>
      <c r="W79" s="486"/>
      <c r="X79" s="408"/>
      <c r="Y79" s="365" t="s">
        <v>876</v>
      </c>
      <c r="Z79" s="502"/>
      <c r="AA79" s="495"/>
      <c r="AB79" s="495"/>
      <c r="AC79" s="503"/>
      <c r="AD79" s="503"/>
      <c r="AE79" s="503"/>
      <c r="AF79" s="503"/>
      <c r="AG79" s="486"/>
      <c r="AH79" s="486"/>
      <c r="AI79" s="486"/>
      <c r="AJ79" s="496"/>
    </row>
    <row r="80" spans="2:36" ht="45" customHeight="1" x14ac:dyDescent="0.2">
      <c r="B80" s="365" t="s">
        <v>879</v>
      </c>
      <c r="C80" s="498"/>
      <c r="D80" s="498"/>
      <c r="E80" s="498"/>
      <c r="F80" s="498"/>
      <c r="G80" s="498"/>
      <c r="H80" s="498"/>
      <c r="I80" s="498"/>
      <c r="J80" s="498"/>
      <c r="K80" s="1562"/>
      <c r="L80" s="408"/>
      <c r="M80" s="365" t="s">
        <v>886</v>
      </c>
      <c r="N80" s="1561"/>
      <c r="O80" s="1561"/>
      <c r="P80" s="376" t="s">
        <v>1050</v>
      </c>
      <c r="Q80" s="1499">
        <v>0.3</v>
      </c>
      <c r="R80" s="1524">
        <v>0.1</v>
      </c>
      <c r="S80" s="1499">
        <v>0.3</v>
      </c>
      <c r="T80" s="411">
        <v>0</v>
      </c>
      <c r="U80" s="371" t="s">
        <v>1489</v>
      </c>
      <c r="V80" s="1555" t="s">
        <v>114</v>
      </c>
      <c r="W80" s="486"/>
      <c r="X80" s="408"/>
      <c r="Y80" s="365" t="s">
        <v>883</v>
      </c>
      <c r="Z80" s="502"/>
      <c r="AA80" s="495"/>
      <c r="AB80" s="495"/>
      <c r="AC80" s="503"/>
      <c r="AD80" s="503"/>
      <c r="AE80" s="503"/>
      <c r="AF80" s="503"/>
      <c r="AG80" s="486"/>
      <c r="AH80" s="1563" t="s">
        <v>1490</v>
      </c>
      <c r="AI80" s="486"/>
      <c r="AJ80" s="496"/>
    </row>
    <row r="81" spans="2:36" ht="34.5" customHeight="1" x14ac:dyDescent="0.2">
      <c r="B81" s="365" t="s">
        <v>885</v>
      </c>
      <c r="C81" s="498"/>
      <c r="D81" s="498"/>
      <c r="E81" s="498"/>
      <c r="F81" s="498"/>
      <c r="G81" s="498"/>
      <c r="H81" s="498"/>
      <c r="I81" s="498"/>
      <c r="J81" s="498"/>
      <c r="K81" s="1562"/>
      <c r="L81" s="408"/>
      <c r="M81" s="365" t="s">
        <v>890</v>
      </c>
      <c r="N81" s="1564" t="s">
        <v>308</v>
      </c>
      <c r="O81" s="1564" t="s">
        <v>308</v>
      </c>
      <c r="P81" s="1565" t="s">
        <v>1491</v>
      </c>
      <c r="Q81" s="1566"/>
      <c r="R81" s="1566"/>
      <c r="S81" s="1567">
        <v>0.3</v>
      </c>
      <c r="T81" s="1568">
        <v>0</v>
      </c>
      <c r="U81" s="1566" t="s">
        <v>1489</v>
      </c>
      <c r="V81" s="1569" t="s">
        <v>114</v>
      </c>
      <c r="W81" s="1570"/>
      <c r="X81" s="1571" t="s">
        <v>772</v>
      </c>
      <c r="Y81" s="365" t="s">
        <v>887</v>
      </c>
      <c r="Z81" s="502"/>
      <c r="AA81" s="495"/>
      <c r="AB81" s="495"/>
      <c r="AC81" s="503"/>
      <c r="AD81" s="503"/>
      <c r="AE81" s="503"/>
      <c r="AF81" s="503"/>
      <c r="AG81" s="486"/>
      <c r="AH81" s="486"/>
      <c r="AI81" s="486"/>
      <c r="AJ81" s="496"/>
    </row>
    <row r="82" spans="2:36" ht="28.5" customHeight="1" x14ac:dyDescent="0.2">
      <c r="B82" s="365" t="s">
        <v>889</v>
      </c>
      <c r="C82" s="498"/>
      <c r="D82" s="498"/>
      <c r="E82" s="498"/>
      <c r="F82" s="498"/>
      <c r="G82" s="498"/>
      <c r="H82" s="498"/>
      <c r="I82" s="498"/>
      <c r="J82" s="498"/>
      <c r="K82" s="1562"/>
      <c r="L82" s="500"/>
      <c r="M82" s="365" t="s">
        <v>899</v>
      </c>
      <c r="N82" s="1572"/>
      <c r="O82" s="1572"/>
      <c r="P82" s="1565" t="s">
        <v>1492</v>
      </c>
      <c r="Q82" s="1566"/>
      <c r="R82" s="1566"/>
      <c r="S82" s="1567">
        <v>0.3</v>
      </c>
      <c r="T82" s="1568">
        <v>0</v>
      </c>
      <c r="U82" s="1566" t="s">
        <v>1489</v>
      </c>
      <c r="V82" s="1569" t="s">
        <v>114</v>
      </c>
      <c r="W82" s="1570"/>
      <c r="X82" s="1571" t="s">
        <v>772</v>
      </c>
      <c r="Y82" s="365" t="s">
        <v>893</v>
      </c>
      <c r="Z82" s="502"/>
      <c r="AA82" s="495"/>
      <c r="AB82" s="495"/>
      <c r="AC82" s="503"/>
      <c r="AD82" s="503"/>
      <c r="AE82" s="503"/>
      <c r="AF82" s="503"/>
      <c r="AG82" s="486"/>
      <c r="AH82" s="486"/>
      <c r="AI82" s="486"/>
      <c r="AJ82" s="496"/>
    </row>
    <row r="83" spans="2:36" ht="28.5" customHeight="1" x14ac:dyDescent="0.2">
      <c r="B83" s="365" t="s">
        <v>898</v>
      </c>
      <c r="C83" s="498"/>
      <c r="D83" s="498"/>
      <c r="E83" s="498"/>
      <c r="F83" s="498"/>
      <c r="G83" s="498"/>
      <c r="H83" s="498"/>
      <c r="I83" s="498"/>
      <c r="J83" s="498"/>
      <c r="K83" s="1562"/>
      <c r="L83" s="500"/>
      <c r="M83" s="365" t="s">
        <v>907</v>
      </c>
      <c r="N83" s="1572"/>
      <c r="O83" s="1572"/>
      <c r="P83" s="1565" t="s">
        <v>1493</v>
      </c>
      <c r="Q83" s="1566"/>
      <c r="R83" s="1566"/>
      <c r="S83" s="1567">
        <v>0.3</v>
      </c>
      <c r="T83" s="1568">
        <v>0</v>
      </c>
      <c r="U83" s="1566" t="s">
        <v>1489</v>
      </c>
      <c r="V83" s="1569" t="s">
        <v>114</v>
      </c>
      <c r="W83" s="1570"/>
      <c r="X83" s="1571" t="s">
        <v>772</v>
      </c>
      <c r="Y83" s="365" t="s">
        <v>905</v>
      </c>
      <c r="Z83" s="502"/>
      <c r="AA83" s="495"/>
      <c r="AB83" s="495"/>
      <c r="AC83" s="503"/>
      <c r="AD83" s="503"/>
      <c r="AE83" s="503"/>
      <c r="AF83" s="503"/>
      <c r="AG83" s="486"/>
      <c r="AH83" s="486"/>
      <c r="AI83" s="486"/>
      <c r="AJ83" s="496"/>
    </row>
    <row r="84" spans="2:36" ht="28.5" customHeight="1" x14ac:dyDescent="0.2">
      <c r="B84" s="365" t="s">
        <v>906</v>
      </c>
      <c r="C84" s="498"/>
      <c r="D84" s="498"/>
      <c r="E84" s="498"/>
      <c r="F84" s="498"/>
      <c r="G84" s="498"/>
      <c r="H84" s="498"/>
      <c r="I84" s="498"/>
      <c r="J84" s="498"/>
      <c r="K84" s="1562"/>
      <c r="L84" s="500"/>
      <c r="M84" s="365" t="s">
        <v>911</v>
      </c>
      <c r="N84" s="1573"/>
      <c r="O84" s="1573"/>
      <c r="P84" s="1565" t="s">
        <v>1494</v>
      </c>
      <c r="Q84" s="1566"/>
      <c r="R84" s="1566"/>
      <c r="S84" s="1567">
        <v>0.3</v>
      </c>
      <c r="T84" s="1568">
        <v>0</v>
      </c>
      <c r="U84" s="1566" t="s">
        <v>1489</v>
      </c>
      <c r="V84" s="1569" t="s">
        <v>114</v>
      </c>
      <c r="W84" s="1570"/>
      <c r="X84" s="1571" t="s">
        <v>772</v>
      </c>
      <c r="Y84" s="365" t="s">
        <v>908</v>
      </c>
      <c r="Z84" s="502"/>
      <c r="AA84" s="495"/>
      <c r="AB84" s="495"/>
      <c r="AC84" s="503"/>
      <c r="AD84" s="503"/>
      <c r="AE84" s="503"/>
      <c r="AF84" s="503"/>
      <c r="AG84" s="486"/>
      <c r="AH84" s="486"/>
      <c r="AI84" s="486"/>
      <c r="AJ84" s="496"/>
    </row>
    <row r="85" spans="2:36" ht="28.5" customHeight="1" x14ac:dyDescent="0.2">
      <c r="B85" s="365" t="s">
        <v>910</v>
      </c>
      <c r="C85" s="498"/>
      <c r="D85" s="498"/>
      <c r="E85" s="498"/>
      <c r="F85" s="498"/>
      <c r="G85" s="498"/>
      <c r="H85" s="498"/>
      <c r="I85" s="498"/>
      <c r="J85" s="498"/>
      <c r="K85" s="1562"/>
      <c r="L85" s="500"/>
      <c r="M85" s="365" t="s">
        <v>914</v>
      </c>
      <c r="N85" s="501" t="s">
        <v>900</v>
      </c>
      <c r="O85" s="1553" t="s">
        <v>901</v>
      </c>
      <c r="P85" s="424" t="s">
        <v>902</v>
      </c>
      <c r="Q85" s="371"/>
      <c r="R85" s="371"/>
      <c r="S85" s="1499">
        <v>0.3</v>
      </c>
      <c r="T85" s="411">
        <v>6</v>
      </c>
      <c r="U85" s="371" t="s">
        <v>903</v>
      </c>
      <c r="V85" s="1555" t="s">
        <v>114</v>
      </c>
      <c r="W85" s="486"/>
      <c r="X85" s="500" t="s">
        <v>904</v>
      </c>
      <c r="Y85" s="365" t="s">
        <v>912</v>
      </c>
      <c r="Z85" s="502"/>
      <c r="AA85" s="495"/>
      <c r="AB85" s="495"/>
      <c r="AC85" s="503"/>
      <c r="AD85" s="503"/>
      <c r="AE85" s="503"/>
      <c r="AF85" s="503"/>
      <c r="AG85" s="486"/>
      <c r="AH85" s="486"/>
      <c r="AI85" s="486"/>
      <c r="AJ85" s="496"/>
    </row>
    <row r="86" spans="2:36" ht="28.5" customHeight="1" x14ac:dyDescent="0.2">
      <c r="B86" s="365" t="s">
        <v>913</v>
      </c>
      <c r="C86" s="498"/>
      <c r="D86" s="498"/>
      <c r="E86" s="498"/>
      <c r="F86" s="498"/>
      <c r="G86" s="498"/>
      <c r="H86" s="498"/>
      <c r="I86" s="498"/>
      <c r="J86" s="498"/>
      <c r="K86" s="1562"/>
      <c r="L86" s="500"/>
      <c r="M86" s="365" t="s">
        <v>917</v>
      </c>
      <c r="N86" s="1502" t="s">
        <v>1238</v>
      </c>
      <c r="O86" s="1502" t="s">
        <v>1238</v>
      </c>
      <c r="P86" s="406" t="s">
        <v>1239</v>
      </c>
      <c r="Q86" s="1499">
        <v>0.3</v>
      </c>
      <c r="R86" s="1524">
        <v>0.1</v>
      </c>
      <c r="S86" s="1499">
        <v>0.3</v>
      </c>
      <c r="T86" s="437" t="s">
        <v>114</v>
      </c>
      <c r="U86" s="371"/>
      <c r="V86" s="1555"/>
      <c r="W86" s="486"/>
      <c r="X86" s="408"/>
      <c r="Y86" s="365" t="s">
        <v>915</v>
      </c>
      <c r="Z86" s="502"/>
      <c r="AA86" s="495"/>
      <c r="AB86" s="495"/>
      <c r="AC86" s="503"/>
      <c r="AD86" s="503"/>
      <c r="AE86" s="503"/>
      <c r="AF86" s="503"/>
      <c r="AG86" s="486"/>
      <c r="AH86" s="486"/>
      <c r="AI86" s="486"/>
      <c r="AJ86" s="496"/>
    </row>
    <row r="87" spans="2:36" ht="28.5" customHeight="1" x14ac:dyDescent="0.2">
      <c r="B87" s="365" t="s">
        <v>1495</v>
      </c>
      <c r="C87" s="498"/>
      <c r="D87" s="498"/>
      <c r="E87" s="498"/>
      <c r="F87" s="498"/>
      <c r="G87" s="498"/>
      <c r="H87" s="498"/>
      <c r="I87" s="498"/>
      <c r="J87" s="498"/>
      <c r="K87" s="1562"/>
      <c r="L87" s="500"/>
      <c r="M87" s="365" t="s">
        <v>1496</v>
      </c>
      <c r="N87" s="1509"/>
      <c r="O87" s="1509"/>
      <c r="P87" s="406" t="s">
        <v>1241</v>
      </c>
      <c r="Q87" s="1499">
        <v>0.3</v>
      </c>
      <c r="R87" s="1524">
        <v>0.1</v>
      </c>
      <c r="S87" s="1499">
        <v>0.3</v>
      </c>
      <c r="T87" s="437" t="s">
        <v>114</v>
      </c>
      <c r="U87" s="371"/>
      <c r="V87" s="1555"/>
      <c r="W87" s="486"/>
      <c r="X87" s="408"/>
      <c r="Y87" s="1574"/>
      <c r="Z87" s="502"/>
      <c r="AA87" s="495"/>
      <c r="AB87" s="495"/>
      <c r="AC87" s="503"/>
      <c r="AD87" s="503"/>
      <c r="AE87" s="503"/>
      <c r="AF87" s="503"/>
      <c r="AG87" s="486"/>
      <c r="AH87" s="486"/>
      <c r="AI87" s="486"/>
      <c r="AJ87" s="496"/>
    </row>
    <row r="88" spans="2:36" ht="28.5" customHeight="1" x14ac:dyDescent="0.2">
      <c r="B88" s="365" t="s">
        <v>1497</v>
      </c>
      <c r="C88" s="498"/>
      <c r="D88" s="498"/>
      <c r="E88" s="498"/>
      <c r="F88" s="498"/>
      <c r="G88" s="498"/>
      <c r="H88" s="498"/>
      <c r="I88" s="498"/>
      <c r="J88" s="498"/>
      <c r="K88" s="1562"/>
      <c r="L88" s="500"/>
      <c r="M88" s="365" t="s">
        <v>1498</v>
      </c>
      <c r="N88" s="1509"/>
      <c r="O88" s="1509"/>
      <c r="P88" s="1575" t="s">
        <v>1499</v>
      </c>
      <c r="Q88" s="1499">
        <v>0.3</v>
      </c>
      <c r="R88" s="1524">
        <v>0.1</v>
      </c>
      <c r="S88" s="1499">
        <v>0.3</v>
      </c>
      <c r="T88" s="437" t="s">
        <v>114</v>
      </c>
      <c r="U88" s="371"/>
      <c r="V88" s="1555"/>
      <c r="W88" s="486"/>
      <c r="X88" s="408"/>
      <c r="Y88" s="1574"/>
      <c r="Z88" s="502"/>
      <c r="AA88" s="495"/>
      <c r="AB88" s="495"/>
      <c r="AC88" s="503"/>
      <c r="AD88" s="503"/>
      <c r="AE88" s="503"/>
      <c r="AF88" s="503"/>
      <c r="AG88" s="486"/>
      <c r="AH88" s="486"/>
      <c r="AI88" s="486"/>
      <c r="AJ88" s="496"/>
    </row>
    <row r="89" spans="2:36" ht="118.5" customHeight="1" x14ac:dyDescent="0.2">
      <c r="B89" s="365" t="s">
        <v>1500</v>
      </c>
      <c r="C89" s="498"/>
      <c r="D89" s="498"/>
      <c r="E89" s="498"/>
      <c r="F89" s="498"/>
      <c r="G89" s="498"/>
      <c r="H89" s="498"/>
      <c r="I89" s="498"/>
      <c r="J89" s="498"/>
      <c r="K89" s="1562"/>
      <c r="L89" s="500"/>
      <c r="M89" s="365" t="s">
        <v>1501</v>
      </c>
      <c r="N89" s="1509"/>
      <c r="O89" s="1509"/>
      <c r="P89" s="1575" t="s">
        <v>1502</v>
      </c>
      <c r="Q89" s="437" t="s">
        <v>114</v>
      </c>
      <c r="R89" s="437" t="s">
        <v>114</v>
      </c>
      <c r="S89" s="437" t="s">
        <v>114</v>
      </c>
      <c r="T89" s="499"/>
      <c r="U89" s="371"/>
      <c r="V89" s="1555"/>
      <c r="W89" s="486"/>
      <c r="X89" s="408"/>
      <c r="Y89" s="1574"/>
      <c r="Z89" s="502"/>
      <c r="AA89" s="495"/>
      <c r="AB89" s="495"/>
      <c r="AC89" s="503"/>
      <c r="AD89" s="503"/>
      <c r="AE89" s="503"/>
      <c r="AF89" s="503"/>
      <c r="AG89" s="486"/>
      <c r="AH89" s="486"/>
      <c r="AI89" s="486"/>
      <c r="AJ89" s="496"/>
    </row>
    <row r="90" spans="2:36" ht="36" customHeight="1" x14ac:dyDescent="0.2">
      <c r="B90" s="365" t="s">
        <v>1503</v>
      </c>
      <c r="C90" s="498"/>
      <c r="D90" s="498"/>
      <c r="E90" s="498"/>
      <c r="F90" s="498"/>
      <c r="G90" s="498"/>
      <c r="H90" s="498"/>
      <c r="I90" s="498"/>
      <c r="J90" s="498"/>
      <c r="K90" s="1562"/>
      <c r="L90" s="500"/>
      <c r="M90" s="365" t="s">
        <v>1504</v>
      </c>
      <c r="N90" s="1509"/>
      <c r="O90" s="1509"/>
      <c r="P90" s="503" t="s">
        <v>1246</v>
      </c>
      <c r="Q90" s="1499">
        <v>0.3</v>
      </c>
      <c r="R90" s="1524">
        <v>0.1</v>
      </c>
      <c r="S90" s="1499">
        <v>0.3</v>
      </c>
      <c r="T90" s="437" t="s">
        <v>114</v>
      </c>
      <c r="U90" s="371"/>
      <c r="V90" s="1555"/>
      <c r="W90" s="486"/>
      <c r="X90" s="408"/>
      <c r="Y90" s="1574"/>
      <c r="Z90" s="502"/>
      <c r="AA90" s="495"/>
      <c r="AB90" s="495"/>
      <c r="AC90" s="503"/>
      <c r="AD90" s="503"/>
      <c r="AE90" s="503"/>
      <c r="AF90" s="503"/>
      <c r="AG90" s="486"/>
      <c r="AH90" s="486"/>
      <c r="AI90" s="486"/>
      <c r="AJ90" s="496"/>
    </row>
    <row r="91" spans="2:36" ht="28.5" customHeight="1" x14ac:dyDescent="0.2">
      <c r="B91" s="365" t="s">
        <v>1505</v>
      </c>
      <c r="C91" s="498"/>
      <c r="D91" s="498"/>
      <c r="E91" s="498"/>
      <c r="F91" s="498"/>
      <c r="G91" s="498"/>
      <c r="H91" s="498"/>
      <c r="I91" s="498"/>
      <c r="J91" s="498"/>
      <c r="K91" s="1562"/>
      <c r="L91" s="500"/>
      <c r="M91" s="365" t="s">
        <v>1506</v>
      </c>
      <c r="N91" s="1509"/>
      <c r="O91" s="1509"/>
      <c r="P91" s="503" t="s">
        <v>1247</v>
      </c>
      <c r="Q91" s="1499">
        <v>0.3</v>
      </c>
      <c r="R91" s="1524">
        <v>0.1</v>
      </c>
      <c r="S91" s="1499">
        <v>0.3</v>
      </c>
      <c r="T91" s="437" t="s">
        <v>114</v>
      </c>
      <c r="U91" s="371"/>
      <c r="V91" s="1555"/>
      <c r="W91" s="486"/>
      <c r="X91" s="408"/>
      <c r="Y91" s="1574"/>
      <c r="Z91" s="502"/>
      <c r="AA91" s="495"/>
      <c r="AB91" s="495"/>
      <c r="AC91" s="503"/>
      <c r="AD91" s="503"/>
      <c r="AE91" s="503"/>
      <c r="AF91" s="503"/>
      <c r="AG91" s="486"/>
      <c r="AH91" s="486"/>
      <c r="AI91" s="486"/>
      <c r="AJ91" s="496"/>
    </row>
    <row r="92" spans="2:36" ht="28.5" customHeight="1" x14ac:dyDescent="0.2">
      <c r="B92" s="365" t="s">
        <v>1507</v>
      </c>
      <c r="C92" s="498"/>
      <c r="D92" s="498"/>
      <c r="E92" s="498"/>
      <c r="F92" s="498"/>
      <c r="G92" s="498"/>
      <c r="H92" s="498"/>
      <c r="I92" s="498"/>
      <c r="J92" s="498"/>
      <c r="K92" s="1562"/>
      <c r="L92" s="500"/>
      <c r="M92" s="365" t="s">
        <v>1508</v>
      </c>
      <c r="N92" s="1535"/>
      <c r="O92" s="1535"/>
      <c r="P92" s="503" t="s">
        <v>1250</v>
      </c>
      <c r="Q92" s="1499">
        <v>0.3</v>
      </c>
      <c r="R92" s="1524">
        <v>0.1</v>
      </c>
      <c r="S92" s="1499">
        <v>0.3</v>
      </c>
      <c r="T92" s="437" t="s">
        <v>114</v>
      </c>
      <c r="U92" s="371"/>
      <c r="V92" s="1555"/>
      <c r="W92" s="486"/>
      <c r="X92" s="408"/>
      <c r="Y92" s="1574"/>
      <c r="Z92" s="502"/>
      <c r="AA92" s="495"/>
      <c r="AB92" s="495"/>
      <c r="AC92" s="503"/>
      <c r="AD92" s="503"/>
      <c r="AE92" s="503"/>
      <c r="AF92" s="503"/>
      <c r="AG92" s="486"/>
      <c r="AH92" s="486"/>
      <c r="AI92" s="486"/>
      <c r="AJ92" s="496"/>
    </row>
    <row r="93" spans="2:36" ht="28.5" customHeight="1" x14ac:dyDescent="0.2">
      <c r="B93" s="365" t="s">
        <v>1509</v>
      </c>
      <c r="C93" s="498"/>
      <c r="D93" s="498"/>
      <c r="E93" s="498"/>
      <c r="F93" s="498"/>
      <c r="G93" s="498"/>
      <c r="H93" s="498"/>
      <c r="I93" s="498"/>
      <c r="J93" s="498"/>
      <c r="K93" s="1562"/>
      <c r="L93" s="500"/>
      <c r="M93" s="365" t="s">
        <v>1510</v>
      </c>
      <c r="N93" s="1576" t="s">
        <v>891</v>
      </c>
      <c r="O93" s="1577" t="s">
        <v>892</v>
      </c>
      <c r="P93" s="499" t="s">
        <v>389</v>
      </c>
      <c r="Q93" s="1499">
        <v>0.3</v>
      </c>
      <c r="R93" s="1524">
        <v>0.1</v>
      </c>
      <c r="S93" s="1499">
        <v>0.3</v>
      </c>
      <c r="T93" s="437" t="s">
        <v>114</v>
      </c>
      <c r="U93" s="371"/>
      <c r="V93" s="1555"/>
      <c r="W93" s="486"/>
      <c r="X93" s="408"/>
      <c r="Y93" s="1574"/>
      <c r="Z93" s="502"/>
      <c r="AA93" s="495"/>
      <c r="AB93" s="495"/>
      <c r="AC93" s="503"/>
      <c r="AD93" s="503"/>
      <c r="AE93" s="503"/>
      <c r="AF93" s="503"/>
      <c r="AG93" s="486"/>
      <c r="AH93" s="486"/>
      <c r="AI93" s="486"/>
      <c r="AJ93" s="496"/>
    </row>
    <row r="94" spans="2:36" ht="28.5" customHeight="1" x14ac:dyDescent="0.2">
      <c r="B94" s="365" t="s">
        <v>1511</v>
      </c>
      <c r="C94" s="498"/>
      <c r="D94" s="498"/>
      <c r="E94" s="498"/>
      <c r="F94" s="498"/>
      <c r="G94" s="498"/>
      <c r="H94" s="498"/>
      <c r="I94" s="498"/>
      <c r="J94" s="498"/>
      <c r="K94" s="1562"/>
      <c r="L94" s="500"/>
      <c r="M94" s="365" t="s">
        <v>1512</v>
      </c>
      <c r="N94" s="1553"/>
      <c r="O94" s="1553"/>
      <c r="P94" s="499"/>
      <c r="Q94" s="499"/>
      <c r="R94" s="499"/>
      <c r="S94" s="499"/>
      <c r="T94" s="437"/>
      <c r="U94" s="371"/>
      <c r="V94" s="1555"/>
      <c r="W94" s="486"/>
      <c r="X94" s="408"/>
      <c r="Y94" s="1574"/>
      <c r="Z94" s="502"/>
      <c r="AA94" s="495"/>
      <c r="AB94" s="495"/>
      <c r="AC94" s="503"/>
      <c r="AD94" s="503"/>
      <c r="AE94" s="503"/>
      <c r="AF94" s="503"/>
      <c r="AG94" s="486"/>
      <c r="AH94" s="486"/>
      <c r="AI94" s="486"/>
      <c r="AJ94" s="496"/>
    </row>
    <row r="95" spans="2:36" ht="28.5" customHeight="1" x14ac:dyDescent="0.2">
      <c r="B95" s="365" t="s">
        <v>1513</v>
      </c>
      <c r="C95" s="498"/>
      <c r="D95" s="498"/>
      <c r="E95" s="498"/>
      <c r="F95" s="498"/>
      <c r="G95" s="498"/>
      <c r="H95" s="498"/>
      <c r="I95" s="498"/>
      <c r="J95" s="498"/>
      <c r="K95" s="1562"/>
      <c r="L95" s="500"/>
      <c r="M95" s="365" t="s">
        <v>1514</v>
      </c>
      <c r="N95" s="1553"/>
      <c r="O95" s="1553"/>
      <c r="P95" s="499"/>
      <c r="Q95" s="499"/>
      <c r="R95" s="499"/>
      <c r="S95" s="499"/>
      <c r="T95" s="437"/>
      <c r="U95" s="371"/>
      <c r="V95" s="1555"/>
      <c r="W95" s="486"/>
      <c r="X95" s="408"/>
      <c r="Y95" s="1574"/>
      <c r="Z95" s="502"/>
      <c r="AA95" s="495"/>
      <c r="AB95" s="495"/>
      <c r="AC95" s="503"/>
      <c r="AD95" s="503"/>
      <c r="AE95" s="503"/>
      <c r="AF95" s="503"/>
      <c r="AG95" s="486"/>
      <c r="AH95" s="486"/>
      <c r="AI95" s="486"/>
      <c r="AJ95" s="496"/>
    </row>
    <row r="96" spans="2:36" ht="28.5" customHeight="1" x14ac:dyDescent="0.2">
      <c r="B96" s="365" t="s">
        <v>1515</v>
      </c>
      <c r="C96" s="498"/>
      <c r="D96" s="498"/>
      <c r="E96" s="498"/>
      <c r="F96" s="498"/>
      <c r="G96" s="498"/>
      <c r="H96" s="498"/>
      <c r="I96" s="498"/>
      <c r="J96" s="498"/>
      <c r="K96" s="1562"/>
      <c r="L96" s="500"/>
      <c r="M96" s="365" t="s">
        <v>1516</v>
      </c>
      <c r="N96" s="1553"/>
      <c r="O96" s="1553"/>
      <c r="P96" s="499"/>
      <c r="Q96" s="499"/>
      <c r="R96" s="499"/>
      <c r="S96" s="499"/>
      <c r="T96" s="437"/>
      <c r="U96" s="371"/>
      <c r="V96" s="1555"/>
      <c r="W96" s="486"/>
      <c r="X96" s="408"/>
      <c r="Y96" s="1574"/>
      <c r="Z96" s="502"/>
      <c r="AA96" s="495"/>
      <c r="AB96" s="495"/>
      <c r="AC96" s="503"/>
      <c r="AD96" s="503"/>
      <c r="AE96" s="503"/>
      <c r="AF96" s="503"/>
      <c r="AG96" s="486"/>
      <c r="AH96" s="486"/>
      <c r="AI96" s="486"/>
      <c r="AJ96" s="496"/>
    </row>
    <row r="97" spans="2:36" ht="28.5" customHeight="1" x14ac:dyDescent="0.2">
      <c r="B97" s="365" t="s">
        <v>1517</v>
      </c>
      <c r="C97" s="498"/>
      <c r="D97" s="498"/>
      <c r="E97" s="498"/>
      <c r="F97" s="498"/>
      <c r="G97" s="498"/>
      <c r="H97" s="498"/>
      <c r="I97" s="498"/>
      <c r="J97" s="498"/>
      <c r="K97" s="1562"/>
      <c r="L97" s="500"/>
      <c r="M97" s="365" t="s">
        <v>1518</v>
      </c>
      <c r="N97" s="1553"/>
      <c r="O97" s="1553"/>
      <c r="P97" s="499"/>
      <c r="Q97" s="499"/>
      <c r="R97" s="499"/>
      <c r="S97" s="499"/>
      <c r="T97" s="437"/>
      <c r="U97" s="371"/>
      <c r="V97" s="1555"/>
      <c r="W97" s="486"/>
      <c r="X97" s="408"/>
      <c r="Y97" s="1574"/>
      <c r="Z97" s="502"/>
      <c r="AA97" s="495"/>
      <c r="AB97" s="495"/>
      <c r="AC97" s="503"/>
      <c r="AD97" s="503"/>
      <c r="AE97" s="503"/>
      <c r="AF97" s="503"/>
      <c r="AG97" s="486"/>
      <c r="AH97" s="486"/>
      <c r="AI97" s="486"/>
      <c r="AJ97" s="496"/>
    </row>
    <row r="98" spans="2:36" ht="28.5" customHeight="1" x14ac:dyDescent="0.2">
      <c r="B98" s="365" t="s">
        <v>1519</v>
      </c>
      <c r="C98" s="498"/>
      <c r="D98" s="498"/>
      <c r="E98" s="498"/>
      <c r="F98" s="498"/>
      <c r="G98" s="498"/>
      <c r="H98" s="498"/>
      <c r="I98" s="498"/>
      <c r="J98" s="498"/>
      <c r="K98" s="1562"/>
      <c r="L98" s="500"/>
      <c r="M98" s="365" t="s">
        <v>1520</v>
      </c>
      <c r="N98" s="1553"/>
      <c r="O98" s="1553"/>
      <c r="P98" s="499"/>
      <c r="Q98" s="499"/>
      <c r="R98" s="499"/>
      <c r="S98" s="499"/>
      <c r="T98" s="437"/>
      <c r="U98" s="371"/>
      <c r="V98" s="1555"/>
      <c r="W98" s="486"/>
      <c r="X98" s="408"/>
      <c r="Y98" s="1574"/>
      <c r="Z98" s="502"/>
      <c r="AA98" s="495"/>
      <c r="AB98" s="495"/>
      <c r="AC98" s="503"/>
      <c r="AD98" s="503"/>
      <c r="AE98" s="503"/>
      <c r="AF98" s="503"/>
      <c r="AG98" s="486"/>
      <c r="AH98" s="486"/>
      <c r="AI98" s="486"/>
      <c r="AJ98" s="496"/>
    </row>
    <row r="99" spans="2:36" ht="28.5" customHeight="1" x14ac:dyDescent="0.2">
      <c r="B99" s="365" t="s">
        <v>1521</v>
      </c>
      <c r="C99" s="498"/>
      <c r="D99" s="498"/>
      <c r="E99" s="498"/>
      <c r="F99" s="498"/>
      <c r="G99" s="498"/>
      <c r="H99" s="498"/>
      <c r="I99" s="498"/>
      <c r="J99" s="498"/>
      <c r="K99" s="1562"/>
      <c r="L99" s="500"/>
      <c r="M99" s="365" t="s">
        <v>1522</v>
      </c>
      <c r="N99" s="1553"/>
      <c r="O99" s="1553"/>
      <c r="P99" s="499"/>
      <c r="Q99" s="499"/>
      <c r="R99" s="499"/>
      <c r="S99" s="499"/>
      <c r="T99" s="437"/>
      <c r="U99" s="371"/>
      <c r="V99" s="1555"/>
      <c r="W99" s="486"/>
      <c r="X99" s="408"/>
      <c r="Y99" s="1574"/>
      <c r="Z99" s="502"/>
      <c r="AA99" s="495"/>
      <c r="AB99" s="495"/>
      <c r="AC99" s="503"/>
      <c r="AD99" s="503"/>
      <c r="AE99" s="503"/>
      <c r="AF99" s="503"/>
      <c r="AG99" s="486"/>
      <c r="AH99" s="486"/>
      <c r="AI99" s="486"/>
      <c r="AJ99" s="496"/>
    </row>
    <row r="100" spans="2:36" ht="28.5" customHeight="1" x14ac:dyDescent="0.2">
      <c r="B100" s="365" t="s">
        <v>1523</v>
      </c>
      <c r="C100" s="498"/>
      <c r="D100" s="498"/>
      <c r="E100" s="498"/>
      <c r="F100" s="498"/>
      <c r="G100" s="498"/>
      <c r="H100" s="498"/>
      <c r="I100" s="498"/>
      <c r="J100" s="498"/>
      <c r="K100" s="1562"/>
      <c r="L100" s="500"/>
      <c r="M100" s="365" t="s">
        <v>1524</v>
      </c>
      <c r="N100" s="1553"/>
      <c r="O100" s="1553"/>
      <c r="P100" s="499"/>
      <c r="Q100" s="499"/>
      <c r="R100" s="499"/>
      <c r="S100" s="499"/>
      <c r="T100" s="437"/>
      <c r="U100" s="371"/>
      <c r="V100" s="1555"/>
      <c r="W100" s="486"/>
      <c r="X100" s="408"/>
      <c r="Y100" s="1574"/>
      <c r="Z100" s="502"/>
      <c r="AA100" s="495"/>
      <c r="AB100" s="495"/>
      <c r="AC100" s="503"/>
      <c r="AD100" s="503"/>
      <c r="AE100" s="503"/>
      <c r="AF100" s="503"/>
      <c r="AG100" s="486"/>
      <c r="AH100" s="486"/>
      <c r="AI100" s="486"/>
      <c r="AJ100" s="496"/>
    </row>
    <row r="101" spans="2:36" ht="28.5" customHeight="1" x14ac:dyDescent="0.2">
      <c r="B101" s="365" t="s">
        <v>1525</v>
      </c>
      <c r="C101" s="498"/>
      <c r="D101" s="498"/>
      <c r="E101" s="498"/>
      <c r="F101" s="498"/>
      <c r="G101" s="498"/>
      <c r="H101" s="498"/>
      <c r="I101" s="498"/>
      <c r="J101" s="498"/>
      <c r="K101" s="1562"/>
      <c r="L101" s="500"/>
      <c r="M101" s="365" t="s">
        <v>1526</v>
      </c>
      <c r="N101" s="1553"/>
      <c r="O101" s="1553"/>
      <c r="P101" s="499"/>
      <c r="Q101" s="499"/>
      <c r="R101" s="499"/>
      <c r="S101" s="499"/>
      <c r="T101" s="437"/>
      <c r="U101" s="371"/>
      <c r="V101" s="1555"/>
      <c r="W101" s="486"/>
      <c r="X101" s="408"/>
      <c r="Y101" s="1574"/>
      <c r="Z101" s="502"/>
      <c r="AA101" s="495"/>
      <c r="AB101" s="495"/>
      <c r="AC101" s="503"/>
      <c r="AD101" s="503"/>
      <c r="AE101" s="503"/>
      <c r="AF101" s="503"/>
      <c r="AG101" s="486"/>
      <c r="AH101" s="486"/>
      <c r="AI101" s="486"/>
      <c r="AJ101" s="496"/>
    </row>
    <row r="102" spans="2:36" ht="28.5" customHeight="1" x14ac:dyDescent="0.2">
      <c r="B102" s="365" t="s">
        <v>1527</v>
      </c>
      <c r="C102" s="498"/>
      <c r="D102" s="498"/>
      <c r="E102" s="498"/>
      <c r="F102" s="498"/>
      <c r="G102" s="498"/>
      <c r="H102" s="498"/>
      <c r="I102" s="498"/>
      <c r="J102" s="498"/>
      <c r="K102" s="1562"/>
      <c r="L102" s="500"/>
      <c r="M102" s="365" t="s">
        <v>1528</v>
      </c>
      <c r="N102" s="1553"/>
      <c r="O102" s="1553"/>
      <c r="P102" s="499"/>
      <c r="Q102" s="499"/>
      <c r="R102" s="499"/>
      <c r="S102" s="499"/>
      <c r="T102" s="437"/>
      <c r="U102" s="371"/>
      <c r="V102" s="1555"/>
      <c r="W102" s="486"/>
      <c r="X102" s="408"/>
      <c r="Y102" s="1574"/>
      <c r="Z102" s="502"/>
      <c r="AA102" s="495"/>
      <c r="AB102" s="495"/>
      <c r="AC102" s="503"/>
      <c r="AD102" s="503"/>
      <c r="AE102" s="503"/>
      <c r="AF102" s="503"/>
      <c r="AG102" s="486"/>
      <c r="AH102" s="486"/>
      <c r="AI102" s="486"/>
      <c r="AJ102" s="496"/>
    </row>
    <row r="103" spans="2:36" ht="28.5" customHeight="1" x14ac:dyDescent="0.2">
      <c r="B103" s="365" t="s">
        <v>1529</v>
      </c>
      <c r="C103" s="498"/>
      <c r="D103" s="498"/>
      <c r="E103" s="498"/>
      <c r="F103" s="498"/>
      <c r="G103" s="498"/>
      <c r="H103" s="498"/>
      <c r="I103" s="498"/>
      <c r="J103" s="498"/>
      <c r="K103" s="1562"/>
      <c r="L103" s="500"/>
      <c r="M103" s="365" t="s">
        <v>1530</v>
      </c>
      <c r="N103" s="1553"/>
      <c r="O103" s="1553"/>
      <c r="P103" s="499"/>
      <c r="Q103" s="499"/>
      <c r="R103" s="499"/>
      <c r="S103" s="499"/>
      <c r="T103" s="437"/>
      <c r="U103" s="371"/>
      <c r="V103" s="1555"/>
      <c r="W103" s="486"/>
      <c r="X103" s="408"/>
      <c r="Y103" s="1574"/>
      <c r="Z103" s="502"/>
      <c r="AA103" s="495"/>
      <c r="AB103" s="495"/>
      <c r="AC103" s="503"/>
      <c r="AD103" s="503"/>
      <c r="AE103" s="503"/>
      <c r="AF103" s="503"/>
      <c r="AG103" s="486"/>
      <c r="AH103" s="486"/>
      <c r="AI103" s="486"/>
      <c r="AJ103" s="496"/>
    </row>
    <row r="104" spans="2:36" ht="28.5" customHeight="1" x14ac:dyDescent="0.2">
      <c r="B104" s="365" t="s">
        <v>1531</v>
      </c>
      <c r="C104" s="498"/>
      <c r="D104" s="498"/>
      <c r="E104" s="498"/>
      <c r="F104" s="498"/>
      <c r="G104" s="498"/>
      <c r="H104" s="498"/>
      <c r="I104" s="498"/>
      <c r="J104" s="498"/>
      <c r="K104" s="1562"/>
      <c r="L104" s="500"/>
      <c r="M104" s="365"/>
      <c r="N104" s="1553"/>
      <c r="O104" s="1553"/>
      <c r="P104" s="499"/>
      <c r="Q104" s="499"/>
      <c r="R104" s="499"/>
      <c r="S104" s="499"/>
      <c r="T104" s="437"/>
      <c r="U104" s="371"/>
      <c r="V104" s="1555"/>
      <c r="W104" s="486"/>
      <c r="X104" s="408"/>
      <c r="Y104" s="1574"/>
      <c r="Z104" s="502"/>
      <c r="AA104" s="495"/>
      <c r="AB104" s="495"/>
      <c r="AC104" s="503"/>
      <c r="AD104" s="503"/>
      <c r="AE104" s="503"/>
      <c r="AF104" s="503"/>
      <c r="AG104" s="486"/>
      <c r="AH104" s="486"/>
      <c r="AI104" s="486"/>
      <c r="AJ104" s="496"/>
    </row>
    <row r="105" spans="2:36" ht="28.5" customHeight="1" x14ac:dyDescent="0.2">
      <c r="B105" s="1574"/>
      <c r="C105" s="498"/>
      <c r="D105" s="498"/>
      <c r="E105" s="498"/>
      <c r="F105" s="498"/>
      <c r="G105" s="498"/>
      <c r="H105" s="498"/>
      <c r="I105" s="498"/>
      <c r="J105" s="498"/>
      <c r="K105" s="1562"/>
      <c r="L105" s="500"/>
      <c r="M105" s="365"/>
      <c r="N105" s="1553"/>
      <c r="O105" s="1553"/>
      <c r="P105" s="499"/>
      <c r="Q105" s="499"/>
      <c r="R105" s="499"/>
      <c r="S105" s="499"/>
      <c r="T105" s="437"/>
      <c r="U105" s="371"/>
      <c r="V105" s="1555"/>
      <c r="W105" s="486"/>
      <c r="X105" s="408"/>
      <c r="Y105" s="1574"/>
      <c r="Z105" s="502"/>
      <c r="AA105" s="495"/>
      <c r="AB105" s="495"/>
      <c r="AC105" s="503"/>
      <c r="AD105" s="503"/>
      <c r="AE105" s="503"/>
      <c r="AF105" s="503"/>
      <c r="AG105" s="486"/>
      <c r="AH105" s="486"/>
      <c r="AI105" s="486"/>
      <c r="AJ105" s="496"/>
    </row>
    <row r="106" spans="2:36" ht="28.5" customHeight="1" thickBot="1" x14ac:dyDescent="0.25">
      <c r="B106" s="506"/>
      <c r="C106" s="507"/>
      <c r="D106" s="507"/>
      <c r="E106" s="507"/>
      <c r="F106" s="507"/>
      <c r="G106" s="507"/>
      <c r="H106" s="507"/>
      <c r="I106" s="507"/>
      <c r="J106" s="507"/>
      <c r="K106" s="1578"/>
      <c r="L106" s="509"/>
      <c r="M106" s="506"/>
      <c r="N106" s="507"/>
      <c r="O106" s="1579"/>
      <c r="P106" s="507"/>
      <c r="Q106" s="507"/>
      <c r="R106" s="507"/>
      <c r="S106" s="507"/>
      <c r="T106" s="507"/>
      <c r="U106" s="507"/>
      <c r="V106" s="1578"/>
      <c r="W106" s="515"/>
      <c r="X106" s="509"/>
      <c r="Y106" s="506" t="s">
        <v>918</v>
      </c>
      <c r="Z106" s="512"/>
      <c r="AA106" s="513"/>
      <c r="AB106" s="513"/>
      <c r="AC106" s="514"/>
      <c r="AD106" s="514"/>
      <c r="AE106" s="514"/>
      <c r="AF106" s="514"/>
      <c r="AG106" s="515"/>
      <c r="AH106" s="515"/>
      <c r="AI106" s="515"/>
      <c r="AJ106" s="517"/>
    </row>
    <row r="107" spans="2:36" x14ac:dyDescent="0.2">
      <c r="M107" s="318"/>
      <c r="N107" s="2"/>
      <c r="O107" s="318"/>
      <c r="T107" s="318"/>
      <c r="X107" s="318"/>
    </row>
    <row r="108" spans="2:36" x14ac:dyDescent="0.2">
      <c r="M108" s="318"/>
      <c r="N108" s="2"/>
      <c r="O108" s="318"/>
      <c r="T108" s="318"/>
      <c r="X108" s="318"/>
    </row>
    <row r="109" spans="2:36" x14ac:dyDescent="0.2">
      <c r="M109" s="318"/>
      <c r="N109" s="2"/>
      <c r="O109" s="318"/>
      <c r="T109" s="318"/>
      <c r="X109" s="318"/>
    </row>
    <row r="110" spans="2:36" x14ac:dyDescent="0.2">
      <c r="M110" s="318"/>
      <c r="N110" s="2"/>
      <c r="O110" s="318"/>
      <c r="T110" s="318"/>
      <c r="X110" s="318"/>
    </row>
    <row r="111" spans="2:36" x14ac:dyDescent="0.2">
      <c r="M111" s="318"/>
      <c r="N111" s="2"/>
      <c r="O111" s="318"/>
      <c r="T111" s="318"/>
    </row>
    <row r="112" spans="2:36" x14ac:dyDescent="0.2">
      <c r="M112" s="318"/>
      <c r="N112" s="2"/>
      <c r="O112" s="318"/>
      <c r="T112" s="318"/>
      <c r="AH112" s="437" t="s">
        <v>946</v>
      </c>
    </row>
    <row r="113" spans="13:36" x14ac:dyDescent="0.2">
      <c r="M113" s="318"/>
      <c r="N113" s="2"/>
      <c r="O113" s="318"/>
      <c r="T113" s="318"/>
      <c r="AH113" s="437" t="s">
        <v>947</v>
      </c>
    </row>
    <row r="114" spans="13:36" ht="13.5" customHeight="1" x14ac:dyDescent="0.2">
      <c r="M114" s="318"/>
      <c r="N114" s="2"/>
      <c r="O114" s="318"/>
      <c r="T114" s="318"/>
    </row>
    <row r="115" spans="13:36" x14ac:dyDescent="0.2">
      <c r="M115" s="318"/>
      <c r="N115" s="2"/>
      <c r="O115" s="318"/>
      <c r="T115" s="318"/>
    </row>
    <row r="116" spans="13:36" x14ac:dyDescent="0.2">
      <c r="M116" s="318"/>
      <c r="N116" s="2"/>
      <c r="O116" s="318"/>
      <c r="T116" s="318"/>
    </row>
    <row r="117" spans="13:36" x14ac:dyDescent="0.2">
      <c r="M117" s="318"/>
      <c r="N117" s="2"/>
      <c r="O117" s="318"/>
      <c r="T117" s="318"/>
      <c r="Y117" s="1580" t="s">
        <v>522</v>
      </c>
      <c r="Z117" s="1581" t="s">
        <v>523</v>
      </c>
      <c r="AA117" s="382" t="s">
        <v>429</v>
      </c>
      <c r="AB117" s="436"/>
      <c r="AC117" s="420" t="s">
        <v>524</v>
      </c>
      <c r="AD117" s="420"/>
      <c r="AE117" s="420"/>
      <c r="AF117" s="420"/>
      <c r="AG117" s="384" t="s">
        <v>491</v>
      </c>
      <c r="AH117" s="421"/>
      <c r="AI117" s="422" t="str">
        <f>IF(AG117="1)","상",IF(AG117="2)","중",IF(AG117="3)","하","ERROR")))</f>
        <v>상</v>
      </c>
      <c r="AJ117" s="380"/>
    </row>
    <row r="118" spans="13:36" x14ac:dyDescent="0.2">
      <c r="M118" s="318"/>
      <c r="N118" s="2"/>
      <c r="O118" s="318"/>
      <c r="T118" s="318"/>
      <c r="Y118" s="1580" t="s">
        <v>531</v>
      </c>
      <c r="Z118" s="1582"/>
      <c r="AA118" s="382"/>
      <c r="AB118" s="436"/>
      <c r="AC118" s="420" t="s">
        <v>532</v>
      </c>
      <c r="AD118" s="420"/>
      <c r="AE118" s="420"/>
      <c r="AF118" s="420"/>
      <c r="AG118" s="384"/>
      <c r="AH118" s="421"/>
      <c r="AI118" s="422"/>
      <c r="AJ118" s="380"/>
    </row>
    <row r="119" spans="13:36" x14ac:dyDescent="0.2">
      <c r="M119" s="318"/>
      <c r="N119" s="2"/>
      <c r="O119" s="318"/>
      <c r="T119" s="318"/>
      <c r="Y119" s="1580" t="s">
        <v>536</v>
      </c>
      <c r="Z119" s="1582"/>
      <c r="AA119" s="382"/>
      <c r="AB119" s="436"/>
      <c r="AC119" s="420" t="s">
        <v>537</v>
      </c>
      <c r="AD119" s="420"/>
      <c r="AE119" s="420"/>
      <c r="AF119" s="420"/>
      <c r="AG119" s="384"/>
      <c r="AH119" s="421"/>
      <c r="AI119" s="422"/>
      <c r="AJ119" s="380"/>
    </row>
    <row r="120" spans="13:36" x14ac:dyDescent="0.2">
      <c r="M120" s="318"/>
      <c r="N120" s="2"/>
      <c r="O120" s="318"/>
      <c r="T120" s="318"/>
      <c r="Y120" s="1580" t="s">
        <v>542</v>
      </c>
      <c r="Z120" s="1582"/>
      <c r="AA120" s="382" t="s">
        <v>458</v>
      </c>
      <c r="AB120" s="436"/>
      <c r="AC120" s="420" t="s">
        <v>524</v>
      </c>
      <c r="AD120" s="420"/>
      <c r="AE120" s="420"/>
      <c r="AF120" s="420"/>
      <c r="AG120" s="384" t="s">
        <v>525</v>
      </c>
      <c r="AH120" s="421"/>
      <c r="AI120" s="422" t="str">
        <f>IF(AG120="1)","상",IF(AG120="2)","중",IF(AG120="3)","하","ERROR")))</f>
        <v>중</v>
      </c>
      <c r="AJ120" s="380"/>
    </row>
    <row r="121" spans="13:36" x14ac:dyDescent="0.2">
      <c r="M121" s="318"/>
      <c r="N121" s="2"/>
      <c r="O121" s="318"/>
      <c r="T121" s="318"/>
      <c r="Y121" s="1580" t="s">
        <v>547</v>
      </c>
      <c r="Z121" s="1582"/>
      <c r="AA121" s="382"/>
      <c r="AB121" s="436"/>
      <c r="AC121" s="420" t="s">
        <v>532</v>
      </c>
      <c r="AD121" s="420"/>
      <c r="AE121" s="420"/>
      <c r="AF121" s="420"/>
      <c r="AG121" s="384"/>
      <c r="AH121" s="421"/>
      <c r="AI121" s="422"/>
      <c r="AJ121" s="380"/>
    </row>
    <row r="122" spans="13:36" x14ac:dyDescent="0.2">
      <c r="M122" s="318"/>
      <c r="N122" s="2"/>
      <c r="O122" s="318"/>
      <c r="T122" s="318"/>
      <c r="Y122" s="1580" t="s">
        <v>552</v>
      </c>
      <c r="Z122" s="1582"/>
      <c r="AA122" s="382"/>
      <c r="AB122" s="436"/>
      <c r="AC122" s="420" t="s">
        <v>537</v>
      </c>
      <c r="AD122" s="420"/>
      <c r="AE122" s="420"/>
      <c r="AF122" s="420"/>
      <c r="AG122" s="384"/>
      <c r="AH122" s="421"/>
      <c r="AI122" s="422"/>
      <c r="AJ122" s="380"/>
    </row>
    <row r="123" spans="13:36" x14ac:dyDescent="0.2">
      <c r="M123" s="318"/>
      <c r="N123" s="2"/>
      <c r="O123" s="318"/>
      <c r="T123" s="318"/>
      <c r="Y123" s="1580" t="s">
        <v>557</v>
      </c>
      <c r="Z123" s="1582"/>
      <c r="AA123" s="382" t="s">
        <v>447</v>
      </c>
      <c r="AB123" s="436"/>
      <c r="AC123" s="420" t="s">
        <v>524</v>
      </c>
      <c r="AD123" s="420"/>
      <c r="AE123" s="420"/>
      <c r="AF123" s="420"/>
      <c r="AG123" s="384" t="s">
        <v>491</v>
      </c>
      <c r="AH123" s="421"/>
      <c r="AI123" s="422" t="str">
        <f>IF(AG123="1)","상",IF(AG123="2)","중",IF(AG123="3)","하","ERROR")))</f>
        <v>상</v>
      </c>
      <c r="AJ123" s="380"/>
    </row>
    <row r="124" spans="13:36" x14ac:dyDescent="0.2">
      <c r="M124" s="318"/>
      <c r="N124" s="2"/>
      <c r="O124" s="318"/>
      <c r="T124" s="318"/>
      <c r="Y124" s="1580" t="s">
        <v>562</v>
      </c>
      <c r="Z124" s="1582"/>
      <c r="AA124" s="382"/>
      <c r="AB124" s="436"/>
      <c r="AC124" s="420" t="s">
        <v>532</v>
      </c>
      <c r="AD124" s="420"/>
      <c r="AE124" s="420"/>
      <c r="AF124" s="420"/>
      <c r="AG124" s="384"/>
      <c r="AH124" s="421"/>
      <c r="AI124" s="422"/>
      <c r="AJ124" s="380"/>
    </row>
    <row r="125" spans="13:36" x14ac:dyDescent="0.2">
      <c r="N125" s="2"/>
      <c r="O125" s="318"/>
      <c r="T125" s="318"/>
      <c r="Y125" s="1580" t="s">
        <v>567</v>
      </c>
      <c r="Z125" s="1582"/>
      <c r="AA125" s="382"/>
      <c r="AB125" s="436"/>
      <c r="AC125" s="420" t="s">
        <v>537</v>
      </c>
      <c r="AD125" s="420"/>
      <c r="AE125" s="420"/>
      <c r="AF125" s="420"/>
      <c r="AG125" s="384"/>
      <c r="AH125" s="421"/>
      <c r="AI125" s="422"/>
      <c r="AJ125" s="380"/>
    </row>
    <row r="126" spans="13:36" x14ac:dyDescent="0.2">
      <c r="N126" s="2"/>
      <c r="O126" s="318"/>
      <c r="T126" s="318"/>
      <c r="Y126" s="1580" t="s">
        <v>573</v>
      </c>
      <c r="Z126" s="1582"/>
      <c r="AA126" s="382" t="s">
        <v>454</v>
      </c>
      <c r="AB126" s="436"/>
      <c r="AC126" s="420" t="s">
        <v>524</v>
      </c>
      <c r="AD126" s="420"/>
      <c r="AE126" s="420"/>
      <c r="AF126" s="420"/>
      <c r="AG126" s="384" t="s">
        <v>491</v>
      </c>
      <c r="AH126" s="421"/>
      <c r="AI126" s="422" t="str">
        <f>IF(AG126="1)","상",IF(AG126="2)","중",IF(AG126="3)","하","ERROR")))</f>
        <v>상</v>
      </c>
      <c r="AJ126" s="380"/>
    </row>
    <row r="127" spans="13:36" x14ac:dyDescent="0.2">
      <c r="N127" s="2"/>
      <c r="O127" s="318"/>
      <c r="T127" s="318"/>
      <c r="Y127" s="1580" t="s">
        <v>579</v>
      </c>
      <c r="Z127" s="1582"/>
      <c r="AA127" s="382"/>
      <c r="AB127" s="436"/>
      <c r="AC127" s="420" t="s">
        <v>532</v>
      </c>
      <c r="AD127" s="420"/>
      <c r="AE127" s="420"/>
      <c r="AF127" s="420"/>
      <c r="AG127" s="384"/>
      <c r="AH127" s="421"/>
      <c r="AI127" s="422"/>
      <c r="AJ127" s="380"/>
    </row>
    <row r="128" spans="13:36" x14ac:dyDescent="0.2">
      <c r="N128" s="2"/>
      <c r="O128" s="318"/>
      <c r="T128" s="318"/>
      <c r="Y128" s="1580" t="s">
        <v>584</v>
      </c>
      <c r="Z128" s="1582"/>
      <c r="AA128" s="382"/>
      <c r="AB128" s="436"/>
      <c r="AC128" s="420" t="s">
        <v>537</v>
      </c>
      <c r="AD128" s="420"/>
      <c r="AE128" s="420"/>
      <c r="AF128" s="420"/>
      <c r="AG128" s="384"/>
      <c r="AH128" s="421"/>
      <c r="AI128" s="422"/>
      <c r="AJ128" s="380"/>
    </row>
    <row r="129" spans="14:36" x14ac:dyDescent="0.2">
      <c r="N129" s="2"/>
      <c r="O129" s="318"/>
      <c r="T129" s="318"/>
      <c r="Y129" s="1580" t="s">
        <v>589</v>
      </c>
      <c r="Z129" s="1583"/>
      <c r="AA129" s="1584" t="s">
        <v>462</v>
      </c>
      <c r="AB129" s="1584"/>
      <c r="AC129" s="436" t="s">
        <v>462</v>
      </c>
      <c r="AD129" s="436"/>
      <c r="AE129" s="436"/>
      <c r="AF129" s="436"/>
      <c r="AG129" s="437" t="s">
        <v>590</v>
      </c>
      <c r="AH129" s="421"/>
      <c r="AI129" s="438" t="str">
        <f>$AI$8</f>
        <v>상</v>
      </c>
      <c r="AJ129" s="380" t="s">
        <v>591</v>
      </c>
    </row>
    <row r="130" spans="14:36" x14ac:dyDescent="0.2">
      <c r="N130" s="2"/>
      <c r="O130" s="318"/>
      <c r="T130" s="318"/>
      <c r="Y130" s="1580" t="s">
        <v>595</v>
      </c>
      <c r="Z130" s="1581" t="s">
        <v>596</v>
      </c>
      <c r="AA130" s="1585" t="s">
        <v>597</v>
      </c>
      <c r="AB130" s="1586"/>
      <c r="AC130" s="420" t="s">
        <v>598</v>
      </c>
      <c r="AD130" s="420"/>
      <c r="AE130" s="420"/>
      <c r="AF130" s="420"/>
      <c r="AG130" s="384" t="s">
        <v>491</v>
      </c>
      <c r="AH130" s="421"/>
      <c r="AI130" s="422" t="str">
        <f>IF(AG130="1)","상",IF(AG130="2)","중",IF(AG130="3)","하","ERROR")))</f>
        <v>상</v>
      </c>
      <c r="AJ130" s="380"/>
    </row>
    <row r="131" spans="14:36" x14ac:dyDescent="0.2">
      <c r="N131" s="2"/>
      <c r="O131" s="318"/>
      <c r="T131" s="318"/>
      <c r="Y131" s="1580" t="s">
        <v>603</v>
      </c>
      <c r="Z131" s="1582"/>
      <c r="AA131" s="1585"/>
      <c r="AB131" s="1586"/>
      <c r="AC131" s="420" t="s">
        <v>604</v>
      </c>
      <c r="AD131" s="420"/>
      <c r="AE131" s="420"/>
      <c r="AF131" s="420"/>
      <c r="AG131" s="384"/>
      <c r="AH131" s="421"/>
      <c r="AI131" s="422"/>
      <c r="AJ131" s="380"/>
    </row>
    <row r="132" spans="14:36" x14ac:dyDescent="0.2">
      <c r="N132" s="2"/>
      <c r="O132" s="318"/>
      <c r="T132" s="318"/>
      <c r="Y132" s="1580" t="s">
        <v>609</v>
      </c>
      <c r="Z132" s="1582"/>
      <c r="AA132" s="1585"/>
      <c r="AB132" s="1586"/>
      <c r="AC132" s="420" t="s">
        <v>610</v>
      </c>
      <c r="AD132" s="420"/>
      <c r="AE132" s="420"/>
      <c r="AF132" s="420"/>
      <c r="AG132" s="384"/>
      <c r="AH132" s="421"/>
      <c r="AI132" s="422"/>
      <c r="AJ132" s="380"/>
    </row>
    <row r="133" spans="14:36" x14ac:dyDescent="0.2">
      <c r="N133" s="2"/>
      <c r="O133" s="318"/>
      <c r="T133" s="318"/>
      <c r="Y133" s="1580" t="s">
        <v>615</v>
      </c>
      <c r="Z133" s="1582"/>
      <c r="AA133" s="1585" t="s">
        <v>616</v>
      </c>
      <c r="AB133" s="1586"/>
      <c r="AC133" s="420" t="s">
        <v>598</v>
      </c>
      <c r="AD133" s="420"/>
      <c r="AE133" s="420"/>
      <c r="AF133" s="420"/>
      <c r="AG133" s="384" t="s">
        <v>491</v>
      </c>
      <c r="AH133" s="421"/>
      <c r="AI133" s="422" t="str">
        <f>IF(AG133="1)","상",IF(AG133="2)","중",IF(AG133="3)","하","ERROR")))</f>
        <v>상</v>
      </c>
      <c r="AJ133" s="380"/>
    </row>
    <row r="134" spans="14:36" x14ac:dyDescent="0.2">
      <c r="N134" s="2"/>
      <c r="O134" s="318"/>
      <c r="T134" s="318"/>
      <c r="Y134" s="1580" t="s">
        <v>620</v>
      </c>
      <c r="Z134" s="1582"/>
      <c r="AA134" s="1585"/>
      <c r="AB134" s="1586"/>
      <c r="AC134" s="420" t="s">
        <v>604</v>
      </c>
      <c r="AD134" s="420"/>
      <c r="AE134" s="420"/>
      <c r="AF134" s="420"/>
      <c r="AG134" s="384"/>
      <c r="AH134" s="421"/>
      <c r="AI134" s="422"/>
      <c r="AJ134" s="380"/>
    </row>
    <row r="135" spans="14:36" x14ac:dyDescent="0.2">
      <c r="N135" s="2"/>
      <c r="O135" s="318"/>
      <c r="T135" s="318"/>
      <c r="Y135" s="1580" t="s">
        <v>625</v>
      </c>
      <c r="Z135" s="1582"/>
      <c r="AA135" s="1585"/>
      <c r="AB135" s="1586"/>
      <c r="AC135" s="420" t="s">
        <v>610</v>
      </c>
      <c r="AD135" s="420"/>
      <c r="AE135" s="420"/>
      <c r="AF135" s="420"/>
      <c r="AG135" s="384"/>
      <c r="AH135" s="421"/>
      <c r="AI135" s="422"/>
      <c r="AJ135" s="380"/>
    </row>
    <row r="136" spans="14:36" x14ac:dyDescent="0.2">
      <c r="N136" s="2"/>
      <c r="O136" s="318"/>
      <c r="T136" s="318"/>
      <c r="Y136" s="1580" t="s">
        <v>631</v>
      </c>
      <c r="Z136" s="1583"/>
      <c r="AA136" s="1587" t="s">
        <v>155</v>
      </c>
      <c r="AB136" s="1587"/>
      <c r="AC136" s="442" t="s">
        <v>155</v>
      </c>
      <c r="AD136" s="442"/>
      <c r="AE136" s="442"/>
      <c r="AF136" s="442"/>
      <c r="AG136" s="437" t="s">
        <v>590</v>
      </c>
      <c r="AH136" s="421"/>
      <c r="AI136" s="438" t="str">
        <f>$AI$8</f>
        <v>상</v>
      </c>
      <c r="AJ136" s="380" t="s">
        <v>591</v>
      </c>
    </row>
    <row r="137" spans="14:36" ht="26.4" x14ac:dyDescent="0.2">
      <c r="N137" s="2"/>
      <c r="O137" s="318"/>
      <c r="T137" s="318"/>
      <c r="Y137" s="1580" t="s">
        <v>636</v>
      </c>
      <c r="Z137" s="1588" t="s">
        <v>637</v>
      </c>
      <c r="AA137" s="1584" t="s">
        <v>185</v>
      </c>
      <c r="AB137" s="1584"/>
      <c r="AC137" s="436" t="s">
        <v>638</v>
      </c>
      <c r="AD137" s="436"/>
      <c r="AE137" s="436"/>
      <c r="AF137" s="436"/>
      <c r="AG137" s="411" t="s">
        <v>692</v>
      </c>
      <c r="AH137" s="421"/>
      <c r="AI137" s="438" t="str">
        <f>IF(AG137="Yes","SPI",IF(AG137="No","N/A","ERROR"))</f>
        <v>SPI</v>
      </c>
      <c r="AJ137" s="380"/>
    </row>
    <row r="138" spans="14:36" ht="26.4" x14ac:dyDescent="0.2">
      <c r="N138" s="2"/>
      <c r="O138" s="318"/>
      <c r="T138" s="318"/>
      <c r="Y138" s="1580" t="s">
        <v>642</v>
      </c>
      <c r="Z138" s="1588"/>
      <c r="AA138" s="1584" t="s">
        <v>186</v>
      </c>
      <c r="AB138" s="1584"/>
      <c r="AC138" s="436" t="s">
        <v>638</v>
      </c>
      <c r="AD138" s="436"/>
      <c r="AE138" s="436"/>
      <c r="AF138" s="436"/>
      <c r="AG138" s="411" t="s">
        <v>398</v>
      </c>
      <c r="AH138" s="421"/>
      <c r="AI138" s="438" t="str">
        <f>IF(AG138="Yes","SPI",IF(AG138="No","N/A","ERROR"))</f>
        <v>N/A</v>
      </c>
      <c r="AJ138" s="380"/>
    </row>
    <row r="139" spans="14:36" x14ac:dyDescent="0.2">
      <c r="N139" s="2"/>
      <c r="O139" s="318"/>
      <c r="T139" s="318"/>
      <c r="Y139" s="1580" t="s">
        <v>649</v>
      </c>
      <c r="Z139" s="1588"/>
      <c r="AA139" s="1584" t="s">
        <v>187</v>
      </c>
      <c r="AB139" s="1584"/>
      <c r="AC139" s="436" t="s">
        <v>638</v>
      </c>
      <c r="AD139" s="436"/>
      <c r="AE139" s="436"/>
      <c r="AF139" s="436"/>
      <c r="AG139" s="411" t="s">
        <v>525</v>
      </c>
      <c r="AH139" s="421"/>
      <c r="AI139" s="438" t="str">
        <f>IF(AG139="Yes","SPI",IF(AG139="No","N/A","ERROR"))</f>
        <v>ERROR</v>
      </c>
      <c r="AJ139" s="380"/>
    </row>
    <row r="140" spans="14:36" ht="24" x14ac:dyDescent="0.2">
      <c r="N140" s="2"/>
      <c r="O140" s="318"/>
      <c r="T140" s="318"/>
      <c r="Y140" s="1580" t="s">
        <v>655</v>
      </c>
      <c r="Z140" s="1581" t="s">
        <v>656</v>
      </c>
      <c r="AA140" s="1589" t="s">
        <v>657</v>
      </c>
      <c r="AB140" s="1590"/>
      <c r="AC140" s="420" t="s">
        <v>658</v>
      </c>
      <c r="AD140" s="420"/>
      <c r="AE140" s="420"/>
      <c r="AF140" s="420"/>
      <c r="AG140" s="384" t="s">
        <v>491</v>
      </c>
      <c r="AH140" s="421"/>
      <c r="AI140" s="422" t="str">
        <f>IF(AG140="1)","상",IF(AG140="2)","중",IF(AG140="3)","하","ERROR")))</f>
        <v>상</v>
      </c>
      <c r="AJ140" s="450" t="s">
        <v>659</v>
      </c>
    </row>
    <row r="141" spans="14:36" x14ac:dyDescent="0.2">
      <c r="N141" s="2"/>
      <c r="O141" s="318"/>
      <c r="T141" s="318"/>
      <c r="Y141" s="1580" t="s">
        <v>664</v>
      </c>
      <c r="Z141" s="1582"/>
      <c r="AA141" s="1589"/>
      <c r="AB141" s="1590"/>
      <c r="AC141" s="420" t="s">
        <v>665</v>
      </c>
      <c r="AD141" s="420"/>
      <c r="AE141" s="420"/>
      <c r="AF141" s="420"/>
      <c r="AG141" s="384"/>
      <c r="AH141" s="421"/>
      <c r="AI141" s="422"/>
      <c r="AJ141" s="450"/>
    </row>
    <row r="142" spans="14:36" x14ac:dyDescent="0.2">
      <c r="N142" s="2"/>
      <c r="O142" s="318"/>
      <c r="T142" s="318"/>
      <c r="Y142" s="1580" t="s">
        <v>669</v>
      </c>
      <c r="Z142" s="1582"/>
      <c r="AA142" s="1589"/>
      <c r="AB142" s="1590"/>
      <c r="AC142" s="420" t="s">
        <v>670</v>
      </c>
      <c r="AD142" s="420"/>
      <c r="AE142" s="420"/>
      <c r="AF142" s="420"/>
      <c r="AG142" s="384"/>
      <c r="AH142" s="421"/>
      <c r="AI142" s="422"/>
      <c r="AJ142" s="450"/>
    </row>
    <row r="143" spans="14:36" x14ac:dyDescent="0.2">
      <c r="N143" s="2"/>
      <c r="O143" s="318"/>
      <c r="T143" s="318"/>
      <c r="Y143" s="1580" t="s">
        <v>675</v>
      </c>
      <c r="Z143" s="1582"/>
      <c r="AA143" s="1591" t="s">
        <v>199</v>
      </c>
      <c r="AB143" s="1584"/>
      <c r="AC143" s="420" t="s">
        <v>524</v>
      </c>
      <c r="AD143" s="420"/>
      <c r="AE143" s="420"/>
      <c r="AF143" s="420"/>
      <c r="AG143" s="384" t="s">
        <v>525</v>
      </c>
      <c r="AH143" s="421"/>
      <c r="AI143" s="422" t="str">
        <f>IF(AG143="1)","중",IF(AG143="2)","하","ERROR"))</f>
        <v>하</v>
      </c>
      <c r="AJ143" s="380"/>
    </row>
    <row r="144" spans="14:36" x14ac:dyDescent="0.2">
      <c r="N144" s="2"/>
      <c r="O144" s="318"/>
      <c r="T144" s="318"/>
      <c r="Y144" s="1580" t="s">
        <v>679</v>
      </c>
      <c r="Z144" s="1582"/>
      <c r="AA144" s="1591"/>
      <c r="AB144" s="1584"/>
      <c r="AC144" s="420" t="s">
        <v>532</v>
      </c>
      <c r="AD144" s="420"/>
      <c r="AE144" s="420"/>
      <c r="AF144" s="420"/>
      <c r="AG144" s="384"/>
      <c r="AH144" s="421"/>
      <c r="AI144" s="422"/>
      <c r="AJ144" s="380"/>
    </row>
    <row r="145" spans="14:36" x14ac:dyDescent="0.2">
      <c r="N145" s="2"/>
      <c r="O145" s="318"/>
      <c r="T145" s="318"/>
      <c r="Y145" s="1580" t="s">
        <v>684</v>
      </c>
      <c r="Z145" s="1582"/>
      <c r="AA145" s="1584" t="s">
        <v>1532</v>
      </c>
      <c r="AB145" s="1584"/>
      <c r="AC145" s="436" t="s">
        <v>686</v>
      </c>
      <c r="AD145" s="436"/>
      <c r="AE145" s="436"/>
      <c r="AF145" s="436"/>
      <c r="AG145" s="437" t="s">
        <v>590</v>
      </c>
      <c r="AH145" s="421"/>
      <c r="AI145" s="438" t="str">
        <f>$AI$8</f>
        <v>상</v>
      </c>
      <c r="AJ145" s="380" t="s">
        <v>591</v>
      </c>
    </row>
    <row r="146" spans="14:36" x14ac:dyDescent="0.2">
      <c r="N146" s="2"/>
      <c r="O146" s="318"/>
      <c r="T146" s="318"/>
      <c r="Y146" s="1580" t="s">
        <v>690</v>
      </c>
      <c r="Z146" s="1582"/>
      <c r="AA146" s="1584" t="s">
        <v>691</v>
      </c>
      <c r="AB146" s="1584"/>
      <c r="AC146" s="436" t="s">
        <v>638</v>
      </c>
      <c r="AD146" s="436"/>
      <c r="AE146" s="436"/>
      <c r="AF146" s="436"/>
      <c r="AG146" s="411" t="s">
        <v>398</v>
      </c>
      <c r="AH146" s="421"/>
      <c r="AI146" s="438" t="str">
        <f>IF(AG146="Yes","SPI",IF(AG146="No",$AI$8,"ERROR"))</f>
        <v>상</v>
      </c>
      <c r="AJ146" s="380" t="s">
        <v>693</v>
      </c>
    </row>
    <row r="147" spans="14:36" x14ac:dyDescent="0.2">
      <c r="N147" s="2"/>
      <c r="O147" s="318"/>
      <c r="T147" s="318"/>
      <c r="Y147" s="1580" t="s">
        <v>699</v>
      </c>
      <c r="Z147" s="1582"/>
      <c r="AA147" s="1584" t="s">
        <v>654</v>
      </c>
      <c r="AB147" s="1584"/>
      <c r="AC147" s="436" t="s">
        <v>638</v>
      </c>
      <c r="AD147" s="436"/>
      <c r="AE147" s="436"/>
      <c r="AF147" s="436"/>
      <c r="AG147" s="411" t="s">
        <v>692</v>
      </c>
      <c r="AH147" s="421"/>
      <c r="AI147" s="438" t="str">
        <f>IF(AG147="Yes","SPI",IF(AG147="No",$AI$8,"ERROR"))</f>
        <v>SPI</v>
      </c>
      <c r="AJ147" s="380" t="s">
        <v>693</v>
      </c>
    </row>
    <row r="148" spans="14:36" ht="26.4" x14ac:dyDescent="0.2">
      <c r="N148" s="2"/>
      <c r="O148" s="318"/>
      <c r="T148" s="318"/>
      <c r="Y148" s="1580" t="s">
        <v>705</v>
      </c>
      <c r="Z148" s="1582"/>
      <c r="AA148" s="1584" t="s">
        <v>256</v>
      </c>
      <c r="AB148" s="1584"/>
      <c r="AC148" s="436" t="s">
        <v>638</v>
      </c>
      <c r="AD148" s="436"/>
      <c r="AE148" s="436"/>
      <c r="AF148" s="436"/>
      <c r="AG148" s="411" t="s">
        <v>398</v>
      </c>
      <c r="AH148" s="421"/>
      <c r="AI148" s="438" t="str">
        <f>IF(AG148="Yes","SPI",IF(AG148="No",$AI$8,"ERROR"))</f>
        <v>상</v>
      </c>
      <c r="AJ148" s="380" t="s">
        <v>693</v>
      </c>
    </row>
    <row r="149" spans="14:36" ht="24" x14ac:dyDescent="0.2">
      <c r="N149" s="2"/>
      <c r="O149" s="318"/>
      <c r="T149" s="318"/>
      <c r="Y149" s="1580" t="s">
        <v>710</v>
      </c>
      <c r="Z149" s="1582"/>
      <c r="AA149" s="1587" t="s">
        <v>269</v>
      </c>
      <c r="AB149" s="1587"/>
      <c r="AC149" s="436" t="s">
        <v>638</v>
      </c>
      <c r="AD149" s="436"/>
      <c r="AE149" s="436"/>
      <c r="AF149" s="436"/>
      <c r="AG149" s="411" t="s">
        <v>692</v>
      </c>
      <c r="AH149" s="421"/>
      <c r="AI149" s="438" t="str">
        <f>IF(AG149="Yes","SPI",IF(AG149="No","N/A","ERROR"))</f>
        <v>SPI</v>
      </c>
      <c r="AJ149" s="380"/>
    </row>
    <row r="150" spans="14:36" x14ac:dyDescent="0.2">
      <c r="N150" s="2"/>
      <c r="O150" s="318"/>
      <c r="T150" s="318"/>
      <c r="Y150" s="1580" t="s">
        <v>715</v>
      </c>
      <c r="Z150" s="1582"/>
      <c r="AA150" s="1587" t="s">
        <v>273</v>
      </c>
      <c r="AB150" s="1587"/>
      <c r="AC150" s="436" t="s">
        <v>638</v>
      </c>
      <c r="AD150" s="436"/>
      <c r="AE150" s="436"/>
      <c r="AF150" s="436"/>
      <c r="AG150" s="411" t="s">
        <v>398</v>
      </c>
      <c r="AH150" s="421"/>
      <c r="AI150" s="438" t="str">
        <f>IF(AG150="Yes","SPI",IF(AG150="No","N/A","ERROR"))</f>
        <v>N/A</v>
      </c>
      <c r="AJ150" s="380"/>
    </row>
    <row r="151" spans="14:36" x14ac:dyDescent="0.2">
      <c r="N151" s="2"/>
      <c r="O151" s="318"/>
      <c r="T151" s="318"/>
      <c r="Y151" s="1580" t="s">
        <v>721</v>
      </c>
      <c r="Z151" s="1582"/>
      <c r="AA151" s="1592" t="s">
        <v>722</v>
      </c>
      <c r="AB151" s="1587"/>
      <c r="AC151" s="420" t="s">
        <v>524</v>
      </c>
      <c r="AD151" s="420"/>
      <c r="AE151" s="420"/>
      <c r="AF151" s="420"/>
      <c r="AG151" s="384" t="s">
        <v>525</v>
      </c>
      <c r="AH151" s="421"/>
      <c r="AI151" s="422" t="str">
        <f>IF(AG151="1)","중",IF(AG151="2)","하","ERROR"))</f>
        <v>하</v>
      </c>
      <c r="AJ151" s="380"/>
    </row>
    <row r="152" spans="14:36" x14ac:dyDescent="0.2">
      <c r="N152" s="2"/>
      <c r="O152" s="318"/>
      <c r="T152" s="318"/>
      <c r="Y152" s="1580" t="s">
        <v>726</v>
      </c>
      <c r="Z152" s="1583"/>
      <c r="AA152" s="1592"/>
      <c r="AB152" s="1587"/>
      <c r="AC152" s="420" t="s">
        <v>727</v>
      </c>
      <c r="AD152" s="420"/>
      <c r="AE152" s="420"/>
      <c r="AF152" s="420"/>
      <c r="AG152" s="384"/>
      <c r="AH152" s="421"/>
      <c r="AI152" s="422"/>
      <c r="AJ152" s="380"/>
    </row>
    <row r="153" spans="14:36" x14ac:dyDescent="0.2">
      <c r="N153" s="2"/>
      <c r="O153" s="318"/>
      <c r="T153" s="318"/>
      <c r="Y153" s="1580" t="s">
        <v>731</v>
      </c>
      <c r="Z153" s="1581" t="s">
        <v>732</v>
      </c>
      <c r="AA153" s="1587" t="s">
        <v>733</v>
      </c>
      <c r="AB153" s="1587"/>
      <c r="AC153" s="420" t="s">
        <v>734</v>
      </c>
      <c r="AD153" s="420"/>
      <c r="AE153" s="420"/>
      <c r="AF153" s="420"/>
      <c r="AG153" s="411" t="s">
        <v>692</v>
      </c>
      <c r="AH153" s="421"/>
      <c r="AI153" s="438" t="str">
        <f>IF(AG153="Yes","적용",IF(AG153="No","N/A","ERROR"))</f>
        <v>적용</v>
      </c>
      <c r="AJ153" s="380"/>
    </row>
    <row r="154" spans="14:36" x14ac:dyDescent="0.2">
      <c r="N154" s="2"/>
      <c r="O154" s="318"/>
      <c r="T154" s="318"/>
      <c r="Y154" s="1580" t="s">
        <v>738</v>
      </c>
      <c r="Z154" s="1582"/>
      <c r="AA154" s="1587" t="s">
        <v>739</v>
      </c>
      <c r="AB154" s="1587"/>
      <c r="AC154" s="420" t="s">
        <v>740</v>
      </c>
      <c r="AD154" s="420"/>
      <c r="AE154" s="420"/>
      <c r="AF154" s="420"/>
      <c r="AG154" s="411" t="s">
        <v>398</v>
      </c>
      <c r="AH154" s="421"/>
      <c r="AI154" s="438" t="str">
        <f>IF(AG154="Yes","적용",IF(AG154="No","N/A","ERROR"))</f>
        <v>N/A</v>
      </c>
      <c r="AJ154" s="380"/>
    </row>
    <row r="155" spans="14:36" ht="26.4" x14ac:dyDescent="0.2">
      <c r="N155" s="2"/>
      <c r="O155" s="318"/>
      <c r="T155" s="318"/>
      <c r="Y155" s="1580" t="s">
        <v>745</v>
      </c>
      <c r="Z155" s="1582"/>
      <c r="AA155" s="1584" t="s">
        <v>746</v>
      </c>
      <c r="AB155" s="1584"/>
      <c r="AC155" s="436" t="s">
        <v>638</v>
      </c>
      <c r="AD155" s="436"/>
      <c r="AE155" s="436"/>
      <c r="AF155" s="436"/>
      <c r="AG155" s="411" t="s">
        <v>692</v>
      </c>
      <c r="AH155" s="421"/>
      <c r="AI155" s="438" t="str">
        <f>IF(AG155="Yes","SPI",IF(AG155="No","N/A","ERROR"))</f>
        <v>SPI</v>
      </c>
      <c r="AJ155" s="380"/>
    </row>
    <row r="156" spans="14:36" x14ac:dyDescent="0.2">
      <c r="N156" s="2"/>
      <c r="O156" s="318"/>
      <c r="T156" s="318"/>
      <c r="Y156" s="1580" t="s">
        <v>752</v>
      </c>
      <c r="Z156" s="1582"/>
      <c r="AA156" s="1587" t="s">
        <v>753</v>
      </c>
      <c r="AB156" s="1587"/>
      <c r="AC156" s="420" t="s">
        <v>754</v>
      </c>
      <c r="AD156" s="420"/>
      <c r="AE156" s="420"/>
      <c r="AF156" s="420"/>
      <c r="AG156" s="411" t="s">
        <v>398</v>
      </c>
      <c r="AH156" s="421"/>
      <c r="AI156" s="438" t="str">
        <f>IF(AG156="Yes","적용",IF(AG156="No","N/A","ERROR"))</f>
        <v>N/A</v>
      </c>
      <c r="AJ156" s="380"/>
    </row>
    <row r="157" spans="14:36" x14ac:dyDescent="0.2">
      <c r="N157" s="2"/>
      <c r="O157" s="318"/>
      <c r="T157" s="318"/>
      <c r="Y157" s="1580" t="s">
        <v>759</v>
      </c>
      <c r="Z157" s="1582"/>
      <c r="AA157" s="1587" t="s">
        <v>760</v>
      </c>
      <c r="AB157" s="1587"/>
      <c r="AC157" s="420" t="s">
        <v>1533</v>
      </c>
      <c r="AD157" s="420"/>
      <c r="AE157" s="420"/>
      <c r="AF157" s="420"/>
      <c r="AG157" s="437" t="s">
        <v>590</v>
      </c>
      <c r="AH157" s="421"/>
      <c r="AI157" s="438" t="str">
        <f>IF(SUM(I83:I86)&gt;=15000,"상",IF(SUM(I83:I86)&gt;=10000,"중","하"))</f>
        <v>하</v>
      </c>
      <c r="AJ157" s="380"/>
    </row>
    <row r="158" spans="14:36" ht="26.4" x14ac:dyDescent="0.2">
      <c r="N158" s="2"/>
      <c r="O158" s="318"/>
      <c r="T158" s="318"/>
      <c r="Y158" s="1580" t="s">
        <v>766</v>
      </c>
      <c r="Z158" s="1582"/>
      <c r="AA158" s="1584" t="s">
        <v>767</v>
      </c>
      <c r="AB158" s="1584"/>
      <c r="AC158" s="420" t="s">
        <v>768</v>
      </c>
      <c r="AD158" s="420"/>
      <c r="AE158" s="420"/>
      <c r="AF158" s="420"/>
      <c r="AG158" s="411" t="s">
        <v>692</v>
      </c>
      <c r="AH158" s="421"/>
      <c r="AI158" s="438" t="str">
        <f>IF(AG158="Yes","적용",IF(AG158="No","N/A","ERROR"))</f>
        <v>적용</v>
      </c>
      <c r="AJ158" s="380"/>
    </row>
    <row r="159" spans="14:36" ht="24" x14ac:dyDescent="0.2">
      <c r="N159" s="2"/>
      <c r="O159" s="318"/>
      <c r="T159" s="318"/>
      <c r="Y159" s="1580" t="s">
        <v>775</v>
      </c>
      <c r="Z159" s="1582"/>
      <c r="AA159" s="1587" t="s">
        <v>776</v>
      </c>
      <c r="AB159" s="1587"/>
      <c r="AC159" s="420" t="s">
        <v>777</v>
      </c>
      <c r="AD159" s="420"/>
      <c r="AE159" s="420"/>
      <c r="AF159" s="420"/>
      <c r="AG159" s="411" t="s">
        <v>692</v>
      </c>
      <c r="AH159" s="421"/>
      <c r="AI159" s="438" t="str">
        <f>IF(AG159="No","N/A",IF(SUM(I83:I86)&gt;=15000,"상",IF(SUM(I83:I86)&gt;=10000,"중","하")))</f>
        <v>하</v>
      </c>
      <c r="AJ159" s="380" t="s">
        <v>778</v>
      </c>
    </row>
    <row r="160" spans="14:36" ht="36" x14ac:dyDescent="0.2">
      <c r="N160" s="2"/>
      <c r="O160" s="318"/>
      <c r="T160" s="318"/>
      <c r="Y160" s="1580" t="s">
        <v>783</v>
      </c>
      <c r="Z160" s="1582"/>
      <c r="AA160" s="1587" t="s">
        <v>784</v>
      </c>
      <c r="AB160" s="1587"/>
      <c r="AC160" s="420" t="s">
        <v>777</v>
      </c>
      <c r="AD160" s="420"/>
      <c r="AE160" s="420"/>
      <c r="AF160" s="420"/>
      <c r="AG160" s="411" t="s">
        <v>398</v>
      </c>
      <c r="AH160" s="421"/>
      <c r="AI160" s="438" t="str">
        <f>IF(AG160="No","N/A",IF(SUM(I84:I106)&gt;=15000,"상",IF(SUM(I84:I106)&gt;=10000,"중","하")))</f>
        <v>N/A</v>
      </c>
      <c r="AJ160" s="380" t="s">
        <v>778</v>
      </c>
    </row>
    <row r="161" spans="14:36" x14ac:dyDescent="0.2">
      <c r="N161" s="2"/>
      <c r="O161" s="318"/>
      <c r="T161" s="318"/>
      <c r="Y161" s="1580" t="s">
        <v>789</v>
      </c>
      <c r="Z161" s="1582"/>
      <c r="AA161" s="1593" t="s">
        <v>790</v>
      </c>
      <c r="AB161" s="1593"/>
      <c r="AC161" s="495" t="s">
        <v>791</v>
      </c>
      <c r="AD161" s="495"/>
      <c r="AE161" s="495"/>
      <c r="AF161" s="495"/>
      <c r="AG161" s="1527">
        <v>15</v>
      </c>
      <c r="AH161" s="421"/>
      <c r="AI161" s="437"/>
      <c r="AJ161" s="380" t="s">
        <v>1360</v>
      </c>
    </row>
    <row r="162" spans="14:36" ht="26.4" x14ac:dyDescent="0.2">
      <c r="N162" s="2"/>
      <c r="O162" s="318"/>
      <c r="T162" s="318"/>
      <c r="Y162" s="1580" t="s">
        <v>796</v>
      </c>
      <c r="Z162" s="1582"/>
      <c r="AA162" s="1593" t="s">
        <v>797</v>
      </c>
      <c r="AB162" s="1593"/>
      <c r="AC162" s="495" t="s">
        <v>798</v>
      </c>
      <c r="AD162" s="495"/>
      <c r="AE162" s="495"/>
      <c r="AF162" s="495"/>
      <c r="AG162" s="1527">
        <v>0</v>
      </c>
      <c r="AH162" s="421"/>
      <c r="AI162" s="437"/>
      <c r="AJ162" s="380" t="s">
        <v>1534</v>
      </c>
    </row>
    <row r="163" spans="14:36" ht="26.4" x14ac:dyDescent="0.2">
      <c r="N163" s="2"/>
      <c r="O163" s="318"/>
      <c r="T163" s="318"/>
      <c r="Y163" s="1580" t="s">
        <v>802</v>
      </c>
      <c r="Z163" s="1582"/>
      <c r="AA163" s="1593" t="s">
        <v>803</v>
      </c>
      <c r="AB163" s="1593"/>
      <c r="AC163" s="495" t="s">
        <v>804</v>
      </c>
      <c r="AD163" s="495"/>
      <c r="AE163" s="495"/>
      <c r="AF163" s="495"/>
      <c r="AG163" s="1527">
        <v>0</v>
      </c>
      <c r="AH163" s="421"/>
      <c r="AI163" s="437"/>
      <c r="AJ163" s="380" t="s">
        <v>1535</v>
      </c>
    </row>
    <row r="164" spans="14:36" ht="26.4" x14ac:dyDescent="0.2">
      <c r="N164" s="2"/>
      <c r="O164" s="318"/>
      <c r="T164" s="318"/>
      <c r="Y164" s="1580" t="s">
        <v>808</v>
      </c>
      <c r="Z164" s="1583"/>
      <c r="AA164" s="1593" t="s">
        <v>809</v>
      </c>
      <c r="AB164" s="1593"/>
      <c r="AC164" s="495" t="s">
        <v>810</v>
      </c>
      <c r="AD164" s="495"/>
      <c r="AE164" s="495"/>
      <c r="AF164" s="495"/>
      <c r="AG164" s="1527">
        <v>0</v>
      </c>
      <c r="AH164" s="421"/>
      <c r="AI164" s="437"/>
      <c r="AJ164" s="380" t="s">
        <v>1536</v>
      </c>
    </row>
    <row r="165" spans="14:36" x14ac:dyDescent="0.2">
      <c r="N165" s="2"/>
      <c r="O165" s="318"/>
      <c r="T165" s="318"/>
      <c r="Y165" s="1580" t="s">
        <v>814</v>
      </c>
      <c r="Z165" s="1588" t="s">
        <v>815</v>
      </c>
      <c r="AA165" s="1591" t="s">
        <v>816</v>
      </c>
      <c r="AB165" s="1584"/>
      <c r="AC165" s="420" t="s">
        <v>598</v>
      </c>
      <c r="AD165" s="420"/>
      <c r="AE165" s="420"/>
      <c r="AF165" s="420"/>
      <c r="AG165" s="384" t="s">
        <v>491</v>
      </c>
      <c r="AH165" s="421"/>
      <c r="AI165" s="422" t="str">
        <f>IF(AG165="1)","상",IF(AG165="2)","중",IF(AG165="3)","하","ERROR")))</f>
        <v>상</v>
      </c>
      <c r="AJ165" s="380"/>
    </row>
    <row r="166" spans="14:36" x14ac:dyDescent="0.2">
      <c r="N166" s="2"/>
      <c r="O166" s="318"/>
      <c r="T166" s="318"/>
      <c r="Y166" s="1580" t="s">
        <v>820</v>
      </c>
      <c r="Z166" s="1588"/>
      <c r="AA166" s="1591"/>
      <c r="AB166" s="1584"/>
      <c r="AC166" s="420" t="s">
        <v>604</v>
      </c>
      <c r="AD166" s="420"/>
      <c r="AE166" s="420"/>
      <c r="AF166" s="420"/>
      <c r="AG166" s="384"/>
      <c r="AH166" s="421"/>
      <c r="AI166" s="422"/>
      <c r="AJ166" s="380"/>
    </row>
    <row r="167" spans="14:36" x14ac:dyDescent="0.2">
      <c r="N167" s="2"/>
      <c r="O167" s="318"/>
      <c r="T167" s="318"/>
      <c r="Y167" s="1580" t="s">
        <v>824</v>
      </c>
      <c r="Z167" s="1588"/>
      <c r="AA167" s="1591"/>
      <c r="AB167" s="1584"/>
      <c r="AC167" s="420" t="s">
        <v>610</v>
      </c>
      <c r="AD167" s="420"/>
      <c r="AE167" s="420"/>
      <c r="AF167" s="420"/>
      <c r="AG167" s="384"/>
      <c r="AH167" s="421"/>
      <c r="AI167" s="422"/>
      <c r="AJ167" s="380"/>
    </row>
    <row r="168" spans="14:36" ht="36" x14ac:dyDescent="0.2">
      <c r="N168" s="2"/>
      <c r="O168" s="318"/>
      <c r="T168" s="318"/>
      <c r="Y168" s="1580" t="s">
        <v>828</v>
      </c>
      <c r="Z168" s="1588" t="s">
        <v>829</v>
      </c>
      <c r="AA168" s="1594" t="s">
        <v>830</v>
      </c>
      <c r="AB168" s="1594"/>
      <c r="AC168" s="420" t="s">
        <v>831</v>
      </c>
      <c r="AD168" s="420"/>
      <c r="AE168" s="420"/>
      <c r="AF168" s="420"/>
      <c r="AG168" s="437" t="s">
        <v>590</v>
      </c>
      <c r="AH168" s="484"/>
      <c r="AI168" s="438">
        <f>IF(SUM(I83:I85)&gt;=20000,20,IF(SUM(I83:I85)&lt;10000,10,15))</f>
        <v>10</v>
      </c>
      <c r="AJ168" s="380"/>
    </row>
    <row r="169" spans="14:36" x14ac:dyDescent="0.2">
      <c r="N169" s="2"/>
      <c r="O169" s="318"/>
      <c r="T169" s="318"/>
      <c r="Y169" s="1580" t="s">
        <v>835</v>
      </c>
      <c r="Z169" s="1588"/>
      <c r="AA169" s="1584" t="s">
        <v>836</v>
      </c>
      <c r="AB169" s="1584"/>
      <c r="AC169" s="420" t="s">
        <v>837</v>
      </c>
      <c r="AD169" s="503"/>
      <c r="AE169" s="503"/>
      <c r="AF169" s="503"/>
      <c r="AG169" s="485">
        <v>10</v>
      </c>
      <c r="AH169" s="484"/>
      <c r="AI169" s="486"/>
      <c r="AJ169" s="380"/>
    </row>
    <row r="170" spans="14:36" x14ac:dyDescent="0.2">
      <c r="N170" s="2"/>
      <c r="O170" s="318"/>
      <c r="T170" s="318"/>
      <c r="Y170" s="1580" t="s">
        <v>841</v>
      </c>
      <c r="Z170" s="1595" t="s">
        <v>842</v>
      </c>
      <c r="AA170" s="1587" t="s">
        <v>389</v>
      </c>
      <c r="AB170" s="1587"/>
      <c r="AC170" s="436" t="s">
        <v>638</v>
      </c>
      <c r="AD170" s="436"/>
      <c r="AE170" s="436"/>
      <c r="AF170" s="436"/>
      <c r="AG170" s="411" t="s">
        <v>941</v>
      </c>
      <c r="AH170" s="421"/>
      <c r="AI170" s="438" t="str">
        <f>IF(AG170="Yes","SPI",IF(AG170="No","N/A","ERROR"))</f>
        <v>ERROR</v>
      </c>
      <c r="AJ170" s="380"/>
    </row>
    <row r="171" spans="14:36" x14ac:dyDescent="0.2">
      <c r="N171" s="2"/>
      <c r="O171" s="318"/>
      <c r="T171" s="318"/>
      <c r="Y171" s="1580" t="s">
        <v>846</v>
      </c>
      <c r="Z171" s="1588"/>
      <c r="AA171" s="1587"/>
      <c r="AB171" s="1587"/>
      <c r="AC171" s="420"/>
      <c r="AD171" s="420"/>
      <c r="AE171" s="420"/>
      <c r="AF171" s="420"/>
      <c r="AG171" s="411" t="s">
        <v>1537</v>
      </c>
      <c r="AH171" s="421"/>
      <c r="AI171" s="437"/>
      <c r="AJ171" s="380" t="s">
        <v>1538</v>
      </c>
    </row>
    <row r="172" spans="14:36" ht="26.4" x14ac:dyDescent="0.2">
      <c r="N172" s="2"/>
      <c r="O172" s="318"/>
      <c r="T172" s="318"/>
      <c r="Y172" s="1580" t="s">
        <v>854</v>
      </c>
      <c r="Z172" s="1588"/>
      <c r="AA172" s="1587"/>
      <c r="AB172" s="1587"/>
      <c r="AC172" s="420"/>
      <c r="AD172" s="420"/>
      <c r="AE172" s="420"/>
      <c r="AF172" s="420"/>
      <c r="AG172" s="490">
        <v>0.2</v>
      </c>
      <c r="AH172" s="421"/>
      <c r="AI172" s="437"/>
      <c r="AJ172" s="380" t="s">
        <v>1539</v>
      </c>
    </row>
    <row r="173" spans="14:36" ht="39.6" x14ac:dyDescent="0.2">
      <c r="N173" s="2"/>
      <c r="O173" s="318"/>
      <c r="T173" s="318"/>
      <c r="Y173" s="1580" t="s">
        <v>861</v>
      </c>
      <c r="Z173" s="1588"/>
      <c r="AA173" s="1587"/>
      <c r="AB173" s="1587"/>
      <c r="AC173" s="420" t="s">
        <v>48</v>
      </c>
      <c r="AD173" s="420"/>
      <c r="AE173" s="420"/>
      <c r="AF173" s="420"/>
      <c r="AG173" s="490">
        <v>0.7</v>
      </c>
      <c r="AH173" s="421"/>
      <c r="AI173" s="437"/>
      <c r="AJ173" s="380" t="s">
        <v>1540</v>
      </c>
    </row>
    <row r="174" spans="14:36" x14ac:dyDescent="0.2">
      <c r="N174" s="2"/>
      <c r="O174" s="318"/>
      <c r="T174" s="318"/>
      <c r="Y174" s="1580" t="s">
        <v>869</v>
      </c>
      <c r="Z174" s="1581"/>
      <c r="AA174" s="1584"/>
      <c r="AB174" s="1584"/>
      <c r="AC174" s="420" t="s">
        <v>1541</v>
      </c>
      <c r="AD174" s="420"/>
      <c r="AE174" s="420"/>
      <c r="AF174" s="420"/>
      <c r="AG174" s="411">
        <v>173.5</v>
      </c>
      <c r="AH174" s="421"/>
      <c r="AI174" s="437"/>
      <c r="AJ174" s="380" t="s">
        <v>865</v>
      </c>
    </row>
    <row r="175" spans="14:36" x14ac:dyDescent="0.2">
      <c r="N175" s="2"/>
      <c r="O175" s="318"/>
      <c r="T175" s="318"/>
      <c r="Y175" s="1580" t="s">
        <v>876</v>
      </c>
      <c r="Z175" s="1582"/>
      <c r="AA175" s="1584"/>
      <c r="AB175" s="1584"/>
      <c r="AC175" s="436"/>
      <c r="AD175" s="436"/>
      <c r="AE175" s="436"/>
      <c r="AF175" s="436"/>
      <c r="AG175" s="411">
        <v>22</v>
      </c>
      <c r="AH175" s="421"/>
      <c r="AI175" s="437"/>
      <c r="AJ175" s="380" t="s">
        <v>872</v>
      </c>
    </row>
    <row r="176" spans="14:36" x14ac:dyDescent="0.2">
      <c r="N176" s="2"/>
      <c r="O176" s="318"/>
      <c r="T176" s="318"/>
      <c r="Y176" s="1580" t="s">
        <v>883</v>
      </c>
      <c r="Z176" s="1582"/>
      <c r="AA176" s="1596"/>
      <c r="AB176" s="1593"/>
      <c r="AC176" s="436"/>
      <c r="AD176" s="436"/>
      <c r="AE176" s="436"/>
      <c r="AF176" s="436"/>
      <c r="AG176" s="411">
        <v>28000</v>
      </c>
      <c r="AH176" s="421"/>
      <c r="AI176" s="437"/>
      <c r="AJ176" s="380" t="s">
        <v>865</v>
      </c>
    </row>
    <row r="177" spans="14:36" x14ac:dyDescent="0.2">
      <c r="N177" s="2"/>
      <c r="O177" s="318"/>
      <c r="T177" s="318"/>
      <c r="Y177" s="1580" t="s">
        <v>887</v>
      </c>
      <c r="Z177" s="1583"/>
      <c r="AA177" s="1597"/>
      <c r="AB177" s="1598"/>
      <c r="AC177" s="436"/>
      <c r="AD177" s="436"/>
      <c r="AE177" s="436"/>
      <c r="AF177" s="436"/>
      <c r="AG177" s="411">
        <v>32000</v>
      </c>
      <c r="AH177" s="421"/>
      <c r="AI177" s="437"/>
      <c r="AJ177" s="380" t="s">
        <v>865</v>
      </c>
    </row>
    <row r="178" spans="14:36" x14ac:dyDescent="0.2">
      <c r="N178" s="2"/>
      <c r="O178" s="318"/>
      <c r="T178" s="318"/>
    </row>
    <row r="179" spans="14:36" x14ac:dyDescent="0.2">
      <c r="N179" s="2"/>
      <c r="O179" s="318"/>
      <c r="T179" s="318"/>
    </row>
    <row r="180" spans="14:36" x14ac:dyDescent="0.2">
      <c r="N180" s="2"/>
      <c r="O180" s="318"/>
      <c r="T180" s="318"/>
    </row>
    <row r="181" spans="14:36" x14ac:dyDescent="0.2">
      <c r="N181" s="2"/>
      <c r="O181" s="318"/>
      <c r="T181" s="318"/>
    </row>
    <row r="182" spans="14:36" x14ac:dyDescent="0.2">
      <c r="N182" s="2"/>
      <c r="O182" s="318"/>
      <c r="T182" s="318"/>
    </row>
    <row r="183" spans="14:36" x14ac:dyDescent="0.2">
      <c r="N183" s="2"/>
      <c r="O183" s="318"/>
      <c r="T183" s="318"/>
    </row>
    <row r="184" spans="14:36" x14ac:dyDescent="0.2">
      <c r="N184" s="2"/>
      <c r="O184" s="318"/>
      <c r="T184" s="318"/>
    </row>
    <row r="185" spans="14:36" x14ac:dyDescent="0.2">
      <c r="N185" s="2"/>
      <c r="O185" s="318"/>
      <c r="T185" s="318"/>
    </row>
    <row r="186" spans="14:36" x14ac:dyDescent="0.2">
      <c r="N186" s="2"/>
      <c r="O186" s="318"/>
      <c r="T186" s="318"/>
    </row>
    <row r="187" spans="14:36" x14ac:dyDescent="0.2">
      <c r="N187" s="2"/>
      <c r="O187" s="318"/>
      <c r="T187" s="318"/>
    </row>
    <row r="188" spans="14:36" x14ac:dyDescent="0.2">
      <c r="N188" s="2"/>
      <c r="O188" s="318"/>
      <c r="T188" s="318"/>
    </row>
    <row r="189" spans="14:36" x14ac:dyDescent="0.2">
      <c r="N189" s="2"/>
      <c r="O189" s="318"/>
      <c r="T189" s="318"/>
    </row>
    <row r="190" spans="14:36" x14ac:dyDescent="0.2">
      <c r="N190" s="2"/>
      <c r="O190" s="318"/>
      <c r="T190" s="318"/>
    </row>
    <row r="191" spans="14:36" x14ac:dyDescent="0.2">
      <c r="N191" s="2"/>
      <c r="O191" s="318"/>
      <c r="T191" s="318"/>
    </row>
    <row r="192" spans="14:36" x14ac:dyDescent="0.2">
      <c r="N192" s="2"/>
      <c r="O192" s="318"/>
      <c r="T192" s="318"/>
    </row>
    <row r="193" spans="14:20" x14ac:dyDescent="0.2">
      <c r="N193" s="2"/>
      <c r="O193" s="318"/>
      <c r="T193" s="318"/>
    </row>
    <row r="194" spans="14:20" x14ac:dyDescent="0.2">
      <c r="N194" s="2"/>
      <c r="O194" s="318"/>
      <c r="T194" s="318"/>
    </row>
    <row r="195" spans="14:20" x14ac:dyDescent="0.2">
      <c r="N195" s="2"/>
      <c r="O195" s="318"/>
      <c r="T195" s="318"/>
    </row>
    <row r="196" spans="14:20" x14ac:dyDescent="0.2">
      <c r="N196" s="2"/>
      <c r="O196" s="318"/>
      <c r="T196" s="318"/>
    </row>
    <row r="197" spans="14:20" x14ac:dyDescent="0.2">
      <c r="N197" s="2"/>
      <c r="O197" s="318"/>
      <c r="T197" s="318"/>
    </row>
    <row r="198" spans="14:20" x14ac:dyDescent="0.2">
      <c r="N198" s="2"/>
      <c r="O198" s="318"/>
      <c r="T198" s="318"/>
    </row>
  </sheetData>
  <mergeCells count="103">
    <mergeCell ref="Z171:Z173"/>
    <mergeCell ref="Z174:Z177"/>
    <mergeCell ref="AA176:AA177"/>
    <mergeCell ref="Z153:Z164"/>
    <mergeCell ref="Z165:Z167"/>
    <mergeCell ref="AA165:AA167"/>
    <mergeCell ref="AG165:AG167"/>
    <mergeCell ref="AI165:AI167"/>
    <mergeCell ref="Z168:Z169"/>
    <mergeCell ref="AJ140:AJ142"/>
    <mergeCell ref="AA143:AA144"/>
    <mergeCell ref="AG143:AG144"/>
    <mergeCell ref="AI143:AI144"/>
    <mergeCell ref="AA151:AA152"/>
    <mergeCell ref="AG151:AG152"/>
    <mergeCell ref="AI151:AI152"/>
    <mergeCell ref="AG133:AG135"/>
    <mergeCell ref="AI133:AI135"/>
    <mergeCell ref="Z137:Z139"/>
    <mergeCell ref="Z140:Z152"/>
    <mergeCell ref="AA140:AA142"/>
    <mergeCell ref="AG140:AG142"/>
    <mergeCell ref="AI140:AI142"/>
    <mergeCell ref="AG123:AG125"/>
    <mergeCell ref="AI123:AI125"/>
    <mergeCell ref="AA126:AA128"/>
    <mergeCell ref="AG126:AG128"/>
    <mergeCell ref="AI126:AI128"/>
    <mergeCell ref="Z130:Z136"/>
    <mergeCell ref="AA130:AA132"/>
    <mergeCell ref="AG130:AG132"/>
    <mergeCell ref="AI130:AI132"/>
    <mergeCell ref="AA133:AA135"/>
    <mergeCell ref="N86:N92"/>
    <mergeCell ref="O86:O92"/>
    <mergeCell ref="Z117:Z129"/>
    <mergeCell ref="AA117:AA119"/>
    <mergeCell ref="AG117:AG119"/>
    <mergeCell ref="AI117:AI119"/>
    <mergeCell ref="AA120:AA122"/>
    <mergeCell ref="AG120:AG122"/>
    <mergeCell ref="AI120:AI122"/>
    <mergeCell ref="AA123:AA125"/>
    <mergeCell ref="N74:N75"/>
    <mergeCell ref="N77:N78"/>
    <mergeCell ref="N79:N80"/>
    <mergeCell ref="O79:O80"/>
    <mergeCell ref="N81:N84"/>
    <mergeCell ref="O81:O84"/>
    <mergeCell ref="N46:N56"/>
    <mergeCell ref="O46:O56"/>
    <mergeCell ref="N57:N62"/>
    <mergeCell ref="O57:O62"/>
    <mergeCell ref="N63:N73"/>
    <mergeCell ref="O63:O73"/>
    <mergeCell ref="AG25:AG29"/>
    <mergeCell ref="AH25:AH29"/>
    <mergeCell ref="AI25:AI29"/>
    <mergeCell ref="O27:O39"/>
    <mergeCell ref="Z33:Z36"/>
    <mergeCell ref="AA33:AA36"/>
    <mergeCell ref="Z37:Z38"/>
    <mergeCell ref="Z39:Z43"/>
    <mergeCell ref="O40:O45"/>
    <mergeCell ref="AA41:AA43"/>
    <mergeCell ref="O21:O26"/>
    <mergeCell ref="X21:X26"/>
    <mergeCell ref="Z23:Z32"/>
    <mergeCell ref="AA23:AA32"/>
    <mergeCell ref="AB25:AB29"/>
    <mergeCell ref="AC25:AC29"/>
    <mergeCell ref="C13:C18"/>
    <mergeCell ref="D13:D16"/>
    <mergeCell ref="AA16:AA18"/>
    <mergeCell ref="AG16:AG18"/>
    <mergeCell ref="AH16:AH18"/>
    <mergeCell ref="D17:D18"/>
    <mergeCell ref="AA8:AA15"/>
    <mergeCell ref="AG8:AG15"/>
    <mergeCell ref="AH8:AH15"/>
    <mergeCell ref="AI8:AI22"/>
    <mergeCell ref="AJ8:AJ15"/>
    <mergeCell ref="L10:L12"/>
    <mergeCell ref="AA19:AA22"/>
    <mergeCell ref="AG19:AG22"/>
    <mergeCell ref="AH19:AH22"/>
    <mergeCell ref="AJ19:AJ22"/>
    <mergeCell ref="I7:J7"/>
    <mergeCell ref="T7:U7"/>
    <mergeCell ref="AB7:AC7"/>
    <mergeCell ref="C8:C12"/>
    <mergeCell ref="D8:D9"/>
    <mergeCell ref="L8:L9"/>
    <mergeCell ref="N8:N45"/>
    <mergeCell ref="O8:O20"/>
    <mergeCell ref="X8:X20"/>
    <mergeCell ref="Z8:Z22"/>
    <mergeCell ref="B2:E2"/>
    <mergeCell ref="B3:D3"/>
    <mergeCell ref="B5:D5"/>
    <mergeCell ref="B6:L6"/>
    <mergeCell ref="M6:X6"/>
    <mergeCell ref="Y6:AJ6"/>
  </mergeCells>
  <dataValidations count="8">
    <dataValidation type="list" allowBlank="1" showInputMessage="1" showErrorMessage="1" sqref="AG8" xr:uid="{D04EEAED-A55B-4F85-8E1D-2BD107FAF922}">
      <formula1>$AB$8:$AB$15</formula1>
    </dataValidation>
    <dataValidation type="list" allowBlank="1" showInputMessage="1" showErrorMessage="1" sqref="AG117:AG152 AG165:AG170" xr:uid="{D6A9ACFE-9AA9-47C6-9999-109FB3D06DA0}">
      <formula1>$AG$120:$AG$122</formula1>
    </dataValidation>
    <dataValidation type="list" allowBlank="1" showInputMessage="1" showErrorMessage="1" sqref="AG137:AG156 AG170 AG158:AG160" xr:uid="{41806ABF-F45F-4DB9-B9BF-263B950A20DA}">
      <formula1>$AG$131:$AG$132</formula1>
    </dataValidation>
    <dataValidation type="list" allowBlank="1" showInputMessage="1" showErrorMessage="1" sqref="AG143:AG144 AG151:AG152" xr:uid="{ECEF893A-F86C-4F96-AF3F-78711710D319}">
      <formula1>$AG$120:$AG$121</formula1>
    </dataValidation>
    <dataValidation type="list" allowBlank="1" showInputMessage="1" showErrorMessage="1" sqref="AG171" xr:uid="{EB1D5AC3-0E52-44EB-A014-D12F991E7A7B}">
      <formula1>$AG$134:$AG$136</formula1>
    </dataValidation>
    <dataValidation type="list" allowBlank="1" showInputMessage="1" showErrorMessage="1" sqref="AG16:AG18" xr:uid="{B73742AB-1A69-48AB-A244-6AD36C2DC46B}">
      <formula1>$AB$16:$AB$18</formula1>
    </dataValidation>
    <dataValidation type="list" allowBlank="1" showInputMessage="1" showErrorMessage="1" sqref="AG19:AG22" xr:uid="{06EA5130-8774-435C-A4C0-DC5D1A4A7888}">
      <formula1>$AB$19:$AB$22</formula1>
    </dataValidation>
    <dataValidation type="list" allowBlank="1" showInputMessage="1" showErrorMessage="1" sqref="AG44:AG45 AG23:AG32 E3:E4" xr:uid="{34F858F9-9E89-4B48-BBB0-5A292739A245}">
      <formula1>$AH$112:$AH$113</formula1>
    </dataValidation>
  </dataValidations>
  <pageMargins left="0.7" right="0.7" top="0.75" bottom="0.75" header="0.3" footer="0.3"/>
  <pageSetup paperSize="8" scale="21" orientation="landscape" verticalDpi="1200"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AAF77-CAFC-4D4A-A759-E28A25C0466A}">
  <sheetPr>
    <tabColor rgb="FFFFCCFF"/>
    <pageSetUpPr fitToPage="1"/>
  </sheetPr>
  <dimension ref="A1:AI119"/>
  <sheetViews>
    <sheetView showGridLines="0" view="pageBreakPreview" zoomScale="40" zoomScaleNormal="70" zoomScaleSheetLayoutView="40" zoomScalePageLayoutView="55" workbookViewId="0">
      <pane xSplit="8" ySplit="20" topLeftCell="I95" activePane="bottomRight" state="frozen"/>
      <selection activeCell="J114" sqref="J114"/>
      <selection pane="topRight" activeCell="J114" sqref="J114"/>
      <selection pane="bottomLeft" activeCell="J114" sqref="J114"/>
      <selection pane="bottomRight" activeCell="J114" sqref="J114"/>
    </sheetView>
  </sheetViews>
  <sheetFormatPr defaultColWidth="7.09765625" defaultRowHeight="84" customHeight="1" x14ac:dyDescent="0.15"/>
  <cols>
    <col min="1" max="1" width="17.09765625" style="303" customWidth="1"/>
    <col min="2" max="2" width="24.3984375" style="303" bestFit="1" customWidth="1"/>
    <col min="3" max="3" width="13.3984375" style="303" customWidth="1"/>
    <col min="4" max="4" width="4.3984375" style="303" customWidth="1"/>
    <col min="5" max="5" width="43.3984375" style="304" customWidth="1"/>
    <col min="6" max="7" width="8.19921875" style="63" customWidth="1"/>
    <col min="8" max="8" width="8.796875" style="63" customWidth="1"/>
    <col min="9" max="29" width="11.19921875" style="63" customWidth="1"/>
    <col min="30" max="30" width="15.796875" style="63" customWidth="1"/>
    <col min="31" max="31" width="1.796875" style="63" customWidth="1"/>
    <col min="32" max="213" width="7.09765625" style="63"/>
    <col min="214" max="214" width="4.796875" style="63" customWidth="1"/>
    <col min="215" max="215" width="3" style="63" customWidth="1"/>
    <col min="216" max="216" width="37.19921875" style="63" customWidth="1"/>
    <col min="217" max="219" width="5.796875" style="63" customWidth="1"/>
    <col min="220" max="221" width="7.3984375" style="63" customWidth="1"/>
    <col min="222" max="222" width="14.3984375" style="63" bestFit="1" customWidth="1"/>
    <col min="223" max="223" width="15.796875" style="63" bestFit="1" customWidth="1"/>
    <col min="224" max="224" width="10.296875" style="63" customWidth="1"/>
    <col min="225" max="225" width="7.09765625" style="63"/>
    <col min="226" max="226" width="12.3984375" style="63" bestFit="1" customWidth="1"/>
    <col min="227" max="227" width="12.69921875" style="63" bestFit="1" customWidth="1"/>
    <col min="228" max="228" width="7.796875" style="63" bestFit="1" customWidth="1"/>
    <col min="229" max="229" width="7.09765625" style="63"/>
    <col min="230" max="230" width="8.59765625" style="63" bestFit="1" customWidth="1"/>
    <col min="231" max="469" width="7.09765625" style="63"/>
    <col min="470" max="470" width="4.796875" style="63" customWidth="1"/>
    <col min="471" max="471" width="3" style="63" customWidth="1"/>
    <col min="472" max="472" width="37.19921875" style="63" customWidth="1"/>
    <col min="473" max="475" width="5.796875" style="63" customWidth="1"/>
    <col min="476" max="477" width="7.3984375" style="63" customWidth="1"/>
    <col min="478" max="478" width="14.3984375" style="63" bestFit="1" customWidth="1"/>
    <col min="479" max="479" width="15.796875" style="63" bestFit="1" customWidth="1"/>
    <col min="480" max="480" width="10.296875" style="63" customWidth="1"/>
    <col min="481" max="481" width="7.09765625" style="63"/>
    <col min="482" max="482" width="12.3984375" style="63" bestFit="1" customWidth="1"/>
    <col min="483" max="483" width="12.69921875" style="63" bestFit="1" customWidth="1"/>
    <col min="484" max="484" width="7.796875" style="63" bestFit="1" customWidth="1"/>
    <col min="485" max="485" width="7.09765625" style="63"/>
    <col min="486" max="486" width="8.59765625" style="63" bestFit="1" customWidth="1"/>
    <col min="487" max="725" width="7.09765625" style="63"/>
    <col min="726" max="726" width="4.796875" style="63" customWidth="1"/>
    <col min="727" max="727" width="3" style="63" customWidth="1"/>
    <col min="728" max="728" width="37.19921875" style="63" customWidth="1"/>
    <col min="729" max="731" width="5.796875" style="63" customWidth="1"/>
    <col min="732" max="733" width="7.3984375" style="63" customWidth="1"/>
    <col min="734" max="734" width="14.3984375" style="63" bestFit="1" customWidth="1"/>
    <col min="735" max="735" width="15.796875" style="63" bestFit="1" customWidth="1"/>
    <col min="736" max="736" width="10.296875" style="63" customWidth="1"/>
    <col min="737" max="737" width="7.09765625" style="63"/>
    <col min="738" max="738" width="12.3984375" style="63" bestFit="1" customWidth="1"/>
    <col min="739" max="739" width="12.69921875" style="63" bestFit="1" customWidth="1"/>
    <col min="740" max="740" width="7.796875" style="63" bestFit="1" customWidth="1"/>
    <col min="741" max="741" width="7.09765625" style="63"/>
    <col min="742" max="742" width="8.59765625" style="63" bestFit="1" customWidth="1"/>
    <col min="743" max="981" width="7.09765625" style="63"/>
    <col min="982" max="982" width="4.796875" style="63" customWidth="1"/>
    <col min="983" max="983" width="3" style="63" customWidth="1"/>
    <col min="984" max="984" width="37.19921875" style="63" customWidth="1"/>
    <col min="985" max="987" width="5.796875" style="63" customWidth="1"/>
    <col min="988" max="989" width="7.3984375" style="63" customWidth="1"/>
    <col min="990" max="990" width="14.3984375" style="63" bestFit="1" customWidth="1"/>
    <col min="991" max="991" width="15.796875" style="63" bestFit="1" customWidth="1"/>
    <col min="992" max="992" width="10.296875" style="63" customWidth="1"/>
    <col min="993" max="993" width="7.09765625" style="63"/>
    <col min="994" max="994" width="12.3984375" style="63" bestFit="1" customWidth="1"/>
    <col min="995" max="995" width="12.69921875" style="63" bestFit="1" customWidth="1"/>
    <col min="996" max="996" width="7.796875" style="63" bestFit="1" customWidth="1"/>
    <col min="997" max="997" width="7.09765625" style="63"/>
    <col min="998" max="998" width="8.59765625" style="63" bestFit="1" customWidth="1"/>
    <col min="999" max="1237" width="7.09765625" style="63"/>
    <col min="1238" max="1238" width="4.796875" style="63" customWidth="1"/>
    <col min="1239" max="1239" width="3" style="63" customWidth="1"/>
    <col min="1240" max="1240" width="37.19921875" style="63" customWidth="1"/>
    <col min="1241" max="1243" width="5.796875" style="63" customWidth="1"/>
    <col min="1244" max="1245" width="7.3984375" style="63" customWidth="1"/>
    <col min="1246" max="1246" width="14.3984375" style="63" bestFit="1" customWidth="1"/>
    <col min="1247" max="1247" width="15.796875" style="63" bestFit="1" customWidth="1"/>
    <col min="1248" max="1248" width="10.296875" style="63" customWidth="1"/>
    <col min="1249" max="1249" width="7.09765625" style="63"/>
    <col min="1250" max="1250" width="12.3984375" style="63" bestFit="1" customWidth="1"/>
    <col min="1251" max="1251" width="12.69921875" style="63" bestFit="1" customWidth="1"/>
    <col min="1252" max="1252" width="7.796875" style="63" bestFit="1" customWidth="1"/>
    <col min="1253" max="1253" width="7.09765625" style="63"/>
    <col min="1254" max="1254" width="8.59765625" style="63" bestFit="1" customWidth="1"/>
    <col min="1255" max="1493" width="7.09765625" style="63"/>
    <col min="1494" max="1494" width="4.796875" style="63" customWidth="1"/>
    <col min="1495" max="1495" width="3" style="63" customWidth="1"/>
    <col min="1496" max="1496" width="37.19921875" style="63" customWidth="1"/>
    <col min="1497" max="1499" width="5.796875" style="63" customWidth="1"/>
    <col min="1500" max="1501" width="7.3984375" style="63" customWidth="1"/>
    <col min="1502" max="1502" width="14.3984375" style="63" bestFit="1" customWidth="1"/>
    <col min="1503" max="1503" width="15.796875" style="63" bestFit="1" customWidth="1"/>
    <col min="1504" max="1504" width="10.296875" style="63" customWidth="1"/>
    <col min="1505" max="1505" width="7.09765625" style="63"/>
    <col min="1506" max="1506" width="12.3984375" style="63" bestFit="1" customWidth="1"/>
    <col min="1507" max="1507" width="12.69921875" style="63" bestFit="1" customWidth="1"/>
    <col min="1508" max="1508" width="7.796875" style="63" bestFit="1" customWidth="1"/>
    <col min="1509" max="1509" width="7.09765625" style="63"/>
    <col min="1510" max="1510" width="8.59765625" style="63" bestFit="1" customWidth="1"/>
    <col min="1511" max="1749" width="7.09765625" style="63"/>
    <col min="1750" max="1750" width="4.796875" style="63" customWidth="1"/>
    <col min="1751" max="1751" width="3" style="63" customWidth="1"/>
    <col min="1752" max="1752" width="37.19921875" style="63" customWidth="1"/>
    <col min="1753" max="1755" width="5.796875" style="63" customWidth="1"/>
    <col min="1756" max="1757" width="7.3984375" style="63" customWidth="1"/>
    <col min="1758" max="1758" width="14.3984375" style="63" bestFit="1" customWidth="1"/>
    <col min="1759" max="1759" width="15.796875" style="63" bestFit="1" customWidth="1"/>
    <col min="1760" max="1760" width="10.296875" style="63" customWidth="1"/>
    <col min="1761" max="1761" width="7.09765625" style="63"/>
    <col min="1762" max="1762" width="12.3984375" style="63" bestFit="1" customWidth="1"/>
    <col min="1763" max="1763" width="12.69921875" style="63" bestFit="1" customWidth="1"/>
    <col min="1764" max="1764" width="7.796875" style="63" bestFit="1" customWidth="1"/>
    <col min="1765" max="1765" width="7.09765625" style="63"/>
    <col min="1766" max="1766" width="8.59765625" style="63" bestFit="1" customWidth="1"/>
    <col min="1767" max="2005" width="7.09765625" style="63"/>
    <col min="2006" max="2006" width="4.796875" style="63" customWidth="1"/>
    <col min="2007" max="2007" width="3" style="63" customWidth="1"/>
    <col min="2008" max="2008" width="37.19921875" style="63" customWidth="1"/>
    <col min="2009" max="2011" width="5.796875" style="63" customWidth="1"/>
    <col min="2012" max="2013" width="7.3984375" style="63" customWidth="1"/>
    <col min="2014" max="2014" width="14.3984375" style="63" bestFit="1" customWidth="1"/>
    <col min="2015" max="2015" width="15.796875" style="63" bestFit="1" customWidth="1"/>
    <col min="2016" max="2016" width="10.296875" style="63" customWidth="1"/>
    <col min="2017" max="2017" width="7.09765625" style="63"/>
    <col min="2018" max="2018" width="12.3984375" style="63" bestFit="1" customWidth="1"/>
    <col min="2019" max="2019" width="12.69921875" style="63" bestFit="1" customWidth="1"/>
    <col min="2020" max="2020" width="7.796875" style="63" bestFit="1" customWidth="1"/>
    <col min="2021" max="2021" width="7.09765625" style="63"/>
    <col min="2022" max="2022" width="8.59765625" style="63" bestFit="1" customWidth="1"/>
    <col min="2023" max="2261" width="7.09765625" style="63"/>
    <col min="2262" max="2262" width="4.796875" style="63" customWidth="1"/>
    <col min="2263" max="2263" width="3" style="63" customWidth="1"/>
    <col min="2264" max="2264" width="37.19921875" style="63" customWidth="1"/>
    <col min="2265" max="2267" width="5.796875" style="63" customWidth="1"/>
    <col min="2268" max="2269" width="7.3984375" style="63" customWidth="1"/>
    <col min="2270" max="2270" width="14.3984375" style="63" bestFit="1" customWidth="1"/>
    <col min="2271" max="2271" width="15.796875" style="63" bestFit="1" customWidth="1"/>
    <col min="2272" max="2272" width="10.296875" style="63" customWidth="1"/>
    <col min="2273" max="2273" width="7.09765625" style="63"/>
    <col min="2274" max="2274" width="12.3984375" style="63" bestFit="1" customWidth="1"/>
    <col min="2275" max="2275" width="12.69921875" style="63" bestFit="1" customWidth="1"/>
    <col min="2276" max="2276" width="7.796875" style="63" bestFit="1" customWidth="1"/>
    <col min="2277" max="2277" width="7.09765625" style="63"/>
    <col min="2278" max="2278" width="8.59765625" style="63" bestFit="1" customWidth="1"/>
    <col min="2279" max="2517" width="7.09765625" style="63"/>
    <col min="2518" max="2518" width="4.796875" style="63" customWidth="1"/>
    <col min="2519" max="2519" width="3" style="63" customWidth="1"/>
    <col min="2520" max="2520" width="37.19921875" style="63" customWidth="1"/>
    <col min="2521" max="2523" width="5.796875" style="63" customWidth="1"/>
    <col min="2524" max="2525" width="7.3984375" style="63" customWidth="1"/>
    <col min="2526" max="2526" width="14.3984375" style="63" bestFit="1" customWidth="1"/>
    <col min="2527" max="2527" width="15.796875" style="63" bestFit="1" customWidth="1"/>
    <col min="2528" max="2528" width="10.296875" style="63" customWidth="1"/>
    <col min="2529" max="2529" width="7.09765625" style="63"/>
    <col min="2530" max="2530" width="12.3984375" style="63" bestFit="1" customWidth="1"/>
    <col min="2531" max="2531" width="12.69921875" style="63" bestFit="1" customWidth="1"/>
    <col min="2532" max="2532" width="7.796875" style="63" bestFit="1" customWidth="1"/>
    <col min="2533" max="2533" width="7.09765625" style="63"/>
    <col min="2534" max="2534" width="8.59765625" style="63" bestFit="1" customWidth="1"/>
    <col min="2535" max="2773" width="7.09765625" style="63"/>
    <col min="2774" max="2774" width="4.796875" style="63" customWidth="1"/>
    <col min="2775" max="2775" width="3" style="63" customWidth="1"/>
    <col min="2776" max="2776" width="37.19921875" style="63" customWidth="1"/>
    <col min="2777" max="2779" width="5.796875" style="63" customWidth="1"/>
    <col min="2780" max="2781" width="7.3984375" style="63" customWidth="1"/>
    <col min="2782" max="2782" width="14.3984375" style="63" bestFit="1" customWidth="1"/>
    <col min="2783" max="2783" width="15.796875" style="63" bestFit="1" customWidth="1"/>
    <col min="2784" max="2784" width="10.296875" style="63" customWidth="1"/>
    <col min="2785" max="2785" width="7.09765625" style="63"/>
    <col min="2786" max="2786" width="12.3984375" style="63" bestFit="1" customWidth="1"/>
    <col min="2787" max="2787" width="12.69921875" style="63" bestFit="1" customWidth="1"/>
    <col min="2788" max="2788" width="7.796875" style="63" bestFit="1" customWidth="1"/>
    <col min="2789" max="2789" width="7.09765625" style="63"/>
    <col min="2790" max="2790" width="8.59765625" style="63" bestFit="1" customWidth="1"/>
    <col min="2791" max="3029" width="7.09765625" style="63"/>
    <col min="3030" max="3030" width="4.796875" style="63" customWidth="1"/>
    <col min="3031" max="3031" width="3" style="63" customWidth="1"/>
    <col min="3032" max="3032" width="37.19921875" style="63" customWidth="1"/>
    <col min="3033" max="3035" width="5.796875" style="63" customWidth="1"/>
    <col min="3036" max="3037" width="7.3984375" style="63" customWidth="1"/>
    <col min="3038" max="3038" width="14.3984375" style="63" bestFit="1" customWidth="1"/>
    <col min="3039" max="3039" width="15.796875" style="63" bestFit="1" customWidth="1"/>
    <col min="3040" max="3040" width="10.296875" style="63" customWidth="1"/>
    <col min="3041" max="3041" width="7.09765625" style="63"/>
    <col min="3042" max="3042" width="12.3984375" style="63" bestFit="1" customWidth="1"/>
    <col min="3043" max="3043" width="12.69921875" style="63" bestFit="1" customWidth="1"/>
    <col min="3044" max="3044" width="7.796875" style="63" bestFit="1" customWidth="1"/>
    <col min="3045" max="3045" width="7.09765625" style="63"/>
    <col min="3046" max="3046" width="8.59765625" style="63" bestFit="1" customWidth="1"/>
    <col min="3047" max="3285" width="7.09765625" style="63"/>
    <col min="3286" max="3286" width="4.796875" style="63" customWidth="1"/>
    <col min="3287" max="3287" width="3" style="63" customWidth="1"/>
    <col min="3288" max="3288" width="37.19921875" style="63" customWidth="1"/>
    <col min="3289" max="3291" width="5.796875" style="63" customWidth="1"/>
    <col min="3292" max="3293" width="7.3984375" style="63" customWidth="1"/>
    <col min="3294" max="3294" width="14.3984375" style="63" bestFit="1" customWidth="1"/>
    <col min="3295" max="3295" width="15.796875" style="63" bestFit="1" customWidth="1"/>
    <col min="3296" max="3296" width="10.296875" style="63" customWidth="1"/>
    <col min="3297" max="3297" width="7.09765625" style="63"/>
    <col min="3298" max="3298" width="12.3984375" style="63" bestFit="1" customWidth="1"/>
    <col min="3299" max="3299" width="12.69921875" style="63" bestFit="1" customWidth="1"/>
    <col min="3300" max="3300" width="7.796875" style="63" bestFit="1" customWidth="1"/>
    <col min="3301" max="3301" width="7.09765625" style="63"/>
    <col min="3302" max="3302" width="8.59765625" style="63" bestFit="1" customWidth="1"/>
    <col min="3303" max="3541" width="7.09765625" style="63"/>
    <col min="3542" max="3542" width="4.796875" style="63" customWidth="1"/>
    <col min="3543" max="3543" width="3" style="63" customWidth="1"/>
    <col min="3544" max="3544" width="37.19921875" style="63" customWidth="1"/>
    <col min="3545" max="3547" width="5.796875" style="63" customWidth="1"/>
    <col min="3548" max="3549" width="7.3984375" style="63" customWidth="1"/>
    <col min="3550" max="3550" width="14.3984375" style="63" bestFit="1" customWidth="1"/>
    <col min="3551" max="3551" width="15.796875" style="63" bestFit="1" customWidth="1"/>
    <col min="3552" max="3552" width="10.296875" style="63" customWidth="1"/>
    <col min="3553" max="3553" width="7.09765625" style="63"/>
    <col min="3554" max="3554" width="12.3984375" style="63" bestFit="1" customWidth="1"/>
    <col min="3555" max="3555" width="12.69921875" style="63" bestFit="1" customWidth="1"/>
    <col min="3556" max="3556" width="7.796875" style="63" bestFit="1" customWidth="1"/>
    <col min="3557" max="3557" width="7.09765625" style="63"/>
    <col min="3558" max="3558" width="8.59765625" style="63" bestFit="1" customWidth="1"/>
    <col min="3559" max="3797" width="7.09765625" style="63"/>
    <col min="3798" max="3798" width="4.796875" style="63" customWidth="1"/>
    <col min="3799" max="3799" width="3" style="63" customWidth="1"/>
    <col min="3800" max="3800" width="37.19921875" style="63" customWidth="1"/>
    <col min="3801" max="3803" width="5.796875" style="63" customWidth="1"/>
    <col min="3804" max="3805" width="7.3984375" style="63" customWidth="1"/>
    <col min="3806" max="3806" width="14.3984375" style="63" bestFit="1" customWidth="1"/>
    <col min="3807" max="3807" width="15.796875" style="63" bestFit="1" customWidth="1"/>
    <col min="3808" max="3808" width="10.296875" style="63" customWidth="1"/>
    <col min="3809" max="3809" width="7.09765625" style="63"/>
    <col min="3810" max="3810" width="12.3984375" style="63" bestFit="1" customWidth="1"/>
    <col min="3811" max="3811" width="12.69921875" style="63" bestFit="1" customWidth="1"/>
    <col min="3812" max="3812" width="7.796875" style="63" bestFit="1" customWidth="1"/>
    <col min="3813" max="3813" width="7.09765625" style="63"/>
    <col min="3814" max="3814" width="8.59765625" style="63" bestFit="1" customWidth="1"/>
    <col min="3815" max="4053" width="7.09765625" style="63"/>
    <col min="4054" max="4054" width="4.796875" style="63" customWidth="1"/>
    <col min="4055" max="4055" width="3" style="63" customWidth="1"/>
    <col min="4056" max="4056" width="37.19921875" style="63" customWidth="1"/>
    <col min="4057" max="4059" width="5.796875" style="63" customWidth="1"/>
    <col min="4060" max="4061" width="7.3984375" style="63" customWidth="1"/>
    <col min="4062" max="4062" width="14.3984375" style="63" bestFit="1" customWidth="1"/>
    <col min="4063" max="4063" width="15.796875" style="63" bestFit="1" customWidth="1"/>
    <col min="4064" max="4064" width="10.296875" style="63" customWidth="1"/>
    <col min="4065" max="4065" width="7.09765625" style="63"/>
    <col min="4066" max="4066" width="12.3984375" style="63" bestFit="1" customWidth="1"/>
    <col min="4067" max="4067" width="12.69921875" style="63" bestFit="1" customWidth="1"/>
    <col min="4068" max="4068" width="7.796875" style="63" bestFit="1" customWidth="1"/>
    <col min="4069" max="4069" width="7.09765625" style="63"/>
    <col min="4070" max="4070" width="8.59765625" style="63" bestFit="1" customWidth="1"/>
    <col min="4071" max="4309" width="7.09765625" style="63"/>
    <col min="4310" max="4310" width="4.796875" style="63" customWidth="1"/>
    <col min="4311" max="4311" width="3" style="63" customWidth="1"/>
    <col min="4312" max="4312" width="37.19921875" style="63" customWidth="1"/>
    <col min="4313" max="4315" width="5.796875" style="63" customWidth="1"/>
    <col min="4316" max="4317" width="7.3984375" style="63" customWidth="1"/>
    <col min="4318" max="4318" width="14.3984375" style="63" bestFit="1" customWidth="1"/>
    <col min="4319" max="4319" width="15.796875" style="63" bestFit="1" customWidth="1"/>
    <col min="4320" max="4320" width="10.296875" style="63" customWidth="1"/>
    <col min="4321" max="4321" width="7.09765625" style="63"/>
    <col min="4322" max="4322" width="12.3984375" style="63" bestFit="1" customWidth="1"/>
    <col min="4323" max="4323" width="12.69921875" style="63" bestFit="1" customWidth="1"/>
    <col min="4324" max="4324" width="7.796875" style="63" bestFit="1" customWidth="1"/>
    <col min="4325" max="4325" width="7.09765625" style="63"/>
    <col min="4326" max="4326" width="8.59765625" style="63" bestFit="1" customWidth="1"/>
    <col min="4327" max="4565" width="7.09765625" style="63"/>
    <col min="4566" max="4566" width="4.796875" style="63" customWidth="1"/>
    <col min="4567" max="4567" width="3" style="63" customWidth="1"/>
    <col min="4568" max="4568" width="37.19921875" style="63" customWidth="1"/>
    <col min="4569" max="4571" width="5.796875" style="63" customWidth="1"/>
    <col min="4572" max="4573" width="7.3984375" style="63" customWidth="1"/>
    <col min="4574" max="4574" width="14.3984375" style="63" bestFit="1" customWidth="1"/>
    <col min="4575" max="4575" width="15.796875" style="63" bestFit="1" customWidth="1"/>
    <col min="4576" max="4576" width="10.296875" style="63" customWidth="1"/>
    <col min="4577" max="4577" width="7.09765625" style="63"/>
    <col min="4578" max="4578" width="12.3984375" style="63" bestFit="1" customWidth="1"/>
    <col min="4579" max="4579" width="12.69921875" style="63" bestFit="1" customWidth="1"/>
    <col min="4580" max="4580" width="7.796875" style="63" bestFit="1" customWidth="1"/>
    <col min="4581" max="4581" width="7.09765625" style="63"/>
    <col min="4582" max="4582" width="8.59765625" style="63" bestFit="1" customWidth="1"/>
    <col min="4583" max="4821" width="7.09765625" style="63"/>
    <col min="4822" max="4822" width="4.796875" style="63" customWidth="1"/>
    <col min="4823" max="4823" width="3" style="63" customWidth="1"/>
    <col min="4824" max="4824" width="37.19921875" style="63" customWidth="1"/>
    <col min="4825" max="4827" width="5.796875" style="63" customWidth="1"/>
    <col min="4828" max="4829" width="7.3984375" style="63" customWidth="1"/>
    <col min="4830" max="4830" width="14.3984375" style="63" bestFit="1" customWidth="1"/>
    <col min="4831" max="4831" width="15.796875" style="63" bestFit="1" customWidth="1"/>
    <col min="4832" max="4832" width="10.296875" style="63" customWidth="1"/>
    <col min="4833" max="4833" width="7.09765625" style="63"/>
    <col min="4834" max="4834" width="12.3984375" style="63" bestFit="1" customWidth="1"/>
    <col min="4835" max="4835" width="12.69921875" style="63" bestFit="1" customWidth="1"/>
    <col min="4836" max="4836" width="7.796875" style="63" bestFit="1" customWidth="1"/>
    <col min="4837" max="4837" width="7.09765625" style="63"/>
    <col min="4838" max="4838" width="8.59765625" style="63" bestFit="1" customWidth="1"/>
    <col min="4839" max="5077" width="7.09765625" style="63"/>
    <col min="5078" max="5078" width="4.796875" style="63" customWidth="1"/>
    <col min="5079" max="5079" width="3" style="63" customWidth="1"/>
    <col min="5080" max="5080" width="37.19921875" style="63" customWidth="1"/>
    <col min="5081" max="5083" width="5.796875" style="63" customWidth="1"/>
    <col min="5084" max="5085" width="7.3984375" style="63" customWidth="1"/>
    <col min="5086" max="5086" width="14.3984375" style="63" bestFit="1" customWidth="1"/>
    <col min="5087" max="5087" width="15.796875" style="63" bestFit="1" customWidth="1"/>
    <col min="5088" max="5088" width="10.296875" style="63" customWidth="1"/>
    <col min="5089" max="5089" width="7.09765625" style="63"/>
    <col min="5090" max="5090" width="12.3984375" style="63" bestFit="1" customWidth="1"/>
    <col min="5091" max="5091" width="12.69921875" style="63" bestFit="1" customWidth="1"/>
    <col min="5092" max="5092" width="7.796875" style="63" bestFit="1" customWidth="1"/>
    <col min="5093" max="5093" width="7.09765625" style="63"/>
    <col min="5094" max="5094" width="8.59765625" style="63" bestFit="1" customWidth="1"/>
    <col min="5095" max="5333" width="7.09765625" style="63"/>
    <col min="5334" max="5334" width="4.796875" style="63" customWidth="1"/>
    <col min="5335" max="5335" width="3" style="63" customWidth="1"/>
    <col min="5336" max="5336" width="37.19921875" style="63" customWidth="1"/>
    <col min="5337" max="5339" width="5.796875" style="63" customWidth="1"/>
    <col min="5340" max="5341" width="7.3984375" style="63" customWidth="1"/>
    <col min="5342" max="5342" width="14.3984375" style="63" bestFit="1" customWidth="1"/>
    <col min="5343" max="5343" width="15.796875" style="63" bestFit="1" customWidth="1"/>
    <col min="5344" max="5344" width="10.296875" style="63" customWidth="1"/>
    <col min="5345" max="5345" width="7.09765625" style="63"/>
    <col min="5346" max="5346" width="12.3984375" style="63" bestFit="1" customWidth="1"/>
    <col min="5347" max="5347" width="12.69921875" style="63" bestFit="1" customWidth="1"/>
    <col min="5348" max="5348" width="7.796875" style="63" bestFit="1" customWidth="1"/>
    <col min="5349" max="5349" width="7.09765625" style="63"/>
    <col min="5350" max="5350" width="8.59765625" style="63" bestFit="1" customWidth="1"/>
    <col min="5351" max="5589" width="7.09765625" style="63"/>
    <col min="5590" max="5590" width="4.796875" style="63" customWidth="1"/>
    <col min="5591" max="5591" width="3" style="63" customWidth="1"/>
    <col min="5592" max="5592" width="37.19921875" style="63" customWidth="1"/>
    <col min="5593" max="5595" width="5.796875" style="63" customWidth="1"/>
    <col min="5596" max="5597" width="7.3984375" style="63" customWidth="1"/>
    <col min="5598" max="5598" width="14.3984375" style="63" bestFit="1" customWidth="1"/>
    <col min="5599" max="5599" width="15.796875" style="63" bestFit="1" customWidth="1"/>
    <col min="5600" max="5600" width="10.296875" style="63" customWidth="1"/>
    <col min="5601" max="5601" width="7.09765625" style="63"/>
    <col min="5602" max="5602" width="12.3984375" style="63" bestFit="1" customWidth="1"/>
    <col min="5603" max="5603" width="12.69921875" style="63" bestFit="1" customWidth="1"/>
    <col min="5604" max="5604" width="7.796875" style="63" bestFit="1" customWidth="1"/>
    <col min="5605" max="5605" width="7.09765625" style="63"/>
    <col min="5606" max="5606" width="8.59765625" style="63" bestFit="1" customWidth="1"/>
    <col min="5607" max="5845" width="7.09765625" style="63"/>
    <col min="5846" max="5846" width="4.796875" style="63" customWidth="1"/>
    <col min="5847" max="5847" width="3" style="63" customWidth="1"/>
    <col min="5848" max="5848" width="37.19921875" style="63" customWidth="1"/>
    <col min="5849" max="5851" width="5.796875" style="63" customWidth="1"/>
    <col min="5852" max="5853" width="7.3984375" style="63" customWidth="1"/>
    <col min="5854" max="5854" width="14.3984375" style="63" bestFit="1" customWidth="1"/>
    <col min="5855" max="5855" width="15.796875" style="63" bestFit="1" customWidth="1"/>
    <col min="5856" max="5856" width="10.296875" style="63" customWidth="1"/>
    <col min="5857" max="5857" width="7.09765625" style="63"/>
    <col min="5858" max="5858" width="12.3984375" style="63" bestFit="1" customWidth="1"/>
    <col min="5859" max="5859" width="12.69921875" style="63" bestFit="1" customWidth="1"/>
    <col min="5860" max="5860" width="7.796875" style="63" bestFit="1" customWidth="1"/>
    <col min="5861" max="5861" width="7.09765625" style="63"/>
    <col min="5862" max="5862" width="8.59765625" style="63" bestFit="1" customWidth="1"/>
    <col min="5863" max="6101" width="7.09765625" style="63"/>
    <col min="6102" max="6102" width="4.796875" style="63" customWidth="1"/>
    <col min="6103" max="6103" width="3" style="63" customWidth="1"/>
    <col min="6104" max="6104" width="37.19921875" style="63" customWidth="1"/>
    <col min="6105" max="6107" width="5.796875" style="63" customWidth="1"/>
    <col min="6108" max="6109" width="7.3984375" style="63" customWidth="1"/>
    <col min="6110" max="6110" width="14.3984375" style="63" bestFit="1" customWidth="1"/>
    <col min="6111" max="6111" width="15.796875" style="63" bestFit="1" customWidth="1"/>
    <col min="6112" max="6112" width="10.296875" style="63" customWidth="1"/>
    <col min="6113" max="6113" width="7.09765625" style="63"/>
    <col min="6114" max="6114" width="12.3984375" style="63" bestFit="1" customWidth="1"/>
    <col min="6115" max="6115" width="12.69921875" style="63" bestFit="1" customWidth="1"/>
    <col min="6116" max="6116" width="7.796875" style="63" bestFit="1" customWidth="1"/>
    <col min="6117" max="6117" width="7.09765625" style="63"/>
    <col min="6118" max="6118" width="8.59765625" style="63" bestFit="1" customWidth="1"/>
    <col min="6119" max="6357" width="7.09765625" style="63"/>
    <col min="6358" max="6358" width="4.796875" style="63" customWidth="1"/>
    <col min="6359" max="6359" width="3" style="63" customWidth="1"/>
    <col min="6360" max="6360" width="37.19921875" style="63" customWidth="1"/>
    <col min="6361" max="6363" width="5.796875" style="63" customWidth="1"/>
    <col min="6364" max="6365" width="7.3984375" style="63" customWidth="1"/>
    <col min="6366" max="6366" width="14.3984375" style="63" bestFit="1" customWidth="1"/>
    <col min="6367" max="6367" width="15.796875" style="63" bestFit="1" customWidth="1"/>
    <col min="6368" max="6368" width="10.296875" style="63" customWidth="1"/>
    <col min="6369" max="6369" width="7.09765625" style="63"/>
    <col min="6370" max="6370" width="12.3984375" style="63" bestFit="1" customWidth="1"/>
    <col min="6371" max="6371" width="12.69921875" style="63" bestFit="1" customWidth="1"/>
    <col min="6372" max="6372" width="7.796875" style="63" bestFit="1" customWidth="1"/>
    <col min="6373" max="6373" width="7.09765625" style="63"/>
    <col min="6374" max="6374" width="8.59765625" style="63" bestFit="1" customWidth="1"/>
    <col min="6375" max="6613" width="7.09765625" style="63"/>
    <col min="6614" max="6614" width="4.796875" style="63" customWidth="1"/>
    <col min="6615" max="6615" width="3" style="63" customWidth="1"/>
    <col min="6616" max="6616" width="37.19921875" style="63" customWidth="1"/>
    <col min="6617" max="6619" width="5.796875" style="63" customWidth="1"/>
    <col min="6620" max="6621" width="7.3984375" style="63" customWidth="1"/>
    <col min="6622" max="6622" width="14.3984375" style="63" bestFit="1" customWidth="1"/>
    <col min="6623" max="6623" width="15.796875" style="63" bestFit="1" customWidth="1"/>
    <col min="6624" max="6624" width="10.296875" style="63" customWidth="1"/>
    <col min="6625" max="6625" width="7.09765625" style="63"/>
    <col min="6626" max="6626" width="12.3984375" style="63" bestFit="1" customWidth="1"/>
    <col min="6627" max="6627" width="12.69921875" style="63" bestFit="1" customWidth="1"/>
    <col min="6628" max="6628" width="7.796875" style="63" bestFit="1" customWidth="1"/>
    <col min="6629" max="6629" width="7.09765625" style="63"/>
    <col min="6630" max="6630" width="8.59765625" style="63" bestFit="1" customWidth="1"/>
    <col min="6631" max="6869" width="7.09765625" style="63"/>
    <col min="6870" max="6870" width="4.796875" style="63" customWidth="1"/>
    <col min="6871" max="6871" width="3" style="63" customWidth="1"/>
    <col min="6872" max="6872" width="37.19921875" style="63" customWidth="1"/>
    <col min="6873" max="6875" width="5.796875" style="63" customWidth="1"/>
    <col min="6876" max="6877" width="7.3984375" style="63" customWidth="1"/>
    <col min="6878" max="6878" width="14.3984375" style="63" bestFit="1" customWidth="1"/>
    <col min="6879" max="6879" width="15.796875" style="63" bestFit="1" customWidth="1"/>
    <col min="6880" max="6880" width="10.296875" style="63" customWidth="1"/>
    <col min="6881" max="6881" width="7.09765625" style="63"/>
    <col min="6882" max="6882" width="12.3984375" style="63" bestFit="1" customWidth="1"/>
    <col min="6883" max="6883" width="12.69921875" style="63" bestFit="1" customWidth="1"/>
    <col min="6884" max="6884" width="7.796875" style="63" bestFit="1" customWidth="1"/>
    <col min="6885" max="6885" width="7.09765625" style="63"/>
    <col min="6886" max="6886" width="8.59765625" style="63" bestFit="1" customWidth="1"/>
    <col min="6887" max="7125" width="7.09765625" style="63"/>
    <col min="7126" max="7126" width="4.796875" style="63" customWidth="1"/>
    <col min="7127" max="7127" width="3" style="63" customWidth="1"/>
    <col min="7128" max="7128" width="37.19921875" style="63" customWidth="1"/>
    <col min="7129" max="7131" width="5.796875" style="63" customWidth="1"/>
    <col min="7132" max="7133" width="7.3984375" style="63" customWidth="1"/>
    <col min="7134" max="7134" width="14.3984375" style="63" bestFit="1" customWidth="1"/>
    <col min="7135" max="7135" width="15.796875" style="63" bestFit="1" customWidth="1"/>
    <col min="7136" max="7136" width="10.296875" style="63" customWidth="1"/>
    <col min="7137" max="7137" width="7.09765625" style="63"/>
    <col min="7138" max="7138" width="12.3984375" style="63" bestFit="1" customWidth="1"/>
    <col min="7139" max="7139" width="12.69921875" style="63" bestFit="1" customWidth="1"/>
    <col min="7140" max="7140" width="7.796875" style="63" bestFit="1" customWidth="1"/>
    <col min="7141" max="7141" width="7.09765625" style="63"/>
    <col min="7142" max="7142" width="8.59765625" style="63" bestFit="1" customWidth="1"/>
    <col min="7143" max="7381" width="7.09765625" style="63"/>
    <col min="7382" max="7382" width="4.796875" style="63" customWidth="1"/>
    <col min="7383" max="7383" width="3" style="63" customWidth="1"/>
    <col min="7384" max="7384" width="37.19921875" style="63" customWidth="1"/>
    <col min="7385" max="7387" width="5.796875" style="63" customWidth="1"/>
    <col min="7388" max="7389" width="7.3984375" style="63" customWidth="1"/>
    <col min="7390" max="7390" width="14.3984375" style="63" bestFit="1" customWidth="1"/>
    <col min="7391" max="7391" width="15.796875" style="63" bestFit="1" customWidth="1"/>
    <col min="7392" max="7392" width="10.296875" style="63" customWidth="1"/>
    <col min="7393" max="7393" width="7.09765625" style="63"/>
    <col min="7394" max="7394" width="12.3984375" style="63" bestFit="1" customWidth="1"/>
    <col min="7395" max="7395" width="12.69921875" style="63" bestFit="1" customWidth="1"/>
    <col min="7396" max="7396" width="7.796875" style="63" bestFit="1" customWidth="1"/>
    <col min="7397" max="7397" width="7.09765625" style="63"/>
    <col min="7398" max="7398" width="8.59765625" style="63" bestFit="1" customWidth="1"/>
    <col min="7399" max="7637" width="7.09765625" style="63"/>
    <col min="7638" max="7638" width="4.796875" style="63" customWidth="1"/>
    <col min="7639" max="7639" width="3" style="63" customWidth="1"/>
    <col min="7640" max="7640" width="37.19921875" style="63" customWidth="1"/>
    <col min="7641" max="7643" width="5.796875" style="63" customWidth="1"/>
    <col min="7644" max="7645" width="7.3984375" style="63" customWidth="1"/>
    <col min="7646" max="7646" width="14.3984375" style="63" bestFit="1" customWidth="1"/>
    <col min="7647" max="7647" width="15.796875" style="63" bestFit="1" customWidth="1"/>
    <col min="7648" max="7648" width="10.296875" style="63" customWidth="1"/>
    <col min="7649" max="7649" width="7.09765625" style="63"/>
    <col min="7650" max="7650" width="12.3984375" style="63" bestFit="1" customWidth="1"/>
    <col min="7651" max="7651" width="12.69921875" style="63" bestFit="1" customWidth="1"/>
    <col min="7652" max="7652" width="7.796875" style="63" bestFit="1" customWidth="1"/>
    <col min="7653" max="7653" width="7.09765625" style="63"/>
    <col min="7654" max="7654" width="8.59765625" style="63" bestFit="1" customWidth="1"/>
    <col min="7655" max="7893" width="7.09765625" style="63"/>
    <col min="7894" max="7894" width="4.796875" style="63" customWidth="1"/>
    <col min="7895" max="7895" width="3" style="63" customWidth="1"/>
    <col min="7896" max="7896" width="37.19921875" style="63" customWidth="1"/>
    <col min="7897" max="7899" width="5.796875" style="63" customWidth="1"/>
    <col min="7900" max="7901" width="7.3984375" style="63" customWidth="1"/>
    <col min="7902" max="7902" width="14.3984375" style="63" bestFit="1" customWidth="1"/>
    <col min="7903" max="7903" width="15.796875" style="63" bestFit="1" customWidth="1"/>
    <col min="7904" max="7904" width="10.296875" style="63" customWidth="1"/>
    <col min="7905" max="7905" width="7.09765625" style="63"/>
    <col min="7906" max="7906" width="12.3984375" style="63" bestFit="1" customWidth="1"/>
    <col min="7907" max="7907" width="12.69921875" style="63" bestFit="1" customWidth="1"/>
    <col min="7908" max="7908" width="7.796875" style="63" bestFit="1" customWidth="1"/>
    <col min="7909" max="7909" width="7.09765625" style="63"/>
    <col min="7910" max="7910" width="8.59765625" style="63" bestFit="1" customWidth="1"/>
    <col min="7911" max="8149" width="7.09765625" style="63"/>
    <col min="8150" max="8150" width="4.796875" style="63" customWidth="1"/>
    <col min="8151" max="8151" width="3" style="63" customWidth="1"/>
    <col min="8152" max="8152" width="37.19921875" style="63" customWidth="1"/>
    <col min="8153" max="8155" width="5.796875" style="63" customWidth="1"/>
    <col min="8156" max="8157" width="7.3984375" style="63" customWidth="1"/>
    <col min="8158" max="8158" width="14.3984375" style="63" bestFit="1" customWidth="1"/>
    <col min="8159" max="8159" width="15.796875" style="63" bestFit="1" customWidth="1"/>
    <col min="8160" max="8160" width="10.296875" style="63" customWidth="1"/>
    <col min="8161" max="8161" width="7.09765625" style="63"/>
    <col min="8162" max="8162" width="12.3984375" style="63" bestFit="1" customWidth="1"/>
    <col min="8163" max="8163" width="12.69921875" style="63" bestFit="1" customWidth="1"/>
    <col min="8164" max="8164" width="7.796875" style="63" bestFit="1" customWidth="1"/>
    <col min="8165" max="8165" width="7.09765625" style="63"/>
    <col min="8166" max="8166" width="8.59765625" style="63" bestFit="1" customWidth="1"/>
    <col min="8167" max="8405" width="7.09765625" style="63"/>
    <col min="8406" max="8406" width="4.796875" style="63" customWidth="1"/>
    <col min="8407" max="8407" width="3" style="63" customWidth="1"/>
    <col min="8408" max="8408" width="37.19921875" style="63" customWidth="1"/>
    <col min="8409" max="8411" width="5.796875" style="63" customWidth="1"/>
    <col min="8412" max="8413" width="7.3984375" style="63" customWidth="1"/>
    <col min="8414" max="8414" width="14.3984375" style="63" bestFit="1" customWidth="1"/>
    <col min="8415" max="8415" width="15.796875" style="63" bestFit="1" customWidth="1"/>
    <col min="8416" max="8416" width="10.296875" style="63" customWidth="1"/>
    <col min="8417" max="8417" width="7.09765625" style="63"/>
    <col min="8418" max="8418" width="12.3984375" style="63" bestFit="1" customWidth="1"/>
    <col min="8419" max="8419" width="12.69921875" style="63" bestFit="1" customWidth="1"/>
    <col min="8420" max="8420" width="7.796875" style="63" bestFit="1" customWidth="1"/>
    <col min="8421" max="8421" width="7.09765625" style="63"/>
    <col min="8422" max="8422" width="8.59765625" style="63" bestFit="1" customWidth="1"/>
    <col min="8423" max="8661" width="7.09765625" style="63"/>
    <col min="8662" max="8662" width="4.796875" style="63" customWidth="1"/>
    <col min="8663" max="8663" width="3" style="63" customWidth="1"/>
    <col min="8664" max="8664" width="37.19921875" style="63" customWidth="1"/>
    <col min="8665" max="8667" width="5.796875" style="63" customWidth="1"/>
    <col min="8668" max="8669" width="7.3984375" style="63" customWidth="1"/>
    <col min="8670" max="8670" width="14.3984375" style="63" bestFit="1" customWidth="1"/>
    <col min="8671" max="8671" width="15.796875" style="63" bestFit="1" customWidth="1"/>
    <col min="8672" max="8672" width="10.296875" style="63" customWidth="1"/>
    <col min="8673" max="8673" width="7.09765625" style="63"/>
    <col min="8674" max="8674" width="12.3984375" style="63" bestFit="1" customWidth="1"/>
    <col min="8675" max="8675" width="12.69921875" style="63" bestFit="1" customWidth="1"/>
    <col min="8676" max="8676" width="7.796875" style="63" bestFit="1" customWidth="1"/>
    <col min="8677" max="8677" width="7.09765625" style="63"/>
    <col min="8678" max="8678" width="8.59765625" style="63" bestFit="1" customWidth="1"/>
    <col min="8679" max="8917" width="7.09765625" style="63"/>
    <col min="8918" max="8918" width="4.796875" style="63" customWidth="1"/>
    <col min="8919" max="8919" width="3" style="63" customWidth="1"/>
    <col min="8920" max="8920" width="37.19921875" style="63" customWidth="1"/>
    <col min="8921" max="8923" width="5.796875" style="63" customWidth="1"/>
    <col min="8924" max="8925" width="7.3984375" style="63" customWidth="1"/>
    <col min="8926" max="8926" width="14.3984375" style="63" bestFit="1" customWidth="1"/>
    <col min="8927" max="8927" width="15.796875" style="63" bestFit="1" customWidth="1"/>
    <col min="8928" max="8928" width="10.296875" style="63" customWidth="1"/>
    <col min="8929" max="8929" width="7.09765625" style="63"/>
    <col min="8930" max="8930" width="12.3984375" style="63" bestFit="1" customWidth="1"/>
    <col min="8931" max="8931" width="12.69921875" style="63" bestFit="1" customWidth="1"/>
    <col min="8932" max="8932" width="7.796875" style="63" bestFit="1" customWidth="1"/>
    <col min="8933" max="8933" width="7.09765625" style="63"/>
    <col min="8934" max="8934" width="8.59765625" style="63" bestFit="1" customWidth="1"/>
    <col min="8935" max="9173" width="7.09765625" style="63"/>
    <col min="9174" max="9174" width="4.796875" style="63" customWidth="1"/>
    <col min="9175" max="9175" width="3" style="63" customWidth="1"/>
    <col min="9176" max="9176" width="37.19921875" style="63" customWidth="1"/>
    <col min="9177" max="9179" width="5.796875" style="63" customWidth="1"/>
    <col min="9180" max="9181" width="7.3984375" style="63" customWidth="1"/>
    <col min="9182" max="9182" width="14.3984375" style="63" bestFit="1" customWidth="1"/>
    <col min="9183" max="9183" width="15.796875" style="63" bestFit="1" customWidth="1"/>
    <col min="9184" max="9184" width="10.296875" style="63" customWidth="1"/>
    <col min="9185" max="9185" width="7.09765625" style="63"/>
    <col min="9186" max="9186" width="12.3984375" style="63" bestFit="1" customWidth="1"/>
    <col min="9187" max="9187" width="12.69921875" style="63" bestFit="1" customWidth="1"/>
    <col min="9188" max="9188" width="7.796875" style="63" bestFit="1" customWidth="1"/>
    <col min="9189" max="9189" width="7.09765625" style="63"/>
    <col min="9190" max="9190" width="8.59765625" style="63" bestFit="1" customWidth="1"/>
    <col min="9191" max="9429" width="7.09765625" style="63"/>
    <col min="9430" max="9430" width="4.796875" style="63" customWidth="1"/>
    <col min="9431" max="9431" width="3" style="63" customWidth="1"/>
    <col min="9432" max="9432" width="37.19921875" style="63" customWidth="1"/>
    <col min="9433" max="9435" width="5.796875" style="63" customWidth="1"/>
    <col min="9436" max="9437" width="7.3984375" style="63" customWidth="1"/>
    <col min="9438" max="9438" width="14.3984375" style="63" bestFit="1" customWidth="1"/>
    <col min="9439" max="9439" width="15.796875" style="63" bestFit="1" customWidth="1"/>
    <col min="9440" max="9440" width="10.296875" style="63" customWidth="1"/>
    <col min="9441" max="9441" width="7.09765625" style="63"/>
    <col min="9442" max="9442" width="12.3984375" style="63" bestFit="1" customWidth="1"/>
    <col min="9443" max="9443" width="12.69921875" style="63" bestFit="1" customWidth="1"/>
    <col min="9444" max="9444" width="7.796875" style="63" bestFit="1" customWidth="1"/>
    <col min="9445" max="9445" width="7.09765625" style="63"/>
    <col min="9446" max="9446" width="8.59765625" style="63" bestFit="1" customWidth="1"/>
    <col min="9447" max="9685" width="7.09765625" style="63"/>
    <col min="9686" max="9686" width="4.796875" style="63" customWidth="1"/>
    <col min="9687" max="9687" width="3" style="63" customWidth="1"/>
    <col min="9688" max="9688" width="37.19921875" style="63" customWidth="1"/>
    <col min="9689" max="9691" width="5.796875" style="63" customWidth="1"/>
    <col min="9692" max="9693" width="7.3984375" style="63" customWidth="1"/>
    <col min="9694" max="9694" width="14.3984375" style="63" bestFit="1" customWidth="1"/>
    <col min="9695" max="9695" width="15.796875" style="63" bestFit="1" customWidth="1"/>
    <col min="9696" max="9696" width="10.296875" style="63" customWidth="1"/>
    <col min="9697" max="9697" width="7.09765625" style="63"/>
    <col min="9698" max="9698" width="12.3984375" style="63" bestFit="1" customWidth="1"/>
    <col min="9699" max="9699" width="12.69921875" style="63" bestFit="1" customWidth="1"/>
    <col min="9700" max="9700" width="7.796875" style="63" bestFit="1" customWidth="1"/>
    <col min="9701" max="9701" width="7.09765625" style="63"/>
    <col min="9702" max="9702" width="8.59765625" style="63" bestFit="1" customWidth="1"/>
    <col min="9703" max="9941" width="7.09765625" style="63"/>
    <col min="9942" max="9942" width="4.796875" style="63" customWidth="1"/>
    <col min="9943" max="9943" width="3" style="63" customWidth="1"/>
    <col min="9944" max="9944" width="37.19921875" style="63" customWidth="1"/>
    <col min="9945" max="9947" width="5.796875" style="63" customWidth="1"/>
    <col min="9948" max="9949" width="7.3984375" style="63" customWidth="1"/>
    <col min="9950" max="9950" width="14.3984375" style="63" bestFit="1" customWidth="1"/>
    <col min="9951" max="9951" width="15.796875" style="63" bestFit="1" customWidth="1"/>
    <col min="9952" max="9952" width="10.296875" style="63" customWidth="1"/>
    <col min="9953" max="9953" width="7.09765625" style="63"/>
    <col min="9954" max="9954" width="12.3984375" style="63" bestFit="1" customWidth="1"/>
    <col min="9955" max="9955" width="12.69921875" style="63" bestFit="1" customWidth="1"/>
    <col min="9956" max="9956" width="7.796875" style="63" bestFit="1" customWidth="1"/>
    <col min="9957" max="9957" width="7.09765625" style="63"/>
    <col min="9958" max="9958" width="8.59765625" style="63" bestFit="1" customWidth="1"/>
    <col min="9959" max="10197" width="7.09765625" style="63"/>
    <col min="10198" max="10198" width="4.796875" style="63" customWidth="1"/>
    <col min="10199" max="10199" width="3" style="63" customWidth="1"/>
    <col min="10200" max="10200" width="37.19921875" style="63" customWidth="1"/>
    <col min="10201" max="10203" width="5.796875" style="63" customWidth="1"/>
    <col min="10204" max="10205" width="7.3984375" style="63" customWidth="1"/>
    <col min="10206" max="10206" width="14.3984375" style="63" bestFit="1" customWidth="1"/>
    <col min="10207" max="10207" width="15.796875" style="63" bestFit="1" customWidth="1"/>
    <col min="10208" max="10208" width="10.296875" style="63" customWidth="1"/>
    <col min="10209" max="10209" width="7.09765625" style="63"/>
    <col min="10210" max="10210" width="12.3984375" style="63" bestFit="1" customWidth="1"/>
    <col min="10211" max="10211" width="12.69921875" style="63" bestFit="1" customWidth="1"/>
    <col min="10212" max="10212" width="7.796875" style="63" bestFit="1" customWidth="1"/>
    <col min="10213" max="10213" width="7.09765625" style="63"/>
    <col min="10214" max="10214" width="8.59765625" style="63" bestFit="1" customWidth="1"/>
    <col min="10215" max="10453" width="7.09765625" style="63"/>
    <col min="10454" max="10454" width="4.796875" style="63" customWidth="1"/>
    <col min="10455" max="10455" width="3" style="63" customWidth="1"/>
    <col min="10456" max="10456" width="37.19921875" style="63" customWidth="1"/>
    <col min="10457" max="10459" width="5.796875" style="63" customWidth="1"/>
    <col min="10460" max="10461" width="7.3984375" style="63" customWidth="1"/>
    <col min="10462" max="10462" width="14.3984375" style="63" bestFit="1" customWidth="1"/>
    <col min="10463" max="10463" width="15.796875" style="63" bestFit="1" customWidth="1"/>
    <col min="10464" max="10464" width="10.296875" style="63" customWidth="1"/>
    <col min="10465" max="10465" width="7.09765625" style="63"/>
    <col min="10466" max="10466" width="12.3984375" style="63" bestFit="1" customWidth="1"/>
    <col min="10467" max="10467" width="12.69921875" style="63" bestFit="1" customWidth="1"/>
    <col min="10468" max="10468" width="7.796875" style="63" bestFit="1" customWidth="1"/>
    <col min="10469" max="10469" width="7.09765625" style="63"/>
    <col min="10470" max="10470" width="8.59765625" style="63" bestFit="1" customWidth="1"/>
    <col min="10471" max="10709" width="7.09765625" style="63"/>
    <col min="10710" max="10710" width="4.796875" style="63" customWidth="1"/>
    <col min="10711" max="10711" width="3" style="63" customWidth="1"/>
    <col min="10712" max="10712" width="37.19921875" style="63" customWidth="1"/>
    <col min="10713" max="10715" width="5.796875" style="63" customWidth="1"/>
    <col min="10716" max="10717" width="7.3984375" style="63" customWidth="1"/>
    <col min="10718" max="10718" width="14.3984375" style="63" bestFit="1" customWidth="1"/>
    <col min="10719" max="10719" width="15.796875" style="63" bestFit="1" customWidth="1"/>
    <col min="10720" max="10720" width="10.296875" style="63" customWidth="1"/>
    <col min="10721" max="10721" width="7.09765625" style="63"/>
    <col min="10722" max="10722" width="12.3984375" style="63" bestFit="1" customWidth="1"/>
    <col min="10723" max="10723" width="12.69921875" style="63" bestFit="1" customWidth="1"/>
    <col min="10724" max="10724" width="7.796875" style="63" bestFit="1" customWidth="1"/>
    <col min="10725" max="10725" width="7.09765625" style="63"/>
    <col min="10726" max="10726" width="8.59765625" style="63" bestFit="1" customWidth="1"/>
    <col min="10727" max="10965" width="7.09765625" style="63"/>
    <col min="10966" max="10966" width="4.796875" style="63" customWidth="1"/>
    <col min="10967" max="10967" width="3" style="63" customWidth="1"/>
    <col min="10968" max="10968" width="37.19921875" style="63" customWidth="1"/>
    <col min="10969" max="10971" width="5.796875" style="63" customWidth="1"/>
    <col min="10972" max="10973" width="7.3984375" style="63" customWidth="1"/>
    <col min="10974" max="10974" width="14.3984375" style="63" bestFit="1" customWidth="1"/>
    <col min="10975" max="10975" width="15.796875" style="63" bestFit="1" customWidth="1"/>
    <col min="10976" max="10976" width="10.296875" style="63" customWidth="1"/>
    <col min="10977" max="10977" width="7.09765625" style="63"/>
    <col min="10978" max="10978" width="12.3984375" style="63" bestFit="1" customWidth="1"/>
    <col min="10979" max="10979" width="12.69921875" style="63" bestFit="1" customWidth="1"/>
    <col min="10980" max="10980" width="7.796875" style="63" bestFit="1" customWidth="1"/>
    <col min="10981" max="10981" width="7.09765625" style="63"/>
    <col min="10982" max="10982" width="8.59765625" style="63" bestFit="1" customWidth="1"/>
    <col min="10983" max="11221" width="7.09765625" style="63"/>
    <col min="11222" max="11222" width="4.796875" style="63" customWidth="1"/>
    <col min="11223" max="11223" width="3" style="63" customWidth="1"/>
    <col min="11224" max="11224" width="37.19921875" style="63" customWidth="1"/>
    <col min="11225" max="11227" width="5.796875" style="63" customWidth="1"/>
    <col min="11228" max="11229" width="7.3984375" style="63" customWidth="1"/>
    <col min="11230" max="11230" width="14.3984375" style="63" bestFit="1" customWidth="1"/>
    <col min="11231" max="11231" width="15.796875" style="63" bestFit="1" customWidth="1"/>
    <col min="11232" max="11232" width="10.296875" style="63" customWidth="1"/>
    <col min="11233" max="11233" width="7.09765625" style="63"/>
    <col min="11234" max="11234" width="12.3984375" style="63" bestFit="1" customWidth="1"/>
    <col min="11235" max="11235" width="12.69921875" style="63" bestFit="1" customWidth="1"/>
    <col min="11236" max="11236" width="7.796875" style="63" bestFit="1" customWidth="1"/>
    <col min="11237" max="11237" width="7.09765625" style="63"/>
    <col min="11238" max="11238" width="8.59765625" style="63" bestFit="1" customWidth="1"/>
    <col min="11239" max="11477" width="7.09765625" style="63"/>
    <col min="11478" max="11478" width="4.796875" style="63" customWidth="1"/>
    <col min="11479" max="11479" width="3" style="63" customWidth="1"/>
    <col min="11480" max="11480" width="37.19921875" style="63" customWidth="1"/>
    <col min="11481" max="11483" width="5.796875" style="63" customWidth="1"/>
    <col min="11484" max="11485" width="7.3984375" style="63" customWidth="1"/>
    <col min="11486" max="11486" width="14.3984375" style="63" bestFit="1" customWidth="1"/>
    <col min="11487" max="11487" width="15.796875" style="63" bestFit="1" customWidth="1"/>
    <col min="11488" max="11488" width="10.296875" style="63" customWidth="1"/>
    <col min="11489" max="11489" width="7.09765625" style="63"/>
    <col min="11490" max="11490" width="12.3984375" style="63" bestFit="1" customWidth="1"/>
    <col min="11491" max="11491" width="12.69921875" style="63" bestFit="1" customWidth="1"/>
    <col min="11492" max="11492" width="7.796875" style="63" bestFit="1" customWidth="1"/>
    <col min="11493" max="11493" width="7.09765625" style="63"/>
    <col min="11494" max="11494" width="8.59765625" style="63" bestFit="1" customWidth="1"/>
    <col min="11495" max="11733" width="7.09765625" style="63"/>
    <col min="11734" max="11734" width="4.796875" style="63" customWidth="1"/>
    <col min="11735" max="11735" width="3" style="63" customWidth="1"/>
    <col min="11736" max="11736" width="37.19921875" style="63" customWidth="1"/>
    <col min="11737" max="11739" width="5.796875" style="63" customWidth="1"/>
    <col min="11740" max="11741" width="7.3984375" style="63" customWidth="1"/>
    <col min="11742" max="11742" width="14.3984375" style="63" bestFit="1" customWidth="1"/>
    <col min="11743" max="11743" width="15.796875" style="63" bestFit="1" customWidth="1"/>
    <col min="11744" max="11744" width="10.296875" style="63" customWidth="1"/>
    <col min="11745" max="11745" width="7.09765625" style="63"/>
    <col min="11746" max="11746" width="12.3984375" style="63" bestFit="1" customWidth="1"/>
    <col min="11747" max="11747" width="12.69921875" style="63" bestFit="1" customWidth="1"/>
    <col min="11748" max="11748" width="7.796875" style="63" bestFit="1" customWidth="1"/>
    <col min="11749" max="11749" width="7.09765625" style="63"/>
    <col min="11750" max="11750" width="8.59765625" style="63" bestFit="1" customWidth="1"/>
    <col min="11751" max="11989" width="7.09765625" style="63"/>
    <col min="11990" max="11990" width="4.796875" style="63" customWidth="1"/>
    <col min="11991" max="11991" width="3" style="63" customWidth="1"/>
    <col min="11992" max="11992" width="37.19921875" style="63" customWidth="1"/>
    <col min="11993" max="11995" width="5.796875" style="63" customWidth="1"/>
    <col min="11996" max="11997" width="7.3984375" style="63" customWidth="1"/>
    <col min="11998" max="11998" width="14.3984375" style="63" bestFit="1" customWidth="1"/>
    <col min="11999" max="11999" width="15.796875" style="63" bestFit="1" customWidth="1"/>
    <col min="12000" max="12000" width="10.296875" style="63" customWidth="1"/>
    <col min="12001" max="12001" width="7.09765625" style="63"/>
    <col min="12002" max="12002" width="12.3984375" style="63" bestFit="1" customWidth="1"/>
    <col min="12003" max="12003" width="12.69921875" style="63" bestFit="1" customWidth="1"/>
    <col min="12004" max="12004" width="7.796875" style="63" bestFit="1" customWidth="1"/>
    <col min="12005" max="12005" width="7.09765625" style="63"/>
    <col min="12006" max="12006" width="8.59765625" style="63" bestFit="1" customWidth="1"/>
    <col min="12007" max="12245" width="7.09765625" style="63"/>
    <col min="12246" max="12246" width="4.796875" style="63" customWidth="1"/>
    <col min="12247" max="12247" width="3" style="63" customWidth="1"/>
    <col min="12248" max="12248" width="37.19921875" style="63" customWidth="1"/>
    <col min="12249" max="12251" width="5.796875" style="63" customWidth="1"/>
    <col min="12252" max="12253" width="7.3984375" style="63" customWidth="1"/>
    <col min="12254" max="12254" width="14.3984375" style="63" bestFit="1" customWidth="1"/>
    <col min="12255" max="12255" width="15.796875" style="63" bestFit="1" customWidth="1"/>
    <col min="12256" max="12256" width="10.296875" style="63" customWidth="1"/>
    <col min="12257" max="12257" width="7.09765625" style="63"/>
    <col min="12258" max="12258" width="12.3984375" style="63" bestFit="1" customWidth="1"/>
    <col min="12259" max="12259" width="12.69921875" style="63" bestFit="1" customWidth="1"/>
    <col min="12260" max="12260" width="7.796875" style="63" bestFit="1" customWidth="1"/>
    <col min="12261" max="12261" width="7.09765625" style="63"/>
    <col min="12262" max="12262" width="8.59765625" style="63" bestFit="1" customWidth="1"/>
    <col min="12263" max="12501" width="7.09765625" style="63"/>
    <col min="12502" max="12502" width="4.796875" style="63" customWidth="1"/>
    <col min="12503" max="12503" width="3" style="63" customWidth="1"/>
    <col min="12504" max="12504" width="37.19921875" style="63" customWidth="1"/>
    <col min="12505" max="12507" width="5.796875" style="63" customWidth="1"/>
    <col min="12508" max="12509" width="7.3984375" style="63" customWidth="1"/>
    <col min="12510" max="12510" width="14.3984375" style="63" bestFit="1" customWidth="1"/>
    <col min="12511" max="12511" width="15.796875" style="63" bestFit="1" customWidth="1"/>
    <col min="12512" max="12512" width="10.296875" style="63" customWidth="1"/>
    <col min="12513" max="12513" width="7.09765625" style="63"/>
    <col min="12514" max="12514" width="12.3984375" style="63" bestFit="1" customWidth="1"/>
    <col min="12515" max="12515" width="12.69921875" style="63" bestFit="1" customWidth="1"/>
    <col min="12516" max="12516" width="7.796875" style="63" bestFit="1" customWidth="1"/>
    <col min="12517" max="12517" width="7.09765625" style="63"/>
    <col min="12518" max="12518" width="8.59765625" style="63" bestFit="1" customWidth="1"/>
    <col min="12519" max="12757" width="7.09765625" style="63"/>
    <col min="12758" max="12758" width="4.796875" style="63" customWidth="1"/>
    <col min="12759" max="12759" width="3" style="63" customWidth="1"/>
    <col min="12760" max="12760" width="37.19921875" style="63" customWidth="1"/>
    <col min="12761" max="12763" width="5.796875" style="63" customWidth="1"/>
    <col min="12764" max="12765" width="7.3984375" style="63" customWidth="1"/>
    <col min="12766" max="12766" width="14.3984375" style="63" bestFit="1" customWidth="1"/>
    <col min="12767" max="12767" width="15.796875" style="63" bestFit="1" customWidth="1"/>
    <col min="12768" max="12768" width="10.296875" style="63" customWidth="1"/>
    <col min="12769" max="12769" width="7.09765625" style="63"/>
    <col min="12770" max="12770" width="12.3984375" style="63" bestFit="1" customWidth="1"/>
    <col min="12771" max="12771" width="12.69921875" style="63" bestFit="1" customWidth="1"/>
    <col min="12772" max="12772" width="7.796875" style="63" bestFit="1" customWidth="1"/>
    <col min="12773" max="12773" width="7.09765625" style="63"/>
    <col min="12774" max="12774" width="8.59765625" style="63" bestFit="1" customWidth="1"/>
    <col min="12775" max="13013" width="7.09765625" style="63"/>
    <col min="13014" max="13014" width="4.796875" style="63" customWidth="1"/>
    <col min="13015" max="13015" width="3" style="63" customWidth="1"/>
    <col min="13016" max="13016" width="37.19921875" style="63" customWidth="1"/>
    <col min="13017" max="13019" width="5.796875" style="63" customWidth="1"/>
    <col min="13020" max="13021" width="7.3984375" style="63" customWidth="1"/>
    <col min="13022" max="13022" width="14.3984375" style="63" bestFit="1" customWidth="1"/>
    <col min="13023" max="13023" width="15.796875" style="63" bestFit="1" customWidth="1"/>
    <col min="13024" max="13024" width="10.296875" style="63" customWidth="1"/>
    <col min="13025" max="13025" width="7.09765625" style="63"/>
    <col min="13026" max="13026" width="12.3984375" style="63" bestFit="1" customWidth="1"/>
    <col min="13027" max="13027" width="12.69921875" style="63" bestFit="1" customWidth="1"/>
    <col min="13028" max="13028" width="7.796875" style="63" bestFit="1" customWidth="1"/>
    <col min="13029" max="13029" width="7.09765625" style="63"/>
    <col min="13030" max="13030" width="8.59765625" style="63" bestFit="1" customWidth="1"/>
    <col min="13031" max="13269" width="7.09765625" style="63"/>
    <col min="13270" max="13270" width="4.796875" style="63" customWidth="1"/>
    <col min="13271" max="13271" width="3" style="63" customWidth="1"/>
    <col min="13272" max="13272" width="37.19921875" style="63" customWidth="1"/>
    <col min="13273" max="13275" width="5.796875" style="63" customWidth="1"/>
    <col min="13276" max="13277" width="7.3984375" style="63" customWidth="1"/>
    <col min="13278" max="13278" width="14.3984375" style="63" bestFit="1" customWidth="1"/>
    <col min="13279" max="13279" width="15.796875" style="63" bestFit="1" customWidth="1"/>
    <col min="13280" max="13280" width="10.296875" style="63" customWidth="1"/>
    <col min="13281" max="13281" width="7.09765625" style="63"/>
    <col min="13282" max="13282" width="12.3984375" style="63" bestFit="1" customWidth="1"/>
    <col min="13283" max="13283" width="12.69921875" style="63" bestFit="1" customWidth="1"/>
    <col min="13284" max="13284" width="7.796875" style="63" bestFit="1" customWidth="1"/>
    <col min="13285" max="13285" width="7.09765625" style="63"/>
    <col min="13286" max="13286" width="8.59765625" style="63" bestFit="1" customWidth="1"/>
    <col min="13287" max="13525" width="7.09765625" style="63"/>
    <col min="13526" max="13526" width="4.796875" style="63" customWidth="1"/>
    <col min="13527" max="13527" width="3" style="63" customWidth="1"/>
    <col min="13528" max="13528" width="37.19921875" style="63" customWidth="1"/>
    <col min="13529" max="13531" width="5.796875" style="63" customWidth="1"/>
    <col min="13532" max="13533" width="7.3984375" style="63" customWidth="1"/>
    <col min="13534" max="13534" width="14.3984375" style="63" bestFit="1" customWidth="1"/>
    <col min="13535" max="13535" width="15.796875" style="63" bestFit="1" customWidth="1"/>
    <col min="13536" max="13536" width="10.296875" style="63" customWidth="1"/>
    <col min="13537" max="13537" width="7.09765625" style="63"/>
    <col min="13538" max="13538" width="12.3984375" style="63" bestFit="1" customWidth="1"/>
    <col min="13539" max="13539" width="12.69921875" style="63" bestFit="1" customWidth="1"/>
    <col min="13540" max="13540" width="7.796875" style="63" bestFit="1" customWidth="1"/>
    <col min="13541" max="13541" width="7.09765625" style="63"/>
    <col min="13542" max="13542" width="8.59765625" style="63" bestFit="1" customWidth="1"/>
    <col min="13543" max="13781" width="7.09765625" style="63"/>
    <col min="13782" max="13782" width="4.796875" style="63" customWidth="1"/>
    <col min="13783" max="13783" width="3" style="63" customWidth="1"/>
    <col min="13784" max="13784" width="37.19921875" style="63" customWidth="1"/>
    <col min="13785" max="13787" width="5.796875" style="63" customWidth="1"/>
    <col min="13788" max="13789" width="7.3984375" style="63" customWidth="1"/>
    <col min="13790" max="13790" width="14.3984375" style="63" bestFit="1" customWidth="1"/>
    <col min="13791" max="13791" width="15.796875" style="63" bestFit="1" customWidth="1"/>
    <col min="13792" max="13792" width="10.296875" style="63" customWidth="1"/>
    <col min="13793" max="13793" width="7.09765625" style="63"/>
    <col min="13794" max="13794" width="12.3984375" style="63" bestFit="1" customWidth="1"/>
    <col min="13795" max="13795" width="12.69921875" style="63" bestFit="1" customWidth="1"/>
    <col min="13796" max="13796" width="7.796875" style="63" bestFit="1" customWidth="1"/>
    <col min="13797" max="13797" width="7.09765625" style="63"/>
    <col min="13798" max="13798" width="8.59765625" style="63" bestFit="1" customWidth="1"/>
    <col min="13799" max="14037" width="7.09765625" style="63"/>
    <col min="14038" max="14038" width="4.796875" style="63" customWidth="1"/>
    <col min="14039" max="14039" width="3" style="63" customWidth="1"/>
    <col min="14040" max="14040" width="37.19921875" style="63" customWidth="1"/>
    <col min="14041" max="14043" width="5.796875" style="63" customWidth="1"/>
    <col min="14044" max="14045" width="7.3984375" style="63" customWidth="1"/>
    <col min="14046" max="14046" width="14.3984375" style="63" bestFit="1" customWidth="1"/>
    <col min="14047" max="14047" width="15.796875" style="63" bestFit="1" customWidth="1"/>
    <col min="14048" max="14048" width="10.296875" style="63" customWidth="1"/>
    <col min="14049" max="14049" width="7.09765625" style="63"/>
    <col min="14050" max="14050" width="12.3984375" style="63" bestFit="1" customWidth="1"/>
    <col min="14051" max="14051" width="12.69921875" style="63" bestFit="1" customWidth="1"/>
    <col min="14052" max="14052" width="7.796875" style="63" bestFit="1" customWidth="1"/>
    <col min="14053" max="14053" width="7.09765625" style="63"/>
    <col min="14054" max="14054" width="8.59765625" style="63" bestFit="1" customWidth="1"/>
    <col min="14055" max="14293" width="7.09765625" style="63"/>
    <col min="14294" max="14294" width="4.796875" style="63" customWidth="1"/>
    <col min="14295" max="14295" width="3" style="63" customWidth="1"/>
    <col min="14296" max="14296" width="37.19921875" style="63" customWidth="1"/>
    <col min="14297" max="14299" width="5.796875" style="63" customWidth="1"/>
    <col min="14300" max="14301" width="7.3984375" style="63" customWidth="1"/>
    <col min="14302" max="14302" width="14.3984375" style="63" bestFit="1" customWidth="1"/>
    <col min="14303" max="14303" width="15.796875" style="63" bestFit="1" customWidth="1"/>
    <col min="14304" max="14304" width="10.296875" style="63" customWidth="1"/>
    <col min="14305" max="14305" width="7.09765625" style="63"/>
    <col min="14306" max="14306" width="12.3984375" style="63" bestFit="1" customWidth="1"/>
    <col min="14307" max="14307" width="12.69921875" style="63" bestFit="1" customWidth="1"/>
    <col min="14308" max="14308" width="7.796875" style="63" bestFit="1" customWidth="1"/>
    <col min="14309" max="14309" width="7.09765625" style="63"/>
    <col min="14310" max="14310" width="8.59765625" style="63" bestFit="1" customWidth="1"/>
    <col min="14311" max="14549" width="7.09765625" style="63"/>
    <col min="14550" max="14550" width="4.796875" style="63" customWidth="1"/>
    <col min="14551" max="14551" width="3" style="63" customWidth="1"/>
    <col min="14552" max="14552" width="37.19921875" style="63" customWidth="1"/>
    <col min="14553" max="14555" width="5.796875" style="63" customWidth="1"/>
    <col min="14556" max="14557" width="7.3984375" style="63" customWidth="1"/>
    <col min="14558" max="14558" width="14.3984375" style="63" bestFit="1" customWidth="1"/>
    <col min="14559" max="14559" width="15.796875" style="63" bestFit="1" customWidth="1"/>
    <col min="14560" max="14560" width="10.296875" style="63" customWidth="1"/>
    <col min="14561" max="14561" width="7.09765625" style="63"/>
    <col min="14562" max="14562" width="12.3984375" style="63" bestFit="1" customWidth="1"/>
    <col min="14563" max="14563" width="12.69921875" style="63" bestFit="1" customWidth="1"/>
    <col min="14564" max="14564" width="7.796875" style="63" bestFit="1" customWidth="1"/>
    <col min="14565" max="14565" width="7.09765625" style="63"/>
    <col min="14566" max="14566" width="8.59765625" style="63" bestFit="1" customWidth="1"/>
    <col min="14567" max="14805" width="7.09765625" style="63"/>
    <col min="14806" max="14806" width="4.796875" style="63" customWidth="1"/>
    <col min="14807" max="14807" width="3" style="63" customWidth="1"/>
    <col min="14808" max="14808" width="37.19921875" style="63" customWidth="1"/>
    <col min="14809" max="14811" width="5.796875" style="63" customWidth="1"/>
    <col min="14812" max="14813" width="7.3984375" style="63" customWidth="1"/>
    <col min="14814" max="14814" width="14.3984375" style="63" bestFit="1" customWidth="1"/>
    <col min="14815" max="14815" width="15.796875" style="63" bestFit="1" customWidth="1"/>
    <col min="14816" max="14816" width="10.296875" style="63" customWidth="1"/>
    <col min="14817" max="14817" width="7.09765625" style="63"/>
    <col min="14818" max="14818" width="12.3984375" style="63" bestFit="1" customWidth="1"/>
    <col min="14819" max="14819" width="12.69921875" style="63" bestFit="1" customWidth="1"/>
    <col min="14820" max="14820" width="7.796875" style="63" bestFit="1" customWidth="1"/>
    <col min="14821" max="14821" width="7.09765625" style="63"/>
    <col min="14822" max="14822" width="8.59765625" style="63" bestFit="1" customWidth="1"/>
    <col min="14823" max="15061" width="7.09765625" style="63"/>
    <col min="15062" max="15062" width="4.796875" style="63" customWidth="1"/>
    <col min="15063" max="15063" width="3" style="63" customWidth="1"/>
    <col min="15064" max="15064" width="37.19921875" style="63" customWidth="1"/>
    <col min="15065" max="15067" width="5.796875" style="63" customWidth="1"/>
    <col min="15068" max="15069" width="7.3984375" style="63" customWidth="1"/>
    <col min="15070" max="15070" width="14.3984375" style="63" bestFit="1" customWidth="1"/>
    <col min="15071" max="15071" width="15.796875" style="63" bestFit="1" customWidth="1"/>
    <col min="15072" max="15072" width="10.296875" style="63" customWidth="1"/>
    <col min="15073" max="15073" width="7.09765625" style="63"/>
    <col min="15074" max="15074" width="12.3984375" style="63" bestFit="1" customWidth="1"/>
    <col min="15075" max="15075" width="12.69921875" style="63" bestFit="1" customWidth="1"/>
    <col min="15076" max="15076" width="7.796875" style="63" bestFit="1" customWidth="1"/>
    <col min="15077" max="15077" width="7.09765625" style="63"/>
    <col min="15078" max="15078" width="8.59765625" style="63" bestFit="1" customWidth="1"/>
    <col min="15079" max="15317" width="7.09765625" style="63"/>
    <col min="15318" max="15318" width="4.796875" style="63" customWidth="1"/>
    <col min="15319" max="15319" width="3" style="63" customWidth="1"/>
    <col min="15320" max="15320" width="37.19921875" style="63" customWidth="1"/>
    <col min="15321" max="15323" width="5.796875" style="63" customWidth="1"/>
    <col min="15324" max="15325" width="7.3984375" style="63" customWidth="1"/>
    <col min="15326" max="15326" width="14.3984375" style="63" bestFit="1" customWidth="1"/>
    <col min="15327" max="15327" width="15.796875" style="63" bestFit="1" customWidth="1"/>
    <col min="15328" max="15328" width="10.296875" style="63" customWidth="1"/>
    <col min="15329" max="15329" width="7.09765625" style="63"/>
    <col min="15330" max="15330" width="12.3984375" style="63" bestFit="1" customWidth="1"/>
    <col min="15331" max="15331" width="12.69921875" style="63" bestFit="1" customWidth="1"/>
    <col min="15332" max="15332" width="7.796875" style="63" bestFit="1" customWidth="1"/>
    <col min="15333" max="15333" width="7.09765625" style="63"/>
    <col min="15334" max="15334" width="8.59765625" style="63" bestFit="1" customWidth="1"/>
    <col min="15335" max="15573" width="7.09765625" style="63"/>
    <col min="15574" max="15574" width="4.796875" style="63" customWidth="1"/>
    <col min="15575" max="15575" width="3" style="63" customWidth="1"/>
    <col min="15576" max="15576" width="37.19921875" style="63" customWidth="1"/>
    <col min="15577" max="15579" width="5.796875" style="63" customWidth="1"/>
    <col min="15580" max="15581" width="7.3984375" style="63" customWidth="1"/>
    <col min="15582" max="15582" width="14.3984375" style="63" bestFit="1" customWidth="1"/>
    <col min="15583" max="15583" width="15.796875" style="63" bestFit="1" customWidth="1"/>
    <col min="15584" max="15584" width="10.296875" style="63" customWidth="1"/>
    <col min="15585" max="15585" width="7.09765625" style="63"/>
    <col min="15586" max="15586" width="12.3984375" style="63" bestFit="1" customWidth="1"/>
    <col min="15587" max="15587" width="12.69921875" style="63" bestFit="1" customWidth="1"/>
    <col min="15588" max="15588" width="7.796875" style="63" bestFit="1" customWidth="1"/>
    <col min="15589" max="15589" width="7.09765625" style="63"/>
    <col min="15590" max="15590" width="8.59765625" style="63" bestFit="1" customWidth="1"/>
    <col min="15591" max="15829" width="7.09765625" style="63"/>
    <col min="15830" max="15830" width="4.796875" style="63" customWidth="1"/>
    <col min="15831" max="15831" width="3" style="63" customWidth="1"/>
    <col min="15832" max="15832" width="37.19921875" style="63" customWidth="1"/>
    <col min="15833" max="15835" width="5.796875" style="63" customWidth="1"/>
    <col min="15836" max="15837" width="7.3984375" style="63" customWidth="1"/>
    <col min="15838" max="15838" width="14.3984375" style="63" bestFit="1" customWidth="1"/>
    <col min="15839" max="15839" width="15.796875" style="63" bestFit="1" customWidth="1"/>
    <col min="15840" max="15840" width="10.296875" style="63" customWidth="1"/>
    <col min="15841" max="15841" width="7.09765625" style="63"/>
    <col min="15842" max="15842" width="12.3984375" style="63" bestFit="1" customWidth="1"/>
    <col min="15843" max="15843" width="12.69921875" style="63" bestFit="1" customWidth="1"/>
    <col min="15844" max="15844" width="7.796875" style="63" bestFit="1" customWidth="1"/>
    <col min="15845" max="15845" width="7.09765625" style="63"/>
    <col min="15846" max="15846" width="8.59765625" style="63" bestFit="1" customWidth="1"/>
    <col min="15847" max="16085" width="7.09765625" style="63"/>
    <col min="16086" max="16086" width="4.796875" style="63" customWidth="1"/>
    <col min="16087" max="16087" width="3" style="63" customWidth="1"/>
    <col min="16088" max="16088" width="37.19921875" style="63" customWidth="1"/>
    <col min="16089" max="16091" width="5.796875" style="63" customWidth="1"/>
    <col min="16092" max="16093" width="7.3984375" style="63" customWidth="1"/>
    <col min="16094" max="16094" width="14.3984375" style="63" bestFit="1" customWidth="1"/>
    <col min="16095" max="16095" width="15.796875" style="63" bestFit="1" customWidth="1"/>
    <col min="16096" max="16096" width="10.296875" style="63" customWidth="1"/>
    <col min="16097" max="16097" width="7.09765625" style="63"/>
    <col min="16098" max="16098" width="12.3984375" style="63" bestFit="1" customWidth="1"/>
    <col min="16099" max="16099" width="12.69921875" style="63" bestFit="1" customWidth="1"/>
    <col min="16100" max="16100" width="7.796875" style="63" bestFit="1" customWidth="1"/>
    <col min="16101" max="16101" width="7.09765625" style="63"/>
    <col min="16102" max="16102" width="8.59765625" style="63" bestFit="1" customWidth="1"/>
    <col min="16103" max="16384" width="7.09765625" style="63"/>
  </cols>
  <sheetData>
    <row r="1" spans="1:32" ht="44.25" customHeight="1" x14ac:dyDescent="0.15">
      <c r="A1" s="545" t="s">
        <v>1542</v>
      </c>
      <c r="B1" s="550"/>
      <c r="C1" s="550"/>
      <c r="D1" s="550"/>
      <c r="E1" s="550"/>
      <c r="F1" s="550"/>
      <c r="G1" s="550"/>
      <c r="H1" s="550"/>
      <c r="I1" s="550"/>
      <c r="J1" s="550"/>
      <c r="K1" s="550"/>
      <c r="L1" s="550"/>
      <c r="M1" s="550"/>
      <c r="N1" s="550"/>
      <c r="O1" s="550"/>
      <c r="P1" s="550"/>
      <c r="Q1" s="550"/>
      <c r="R1" s="550"/>
      <c r="S1" s="550"/>
      <c r="T1" s="550"/>
      <c r="U1" s="550"/>
      <c r="V1" s="550"/>
      <c r="W1" s="550"/>
      <c r="X1" s="550"/>
      <c r="Y1" s="550"/>
      <c r="Z1" s="550"/>
      <c r="AA1" s="550"/>
      <c r="AB1" s="550"/>
      <c r="AC1" s="550"/>
      <c r="AD1" s="550"/>
      <c r="AF1" s="1599" t="s">
        <v>1543</v>
      </c>
    </row>
    <row r="2" spans="1:32" ht="26.25" customHeight="1" x14ac:dyDescent="0.15">
      <c r="A2" s="549" t="str">
        <f>CONCATENATE("[ ",산출기준_TEL!A5," ]")</f>
        <v>[ 일반 Ver. ]</v>
      </c>
      <c r="B2" s="550"/>
      <c r="C2" s="550"/>
      <c r="D2" s="550"/>
      <c r="E2" s="550"/>
      <c r="F2" s="550"/>
      <c r="G2" s="550"/>
      <c r="H2" s="550"/>
      <c r="I2" s="550"/>
      <c r="J2" s="550"/>
      <c r="K2" s="550"/>
      <c r="L2" s="550"/>
      <c r="M2" s="550"/>
      <c r="N2" s="550"/>
      <c r="O2" s="550"/>
      <c r="P2" s="550"/>
      <c r="Q2" s="550"/>
      <c r="R2" s="550"/>
      <c r="S2" s="550"/>
      <c r="T2" s="550"/>
      <c r="U2" s="550"/>
      <c r="V2" s="550"/>
      <c r="W2" s="550"/>
      <c r="X2" s="550"/>
      <c r="Y2" s="550"/>
      <c r="Z2" s="550"/>
      <c r="AA2" s="550"/>
      <c r="AB2" s="550"/>
      <c r="AC2" s="550"/>
      <c r="AD2" s="550"/>
    </row>
    <row r="3" spans="1:32" ht="84" hidden="1" customHeight="1" x14ac:dyDescent="0.2">
      <c r="A3" s="63"/>
      <c r="B3" s="63"/>
      <c r="C3" s="63"/>
      <c r="E3" s="1600" t="s">
        <v>952</v>
      </c>
      <c r="V3" s="564"/>
      <c r="W3" s="564"/>
      <c r="X3" s="564"/>
      <c r="Y3" s="564"/>
      <c r="Z3" s="564"/>
      <c r="AA3" s="564"/>
      <c r="AB3" s="564"/>
      <c r="AC3" s="564"/>
      <c r="AD3" s="1601"/>
    </row>
    <row r="4" spans="1:32" ht="37.5" hidden="1" customHeight="1" thickBot="1" x14ac:dyDescent="0.25">
      <c r="A4" s="82"/>
      <c r="B4" s="82"/>
      <c r="C4" s="82"/>
      <c r="D4" s="518" t="s">
        <v>1544</v>
      </c>
      <c r="E4" s="519" t="s">
        <v>920</v>
      </c>
      <c r="F4" s="520"/>
      <c r="G4" s="521"/>
      <c r="H4" s="1602">
        <f>SUM(Input_TEL!I8:I11)</f>
        <v>2</v>
      </c>
      <c r="I4" s="1603"/>
      <c r="J4" s="1604"/>
      <c r="K4" s="1605"/>
      <c r="L4" s="1605"/>
      <c r="M4" s="1605"/>
      <c r="N4" s="1605"/>
      <c r="O4" s="1605"/>
      <c r="P4" s="1605"/>
      <c r="Q4" s="1605"/>
      <c r="R4" s="1605"/>
      <c r="S4" s="1605"/>
      <c r="T4" s="1605"/>
      <c r="V4" s="563" t="s">
        <v>68</v>
      </c>
      <c r="W4" s="563"/>
      <c r="X4" s="563"/>
      <c r="Y4" s="564"/>
      <c r="Z4" s="564"/>
      <c r="AA4" s="564"/>
      <c r="AB4" s="564"/>
      <c r="AC4" s="564"/>
      <c r="AD4" s="1606"/>
    </row>
    <row r="5" spans="1:32" ht="37.5" hidden="1" customHeight="1" thickBot="1" x14ac:dyDescent="0.2">
      <c r="A5" s="82"/>
      <c r="B5" s="82"/>
      <c r="C5" s="82"/>
      <c r="D5" s="518" t="s">
        <v>1545</v>
      </c>
      <c r="E5" s="526" t="s">
        <v>923</v>
      </c>
      <c r="F5" s="527"/>
      <c r="G5" s="528"/>
      <c r="H5" s="1607">
        <f>SUM(Input_TEL!I40:I42)</f>
        <v>0</v>
      </c>
      <c r="I5" s="530"/>
      <c r="J5" s="531"/>
      <c r="K5" s="571"/>
      <c r="L5" s="571"/>
      <c r="M5" s="571"/>
      <c r="N5" s="571"/>
      <c r="O5" s="571"/>
      <c r="P5" s="571"/>
      <c r="Q5" s="571"/>
      <c r="R5" s="571"/>
      <c r="S5" s="571"/>
      <c r="T5" s="571"/>
      <c r="V5" s="565">
        <v>1</v>
      </c>
      <c r="W5" s="565"/>
      <c r="X5" s="565"/>
      <c r="Y5" s="565"/>
      <c r="Z5" s="565"/>
      <c r="AA5" s="572" t="s">
        <v>1546</v>
      </c>
      <c r="AB5" s="572"/>
      <c r="AC5" s="572"/>
      <c r="AD5" s="1606"/>
    </row>
    <row r="6" spans="1:32" ht="37.5" hidden="1" customHeight="1" thickBot="1" x14ac:dyDescent="0.2">
      <c r="A6" s="82"/>
      <c r="B6" s="82"/>
      <c r="C6" s="82"/>
      <c r="D6" s="518" t="s">
        <v>1547</v>
      </c>
      <c r="E6" s="526" t="s">
        <v>926</v>
      </c>
      <c r="F6" s="527"/>
      <c r="G6" s="532"/>
      <c r="H6" s="1608">
        <f>SUM(Input_TEL!I30:I34)+SUM(Input_TEL!I12:I20)</f>
        <v>9</v>
      </c>
      <c r="I6" s="530"/>
      <c r="J6" s="531"/>
      <c r="K6" s="571"/>
      <c r="L6" s="571"/>
      <c r="M6" s="571"/>
      <c r="N6" s="571"/>
      <c r="O6" s="571"/>
      <c r="P6" s="571"/>
      <c r="Q6" s="571"/>
      <c r="R6" s="571"/>
      <c r="S6" s="571"/>
      <c r="T6" s="571"/>
      <c r="V6" s="565">
        <v>2</v>
      </c>
      <c r="W6" s="565"/>
      <c r="X6" s="565"/>
      <c r="Y6" s="565"/>
      <c r="Z6" s="565"/>
      <c r="AA6" s="572" t="s">
        <v>957</v>
      </c>
      <c r="AB6" s="572"/>
      <c r="AC6" s="572"/>
      <c r="AD6" s="1606"/>
    </row>
    <row r="7" spans="1:32" ht="37.5" hidden="1" customHeight="1" thickBot="1" x14ac:dyDescent="0.2">
      <c r="A7" s="82"/>
      <c r="B7" s="82"/>
      <c r="C7" s="82"/>
      <c r="D7" s="518" t="s">
        <v>1548</v>
      </c>
      <c r="E7" s="526" t="s">
        <v>929</v>
      </c>
      <c r="F7" s="527"/>
      <c r="G7" s="532"/>
      <c r="H7" s="1608">
        <f>SUM(Input_TEL!I35:I39)</f>
        <v>0</v>
      </c>
      <c r="I7" s="530"/>
      <c r="J7" s="531"/>
      <c r="K7" s="571"/>
      <c r="L7" s="571"/>
      <c r="M7" s="571"/>
      <c r="N7" s="571"/>
      <c r="O7" s="571"/>
      <c r="P7" s="571"/>
      <c r="Q7" s="571"/>
      <c r="R7" s="571"/>
      <c r="S7" s="571"/>
      <c r="T7" s="571"/>
      <c r="V7" s="565">
        <v>3</v>
      </c>
      <c r="W7" s="565"/>
      <c r="X7" s="565"/>
      <c r="Y7" s="565"/>
      <c r="Z7" s="565"/>
      <c r="AA7" s="572" t="s">
        <v>960</v>
      </c>
      <c r="AB7" s="572"/>
      <c r="AC7" s="572"/>
      <c r="AD7" s="1606"/>
    </row>
    <row r="8" spans="1:32" ht="37.5" hidden="1" customHeight="1" thickBot="1" x14ac:dyDescent="0.2">
      <c r="A8" s="82"/>
      <c r="B8" s="82"/>
      <c r="C8" s="82"/>
      <c r="D8" s="518" t="s">
        <v>1549</v>
      </c>
      <c r="E8" s="526" t="s">
        <v>932</v>
      </c>
      <c r="F8" s="527"/>
      <c r="G8" s="532"/>
      <c r="H8" s="1608">
        <f>SUM(Input_TEL!I21:I22,Input_TEL!I25,Input_TEL!I29)</f>
        <v>0</v>
      </c>
      <c r="I8" s="530"/>
      <c r="J8" s="531"/>
      <c r="K8" s="571"/>
      <c r="L8" s="571"/>
      <c r="M8" s="571"/>
      <c r="N8" s="571"/>
      <c r="O8" s="571"/>
      <c r="P8" s="571"/>
      <c r="Q8" s="571"/>
      <c r="R8" s="571"/>
      <c r="S8" s="571"/>
      <c r="T8" s="571"/>
      <c r="V8" s="565">
        <v>4</v>
      </c>
      <c r="W8" s="565"/>
      <c r="X8" s="565"/>
      <c r="Y8" s="565"/>
      <c r="Z8" s="565"/>
      <c r="AA8" s="572" t="s">
        <v>962</v>
      </c>
      <c r="AB8" s="572"/>
      <c r="AC8" s="572"/>
      <c r="AD8" s="1606"/>
    </row>
    <row r="9" spans="1:32" ht="37.5" hidden="1" customHeight="1" thickBot="1" x14ac:dyDescent="0.2">
      <c r="A9" s="82"/>
      <c r="B9" s="82"/>
      <c r="C9" s="82"/>
      <c r="D9" s="518" t="s">
        <v>1550</v>
      </c>
      <c r="E9" s="526" t="s">
        <v>934</v>
      </c>
      <c r="F9" s="527"/>
      <c r="G9" s="532"/>
      <c r="H9" s="1608">
        <f>SUM(Input_TEL!I23,Input_TEL!I28)</f>
        <v>0</v>
      </c>
      <c r="I9" s="530"/>
      <c r="J9" s="531"/>
      <c r="K9" s="571"/>
      <c r="L9" s="571"/>
      <c r="M9" s="571"/>
      <c r="N9" s="571"/>
      <c r="O9" s="571"/>
      <c r="P9" s="571"/>
      <c r="Q9" s="571"/>
      <c r="R9" s="571"/>
      <c r="S9" s="571"/>
      <c r="T9" s="571"/>
      <c r="V9" s="565">
        <v>5</v>
      </c>
      <c r="W9" s="565"/>
      <c r="X9" s="565"/>
      <c r="Y9" s="565"/>
      <c r="Z9" s="565"/>
      <c r="AA9" s="572" t="s">
        <v>964</v>
      </c>
      <c r="AB9" s="572"/>
      <c r="AC9" s="572"/>
      <c r="AD9" s="1606"/>
    </row>
    <row r="10" spans="1:32" ht="37.5" hidden="1" customHeight="1" thickBot="1" x14ac:dyDescent="0.2">
      <c r="A10" s="82"/>
      <c r="B10" s="82"/>
      <c r="C10" s="82"/>
      <c r="D10" s="518" t="s">
        <v>1551</v>
      </c>
      <c r="E10" s="526" t="s">
        <v>937</v>
      </c>
      <c r="F10" s="527"/>
      <c r="G10" s="534"/>
      <c r="H10" s="1609">
        <f>Input_TEL!I24</f>
        <v>0</v>
      </c>
      <c r="I10" s="530"/>
      <c r="J10" s="531"/>
      <c r="K10" s="571"/>
      <c r="L10" s="571"/>
      <c r="M10" s="571"/>
      <c r="N10" s="571"/>
      <c r="O10" s="571"/>
      <c r="P10" s="571"/>
      <c r="Q10" s="571"/>
      <c r="R10" s="571"/>
      <c r="S10" s="571"/>
      <c r="T10" s="571"/>
      <c r="V10" s="565">
        <v>6</v>
      </c>
      <c r="W10" s="565"/>
      <c r="X10" s="565"/>
      <c r="Y10" s="565"/>
      <c r="Z10" s="565"/>
      <c r="AA10" s="572" t="s">
        <v>966</v>
      </c>
      <c r="AB10" s="572"/>
      <c r="AC10" s="572"/>
      <c r="AD10" s="1610"/>
    </row>
    <row r="11" spans="1:32" ht="37.5" hidden="1" customHeight="1" thickBot="1" x14ac:dyDescent="0.2">
      <c r="A11" s="82"/>
      <c r="B11" s="82"/>
      <c r="C11" s="82"/>
      <c r="D11" s="518" t="s">
        <v>1552</v>
      </c>
      <c r="E11" s="536" t="s">
        <v>939</v>
      </c>
      <c r="F11" s="537"/>
      <c r="G11" s="534"/>
      <c r="H11" s="1609">
        <f>SUM(Input_TEL!I26:I27)</f>
        <v>0</v>
      </c>
      <c r="I11" s="530"/>
      <c r="J11" s="531"/>
      <c r="K11" s="571"/>
      <c r="L11" s="571"/>
      <c r="M11" s="571"/>
      <c r="N11" s="571"/>
      <c r="O11" s="571"/>
      <c r="P11" s="571"/>
      <c r="Q11" s="571"/>
      <c r="R11" s="571"/>
      <c r="S11" s="571"/>
      <c r="T11" s="571"/>
      <c r="V11" s="565"/>
      <c r="W11" s="565"/>
      <c r="X11" s="565"/>
      <c r="Y11" s="565"/>
      <c r="Z11" s="565"/>
      <c r="AA11" s="565"/>
      <c r="AB11" s="565"/>
      <c r="AC11" s="565"/>
      <c r="AD11" s="1610"/>
    </row>
    <row r="12" spans="1:32" ht="37.5" hidden="1" customHeight="1" thickBot="1" x14ac:dyDescent="0.2">
      <c r="A12" s="82"/>
      <c r="B12" s="82"/>
      <c r="C12" s="82"/>
      <c r="D12" s="518" t="s">
        <v>1553</v>
      </c>
      <c r="E12" s="536" t="s">
        <v>943</v>
      </c>
      <c r="F12" s="537"/>
      <c r="G12" s="534"/>
      <c r="H12" s="1609">
        <f>Input_TEL!I45</f>
        <v>0</v>
      </c>
      <c r="I12" s="530"/>
      <c r="J12" s="531"/>
      <c r="K12" s="571"/>
      <c r="L12" s="571"/>
      <c r="M12" s="571"/>
      <c r="N12" s="571"/>
      <c r="O12" s="571"/>
      <c r="P12" s="571"/>
      <c r="Q12" s="571"/>
      <c r="R12" s="571"/>
      <c r="S12" s="571"/>
      <c r="T12" s="571"/>
      <c r="V12" s="565"/>
      <c r="W12" s="565"/>
      <c r="X12" s="565"/>
      <c r="Y12" s="565"/>
      <c r="Z12" s="565"/>
      <c r="AA12" s="565"/>
      <c r="AB12" s="565"/>
      <c r="AC12" s="565"/>
      <c r="AD12" s="1610"/>
    </row>
    <row r="13" spans="1:32" ht="37.5" hidden="1" customHeight="1" thickBot="1" x14ac:dyDescent="0.2">
      <c r="A13" s="82"/>
      <c r="B13" s="82"/>
      <c r="C13" s="82"/>
      <c r="D13" s="518" t="s">
        <v>1554</v>
      </c>
      <c r="E13" s="1611" t="s">
        <v>945</v>
      </c>
      <c r="F13" s="540"/>
      <c r="G13" s="540"/>
      <c r="H13" s="1612">
        <f>Input_TEL!I46</f>
        <v>0</v>
      </c>
      <c r="I13" s="543"/>
      <c r="J13" s="544"/>
      <c r="K13" s="571"/>
      <c r="L13" s="571"/>
      <c r="M13" s="571"/>
      <c r="N13" s="571"/>
      <c r="O13" s="571"/>
      <c r="P13" s="571"/>
      <c r="Q13" s="571"/>
      <c r="R13" s="571"/>
      <c r="S13" s="571"/>
      <c r="T13" s="571"/>
      <c r="V13" s="565"/>
      <c r="W13" s="565"/>
      <c r="X13" s="565"/>
      <c r="Y13" s="565"/>
      <c r="Z13" s="565"/>
      <c r="AA13" s="565"/>
      <c r="AB13" s="565"/>
      <c r="AC13" s="565"/>
      <c r="AD13" s="1610"/>
    </row>
    <row r="14" spans="1:32" ht="21" hidden="1" customHeight="1" thickBot="1" x14ac:dyDescent="0.2">
      <c r="A14" s="82"/>
      <c r="B14" s="82"/>
      <c r="C14" s="82"/>
      <c r="D14" s="83"/>
      <c r="E14" s="80"/>
      <c r="F14" s="80"/>
      <c r="G14" s="80"/>
      <c r="H14" s="1613"/>
      <c r="I14" s="84"/>
      <c r="J14" s="84"/>
      <c r="K14" s="84"/>
      <c r="L14" s="84"/>
      <c r="M14" s="84"/>
      <c r="N14" s="84"/>
      <c r="O14" s="84"/>
      <c r="P14" s="84"/>
      <c r="Q14" s="84"/>
      <c r="R14" s="84"/>
      <c r="S14" s="84"/>
      <c r="T14" s="84"/>
      <c r="U14" s="84"/>
      <c r="V14" s="84"/>
      <c r="W14" s="84"/>
      <c r="X14" s="84"/>
      <c r="Y14" s="84"/>
      <c r="Z14" s="84"/>
      <c r="AA14" s="84"/>
      <c r="AB14" s="84"/>
      <c r="AC14" s="84"/>
      <c r="AD14" s="84"/>
    </row>
    <row r="15" spans="1:32" ht="30.75" customHeight="1" thickBot="1" x14ac:dyDescent="0.25">
      <c r="A15" s="586" t="str">
        <f>Input_TEL!B5</f>
        <v xml:space="preserve">PROJECT: </v>
      </c>
      <c r="B15" s="586"/>
      <c r="C15" s="587"/>
      <c r="Q15" s="590" t="s">
        <v>974</v>
      </c>
      <c r="R15" s="590" t="s">
        <v>974</v>
      </c>
      <c r="S15" s="590" t="s">
        <v>974</v>
      </c>
      <c r="T15" s="590" t="s">
        <v>974</v>
      </c>
      <c r="AD15" s="1614">
        <f>Input_TEL!AJ5</f>
        <v>45838</v>
      </c>
      <c r="AF15" s="176" t="s">
        <v>1111</v>
      </c>
    </row>
    <row r="16" spans="1:32" s="176" customFormat="1" ht="27.75" customHeight="1" thickBot="1" x14ac:dyDescent="0.25">
      <c r="A16" s="592" t="s">
        <v>1555</v>
      </c>
      <c r="B16" s="592"/>
      <c r="C16" s="592"/>
      <c r="D16" s="592"/>
      <c r="E16" s="592"/>
      <c r="F16" s="592"/>
      <c r="G16" s="592"/>
      <c r="H16" s="592"/>
      <c r="I16" s="592"/>
      <c r="J16" s="592"/>
      <c r="K16" s="592"/>
      <c r="L16" s="592"/>
      <c r="M16" s="592"/>
      <c r="N16" s="592"/>
      <c r="O16" s="592"/>
      <c r="P16" s="592"/>
      <c r="Q16" s="592"/>
      <c r="R16" s="592"/>
      <c r="S16" s="592"/>
      <c r="T16" s="592"/>
      <c r="U16" s="592"/>
      <c r="V16" s="592"/>
      <c r="W16" s="593"/>
      <c r="X16" s="593"/>
      <c r="Y16" s="593"/>
      <c r="Z16" s="593"/>
      <c r="AA16" s="593"/>
      <c r="AB16" s="593"/>
      <c r="AC16" s="593"/>
      <c r="AD16" s="592"/>
    </row>
    <row r="17" spans="1:30" s="176" customFormat="1" ht="43.5" customHeight="1" x14ac:dyDescent="0.2">
      <c r="A17" s="594" t="s">
        <v>977</v>
      </c>
      <c r="B17" s="595" t="s">
        <v>978</v>
      </c>
      <c r="C17" s="595" t="s">
        <v>979</v>
      </c>
      <c r="D17" s="596" t="s">
        <v>980</v>
      </c>
      <c r="E17" s="595"/>
      <c r="F17" s="597" t="s">
        <v>79</v>
      </c>
      <c r="G17" s="597" t="s">
        <v>981</v>
      </c>
      <c r="H17" s="596" t="s">
        <v>427</v>
      </c>
      <c r="I17" s="598" t="s">
        <v>982</v>
      </c>
      <c r="J17" s="599"/>
      <c r="K17" s="599"/>
      <c r="L17" s="599"/>
      <c r="M17" s="599"/>
      <c r="N17" s="600"/>
      <c r="O17" s="91" t="s">
        <v>983</v>
      </c>
      <c r="P17" s="91"/>
      <c r="Q17" s="601" t="s">
        <v>984</v>
      </c>
      <c r="R17" s="602"/>
      <c r="S17" s="601" t="s">
        <v>985</v>
      </c>
      <c r="T17" s="602"/>
      <c r="U17" s="603" t="s">
        <v>986</v>
      </c>
      <c r="V17" s="604"/>
      <c r="W17" s="604"/>
      <c r="X17" s="604"/>
      <c r="Y17" s="604"/>
      <c r="Z17" s="605"/>
      <c r="AA17" s="1615" t="s">
        <v>987</v>
      </c>
      <c r="AB17" s="606"/>
      <c r="AC17" s="607"/>
      <c r="AD17" s="608" t="s">
        <v>988</v>
      </c>
    </row>
    <row r="18" spans="1:30" s="176" customFormat="1" ht="35.25" customHeight="1" x14ac:dyDescent="0.2">
      <c r="A18" s="609"/>
      <c r="B18" s="610"/>
      <c r="C18" s="610"/>
      <c r="D18" s="611"/>
      <c r="E18" s="610"/>
      <c r="F18" s="612"/>
      <c r="G18" s="612"/>
      <c r="H18" s="611"/>
      <c r="I18" s="613" t="s">
        <v>989</v>
      </c>
      <c r="J18" s="614"/>
      <c r="K18" s="615" t="s">
        <v>990</v>
      </c>
      <c r="L18" s="614"/>
      <c r="M18" s="615" t="s">
        <v>991</v>
      </c>
      <c r="N18" s="616"/>
      <c r="O18" s="101" t="s">
        <v>992</v>
      </c>
      <c r="P18" s="102"/>
      <c r="Q18" s="100" t="s">
        <v>992</v>
      </c>
      <c r="R18" s="102"/>
      <c r="S18" s="100" t="s">
        <v>992</v>
      </c>
      <c r="T18" s="101"/>
      <c r="U18" s="617" t="s">
        <v>989</v>
      </c>
      <c r="V18" s="618"/>
      <c r="W18" s="619" t="s">
        <v>990</v>
      </c>
      <c r="X18" s="618"/>
      <c r="Y18" s="619" t="s">
        <v>991</v>
      </c>
      <c r="Z18" s="620"/>
      <c r="AA18" s="1616" t="s">
        <v>989</v>
      </c>
      <c r="AB18" s="621" t="s">
        <v>990</v>
      </c>
      <c r="AC18" s="622" t="s">
        <v>991</v>
      </c>
      <c r="AD18" s="623"/>
    </row>
    <row r="19" spans="1:30" s="176" customFormat="1" ht="43.5" customHeight="1" x14ac:dyDescent="0.2">
      <c r="A19" s="639"/>
      <c r="B19" s="640"/>
      <c r="C19" s="640"/>
      <c r="D19" s="641"/>
      <c r="E19" s="640"/>
      <c r="F19" s="642"/>
      <c r="G19" s="642"/>
      <c r="H19" s="641"/>
      <c r="I19" s="624" t="s">
        <v>993</v>
      </c>
      <c r="J19" s="625"/>
      <c r="K19" s="626" t="s">
        <v>994</v>
      </c>
      <c r="L19" s="625"/>
      <c r="M19" s="626" t="s">
        <v>995</v>
      </c>
      <c r="N19" s="627"/>
      <c r="O19" s="628" t="s">
        <v>996</v>
      </c>
      <c r="P19" s="629"/>
      <c r="Q19" s="630" t="s">
        <v>996</v>
      </c>
      <c r="R19" s="629"/>
      <c r="S19" s="630" t="s">
        <v>996</v>
      </c>
      <c r="T19" s="631"/>
      <c r="U19" s="632" t="s">
        <v>997</v>
      </c>
      <c r="V19" s="633"/>
      <c r="W19" s="634" t="s">
        <v>998</v>
      </c>
      <c r="X19" s="633"/>
      <c r="Y19" s="634" t="s">
        <v>999</v>
      </c>
      <c r="Z19" s="635"/>
      <c r="AA19" s="1617" t="s">
        <v>1000</v>
      </c>
      <c r="AB19" s="637" t="s">
        <v>1001</v>
      </c>
      <c r="AC19" s="638" t="s">
        <v>1002</v>
      </c>
      <c r="AD19" s="655"/>
    </row>
    <row r="20" spans="1:30" s="176" customFormat="1" ht="36.75" customHeight="1" x14ac:dyDescent="0.2">
      <c r="A20" s="1618"/>
      <c r="B20" s="1619"/>
      <c r="C20" s="1619"/>
      <c r="D20" s="1620"/>
      <c r="E20" s="1619"/>
      <c r="F20" s="1621"/>
      <c r="G20" s="1621"/>
      <c r="H20" s="1622"/>
      <c r="I20" s="643" t="s">
        <v>1003</v>
      </c>
      <c r="J20" s="644" t="s">
        <v>59</v>
      </c>
      <c r="K20" s="644" t="s">
        <v>1003</v>
      </c>
      <c r="L20" s="644" t="s">
        <v>59</v>
      </c>
      <c r="M20" s="644" t="s">
        <v>1003</v>
      </c>
      <c r="N20" s="645" t="s">
        <v>59</v>
      </c>
      <c r="O20" s="646" t="s">
        <v>1003</v>
      </c>
      <c r="P20" s="647" t="s">
        <v>59</v>
      </c>
      <c r="Q20" s="647" t="s">
        <v>1003</v>
      </c>
      <c r="R20" s="647" t="s">
        <v>59</v>
      </c>
      <c r="S20" s="647" t="s">
        <v>1003</v>
      </c>
      <c r="T20" s="648" t="s">
        <v>59</v>
      </c>
      <c r="U20" s="1623" t="s">
        <v>1003</v>
      </c>
      <c r="V20" s="650" t="s">
        <v>59</v>
      </c>
      <c r="W20" s="1624" t="s">
        <v>1003</v>
      </c>
      <c r="X20" s="650" t="s">
        <v>59</v>
      </c>
      <c r="Y20" s="1624" t="s">
        <v>1003</v>
      </c>
      <c r="Z20" s="652" t="s">
        <v>59</v>
      </c>
      <c r="AA20" s="1616" t="s">
        <v>987</v>
      </c>
      <c r="AB20" s="653" t="s">
        <v>987</v>
      </c>
      <c r="AC20" s="654" t="s">
        <v>987</v>
      </c>
      <c r="AD20" s="1625"/>
    </row>
    <row r="21" spans="1:30" ht="51.75" customHeight="1" x14ac:dyDescent="0.15">
      <c r="A21" s="208" t="s">
        <v>1004</v>
      </c>
      <c r="B21" s="977" t="s">
        <v>672</v>
      </c>
      <c r="C21" s="977" t="s">
        <v>1005</v>
      </c>
      <c r="D21" s="1626" t="s">
        <v>95</v>
      </c>
      <c r="E21" s="1627" t="s">
        <v>96</v>
      </c>
      <c r="F21" s="980" t="s">
        <v>97</v>
      </c>
      <c r="G21" s="1628">
        <v>1</v>
      </c>
      <c r="H21" s="1629" t="str">
        <f>Input_TEL!$AI$8</f>
        <v>상</v>
      </c>
      <c r="I21" s="983" cm="1">
        <f t="array" ref="I21">IF(H21="상",산출기준_TEL!G13,IF(H21="중",산출기준_TEL!H13,IF(H21="하",산출기준_TEL!I13,fault)))</f>
        <v>40</v>
      </c>
      <c r="J21" s="1630">
        <f>ROUND(($G21*I21),0)</f>
        <v>40</v>
      </c>
      <c r="K21" s="1630">
        <f>$I21*(1-Input_TEL!F17)</f>
        <v>28</v>
      </c>
      <c r="L21" s="1630">
        <f>ROUND(($G21*K21),0)</f>
        <v>28</v>
      </c>
      <c r="M21" s="1630">
        <f>$I21*(1-Input_TEL!F17-Input_TEL!G17)</f>
        <v>24</v>
      </c>
      <c r="N21" s="1631">
        <f>ROUND(M21*G21,0)</f>
        <v>24</v>
      </c>
      <c r="O21" s="1632">
        <f t="shared" ref="O21:P25" si="0">Q21+S21</f>
        <v>17.142857142857142</v>
      </c>
      <c r="P21" s="1630">
        <f t="shared" si="0"/>
        <v>17</v>
      </c>
      <c r="Q21" s="1633">
        <f>$I21*(Input_TEL!F17)/Input_TEL!$AG$37</f>
        <v>17.142857142857142</v>
      </c>
      <c r="R21" s="1630">
        <f>ROUND(Q21*G21,0)</f>
        <v>17</v>
      </c>
      <c r="S21" s="1634"/>
      <c r="T21" s="1635"/>
      <c r="U21" s="1636"/>
      <c r="V21" s="1637"/>
      <c r="W21" s="1635"/>
      <c r="X21" s="1635"/>
      <c r="Y21" s="1638">
        <f>ROUND($U21*(1-Input_TEL!H17)+I21*Input_TEL!G17/Input_TEL!$AG$38,0)</f>
        <v>6</v>
      </c>
      <c r="Z21" s="1639">
        <f>ROUND(Y21*G21,0)</f>
        <v>6</v>
      </c>
      <c r="AA21" s="1640">
        <f>SUM(J21,V21)</f>
        <v>40</v>
      </c>
      <c r="AB21" s="1641">
        <f>L21+P21+X21</f>
        <v>45</v>
      </c>
      <c r="AC21" s="1642">
        <f>N21+P21+Z21</f>
        <v>47</v>
      </c>
      <c r="AD21" s="1643"/>
    </row>
    <row r="22" spans="1:30" ht="51.75" customHeight="1" x14ac:dyDescent="0.15">
      <c r="A22" s="858"/>
      <c r="B22" s="1644"/>
      <c r="C22" s="1644"/>
      <c r="D22" s="1645" t="s">
        <v>102</v>
      </c>
      <c r="E22" s="1646" t="s">
        <v>677</v>
      </c>
      <c r="F22" s="1647" t="s">
        <v>97</v>
      </c>
      <c r="G22" s="1648">
        <v>1</v>
      </c>
      <c r="H22" s="1649" t="str">
        <f>Input_TEL!$AI$8</f>
        <v>상</v>
      </c>
      <c r="I22" s="1650" cm="1">
        <f t="array" ref="I22">IF(H22="상",산출기준_TEL!G14,IF(H22="중",산출기준_TEL!H14,IF(H22="하",산출기준_TEL!I14,fault)))</f>
        <v>60</v>
      </c>
      <c r="J22" s="1651">
        <f>ROUND(($G22*I22),0)</f>
        <v>60</v>
      </c>
      <c r="K22" s="1651">
        <f>$I22*(1-Input_TEL!F18)</f>
        <v>42</v>
      </c>
      <c r="L22" s="1651">
        <f>ROUND(($G22*K22),0)</f>
        <v>42</v>
      </c>
      <c r="M22" s="1652">
        <f>$I22*(1-Input_TEL!F18-Input_TEL!G18)</f>
        <v>36</v>
      </c>
      <c r="N22" s="1653">
        <f>ROUND(M22*G22,0)</f>
        <v>36</v>
      </c>
      <c r="O22" s="1654">
        <f t="shared" si="0"/>
        <v>25.714285714285715</v>
      </c>
      <c r="P22" s="1655">
        <f t="shared" si="0"/>
        <v>26</v>
      </c>
      <c r="Q22" s="1656">
        <f>$I22*(Input_TEL!F9)/Input_TEL!$AG$37</f>
        <v>25.714285714285715</v>
      </c>
      <c r="R22" s="1655">
        <f>ROUND(Q22*G22,0)</f>
        <v>26</v>
      </c>
      <c r="S22" s="1657"/>
      <c r="T22" s="1658"/>
      <c r="U22" s="1659"/>
      <c r="V22" s="1660"/>
      <c r="W22" s="1658"/>
      <c r="X22" s="1658"/>
      <c r="Y22" s="1661">
        <f>ROUND($U22*(1-Input_TEL!H18)+I22*Input_TEL!G18/Input_TEL!$AG$38,0)</f>
        <v>9</v>
      </c>
      <c r="Z22" s="1653">
        <f>ROUND(Y22*G22,0)</f>
        <v>9</v>
      </c>
      <c r="AA22" s="1662">
        <f>SUM(J22,V22)</f>
        <v>60</v>
      </c>
      <c r="AB22" s="1663">
        <f>L22+P22+X22</f>
        <v>68</v>
      </c>
      <c r="AC22" s="1664">
        <f>N22+P22+Z22</f>
        <v>71</v>
      </c>
      <c r="AD22" s="1665"/>
    </row>
    <row r="23" spans="1:30" ht="51.75" customHeight="1" x14ac:dyDescent="0.15">
      <c r="A23" s="858"/>
      <c r="B23" s="977" t="s">
        <v>1238</v>
      </c>
      <c r="C23" s="977" t="s">
        <v>1007</v>
      </c>
      <c r="D23" s="1626" t="s">
        <v>95</v>
      </c>
      <c r="E23" s="1627" t="s">
        <v>1556</v>
      </c>
      <c r="F23" s="980" t="s">
        <v>97</v>
      </c>
      <c r="G23" s="1628">
        <f>Input_TEL!AH23</f>
        <v>1</v>
      </c>
      <c r="H23" s="1666" t="s">
        <v>114</v>
      </c>
      <c r="I23" s="983">
        <f>산출기준_TEL!H17</f>
        <v>40</v>
      </c>
      <c r="J23" s="1630">
        <f>ROUND(($G23*I23),0)</f>
        <v>40</v>
      </c>
      <c r="K23" s="1630">
        <f>$I23*(1-Input_TEL!Q86)</f>
        <v>28</v>
      </c>
      <c r="L23" s="1630">
        <f>ROUND(($G23*K23),0)</f>
        <v>28</v>
      </c>
      <c r="M23" s="1630">
        <f>$I23*(1-Input_TEL!Q86-Input_TEL!R86)</f>
        <v>24</v>
      </c>
      <c r="N23" s="1631">
        <f>ROUND(M23*G23,0)</f>
        <v>24</v>
      </c>
      <c r="O23" s="1632">
        <f t="shared" si="0"/>
        <v>17.142857142857142</v>
      </c>
      <c r="P23" s="1630">
        <f t="shared" si="0"/>
        <v>17</v>
      </c>
      <c r="Q23" s="1633">
        <f>$I23*(Input_TEL!Q86)/Input_TEL!$AG$37</f>
        <v>17.142857142857142</v>
      </c>
      <c r="R23" s="1630">
        <f>ROUND(Q23*G23,0)</f>
        <v>17</v>
      </c>
      <c r="S23" s="1634"/>
      <c r="T23" s="1667"/>
      <c r="U23" s="1636"/>
      <c r="V23" s="1668"/>
      <c r="W23" s="1669"/>
      <c r="X23" s="1669"/>
      <c r="Y23" s="662">
        <f>ROUND($U23*(1-Input_TEL!S86)+I23*Input_TEL!R86/Input_TEL!$AG$38,0)</f>
        <v>6</v>
      </c>
      <c r="Z23" s="985">
        <f>ROUND(Y23*G23,0)</f>
        <v>6</v>
      </c>
      <c r="AA23" s="1670">
        <f>SUM(J23,V23)</f>
        <v>40</v>
      </c>
      <c r="AB23" s="1671">
        <f>L23+P23+X23</f>
        <v>45</v>
      </c>
      <c r="AC23" s="1672">
        <f>N23+P23+Z23</f>
        <v>47</v>
      </c>
      <c r="AD23" s="1643"/>
    </row>
    <row r="24" spans="1:30" ht="51.75" customHeight="1" x14ac:dyDescent="0.15">
      <c r="A24" s="858"/>
      <c r="B24" s="882"/>
      <c r="C24" s="882"/>
      <c r="D24" s="1673" t="s">
        <v>525</v>
      </c>
      <c r="E24" s="1674" t="s">
        <v>1557</v>
      </c>
      <c r="F24" s="861" t="s">
        <v>97</v>
      </c>
      <c r="G24" s="1675">
        <f>Input_TEL!AH24</f>
        <v>0</v>
      </c>
      <c r="H24" s="1666" t="str">
        <f>Input_TEL!$AI$8</f>
        <v>상</v>
      </c>
      <c r="I24" s="887" cm="1">
        <f t="array" ref="I24">IF(H24="상",산출기준_TEL!G18,IF(H24="중",산출기준_TEL!H18,IF(H24="하",산출기준_TEL!I18,fault)))</f>
        <v>240</v>
      </c>
      <c r="J24" s="1676">
        <f>ROUND(($G24*I24),0)</f>
        <v>0</v>
      </c>
      <c r="K24" s="1638">
        <f>$I24*(1-Input_TEL!Q87)</f>
        <v>168</v>
      </c>
      <c r="L24" s="1638">
        <f>ROUND(($G24*K24),0)</f>
        <v>0</v>
      </c>
      <c r="M24" s="1638">
        <f>$I24*(1-Input_TEL!Q87-Input_TEL!R87)</f>
        <v>144</v>
      </c>
      <c r="N24" s="1639">
        <f>ROUND(M24*G24,0)</f>
        <v>0</v>
      </c>
      <c r="O24" s="1677">
        <f t="shared" si="0"/>
        <v>102.85714285714286</v>
      </c>
      <c r="P24" s="1638">
        <f t="shared" si="0"/>
        <v>0</v>
      </c>
      <c r="Q24" s="1678">
        <f>$I24*(Input_TEL!Q87)/Input_TEL!$AG$37</f>
        <v>102.85714285714286</v>
      </c>
      <c r="R24" s="1638">
        <f>ROUND(Q24*G24,0)</f>
        <v>0</v>
      </c>
      <c r="S24" s="1679"/>
      <c r="T24" s="1680"/>
      <c r="U24" s="1681"/>
      <c r="V24" s="1682"/>
      <c r="W24" s="1680"/>
      <c r="X24" s="1680"/>
      <c r="Y24" s="1638">
        <f>ROUND($U24*(1-Input_TEL!S87)+I24*Input_TEL!R87/Input_TEL!$AG$38,0)</f>
        <v>34</v>
      </c>
      <c r="Z24" s="1639">
        <f>ROUND(Y24*G24,0)</f>
        <v>0</v>
      </c>
      <c r="AA24" s="1683">
        <f>SUM(J24,V24)</f>
        <v>0</v>
      </c>
      <c r="AB24" s="1684">
        <f>L24+P24+X24</f>
        <v>0</v>
      </c>
      <c r="AC24" s="1685">
        <f>N24+P24+Z24</f>
        <v>0</v>
      </c>
      <c r="AD24" s="1686"/>
    </row>
    <row r="25" spans="1:30" ht="51.75" customHeight="1" x14ac:dyDescent="0.15">
      <c r="A25" s="858"/>
      <c r="B25" s="882"/>
      <c r="C25" s="882"/>
      <c r="D25" s="1673" t="s">
        <v>941</v>
      </c>
      <c r="E25" s="1674" t="s">
        <v>1243</v>
      </c>
      <c r="F25" s="861" t="s">
        <v>97</v>
      </c>
      <c r="G25" s="1675">
        <f>Input_TEL!AH25</f>
        <v>0</v>
      </c>
      <c r="H25" s="1666" t="s">
        <v>114</v>
      </c>
      <c r="I25" s="864">
        <f>산출기준_TEL!H19</f>
        <v>240</v>
      </c>
      <c r="J25" s="1676">
        <f>ROUND(($G25*I25),0)</f>
        <v>0</v>
      </c>
      <c r="K25" s="1638">
        <f>$I25*(1-Input_TEL!Q88)</f>
        <v>168</v>
      </c>
      <c r="L25" s="1638">
        <f>ROUND(($G25*K25),0)</f>
        <v>0</v>
      </c>
      <c r="M25" s="1638">
        <f>$I25*(1-Input_TEL!Q88-Input_TEL!R88)</f>
        <v>144</v>
      </c>
      <c r="N25" s="1639">
        <f>ROUND(M25*G25,0)</f>
        <v>0</v>
      </c>
      <c r="O25" s="1677">
        <f t="shared" si="0"/>
        <v>102.85714285714286</v>
      </c>
      <c r="P25" s="1638">
        <f t="shared" si="0"/>
        <v>0</v>
      </c>
      <c r="Q25" s="1678">
        <f>$I25*(Input_TEL!Q88)/Input_TEL!$AG$37</f>
        <v>102.85714285714286</v>
      </c>
      <c r="R25" s="1638">
        <f>ROUND(Q25*G25,0)</f>
        <v>0</v>
      </c>
      <c r="S25" s="1679"/>
      <c r="T25" s="1680"/>
      <c r="U25" s="1681"/>
      <c r="V25" s="1682"/>
      <c r="W25" s="1680"/>
      <c r="X25" s="1680"/>
      <c r="Y25" s="1638">
        <f>ROUND($U25*(1-Input_TEL!S88)+I25*Input_TEL!R88/Input_TEL!$AG$38,0)</f>
        <v>34</v>
      </c>
      <c r="Z25" s="1639">
        <f>ROUND(Y25*G25,0)</f>
        <v>0</v>
      </c>
      <c r="AA25" s="1683">
        <f>SUM(J25,V25)</f>
        <v>0</v>
      </c>
      <c r="AB25" s="1684">
        <f>L25+P25+X25</f>
        <v>0</v>
      </c>
      <c r="AC25" s="1685">
        <f>N25+P25+Z25</f>
        <v>0</v>
      </c>
      <c r="AD25" s="1686"/>
    </row>
    <row r="26" spans="1:30" ht="149.25" customHeight="1" x14ac:dyDescent="0.15">
      <c r="A26" s="858"/>
      <c r="B26" s="1687"/>
      <c r="C26" s="1687"/>
      <c r="D26" s="1688"/>
      <c r="E26" s="1689" t="s">
        <v>1502</v>
      </c>
      <c r="F26" s="861"/>
      <c r="G26" s="1675"/>
      <c r="H26" s="1666"/>
      <c r="I26" s="864"/>
      <c r="J26" s="1676"/>
      <c r="K26" s="1676"/>
      <c r="L26" s="1676"/>
      <c r="M26" s="1690"/>
      <c r="N26" s="1691"/>
      <c r="O26" s="1692"/>
      <c r="P26" s="1693"/>
      <c r="Q26" s="1693"/>
      <c r="R26" s="1693"/>
      <c r="S26" s="1693"/>
      <c r="T26" s="1693"/>
      <c r="U26" s="1694"/>
      <c r="V26" s="865"/>
      <c r="W26" s="1693"/>
      <c r="X26" s="1693"/>
      <c r="Y26" s="680"/>
      <c r="Z26" s="896"/>
      <c r="AA26" s="1695"/>
      <c r="AB26" s="1696"/>
      <c r="AC26" s="1697"/>
      <c r="AD26" s="1686"/>
    </row>
    <row r="27" spans="1:30" ht="51.75" customHeight="1" x14ac:dyDescent="0.15">
      <c r="A27" s="858"/>
      <c r="B27" s="1687"/>
      <c r="C27" s="1687"/>
      <c r="D27" s="1688" t="s">
        <v>160</v>
      </c>
      <c r="E27" s="1689" t="s">
        <v>1558</v>
      </c>
      <c r="F27" s="861" t="s">
        <v>97</v>
      </c>
      <c r="G27" s="1675">
        <f>Input_TEL!AH30</f>
        <v>0</v>
      </c>
      <c r="H27" s="1666" t="s">
        <v>114</v>
      </c>
      <c r="I27" s="864">
        <f>산출기준_TEL!H21</f>
        <v>120</v>
      </c>
      <c r="J27" s="1676">
        <f t="shared" ref="J27:J33" si="1">ROUND(($G27*I27),0)</f>
        <v>0</v>
      </c>
      <c r="K27" s="1638">
        <f>$I27*(1-Input_TEL!Q90)</f>
        <v>84</v>
      </c>
      <c r="L27" s="1638">
        <f t="shared" ref="L27:L33" si="2">ROUND(($G27*K27),0)</f>
        <v>0</v>
      </c>
      <c r="M27" s="1638">
        <f>$I27*(1-Input_TEL!Q90-Input_TEL!R90)</f>
        <v>72</v>
      </c>
      <c r="N27" s="1639">
        <f t="shared" ref="N27:N33" si="3">ROUND(M27*G27,0)</f>
        <v>0</v>
      </c>
      <c r="O27" s="1677">
        <f t="shared" ref="O27:P33" si="4">Q27+S27</f>
        <v>51.428571428571431</v>
      </c>
      <c r="P27" s="1638">
        <f t="shared" si="4"/>
        <v>0</v>
      </c>
      <c r="Q27" s="1678">
        <f>$I27*(Input_TEL!Q90)/Input_TEL!$AG$37</f>
        <v>51.428571428571431</v>
      </c>
      <c r="R27" s="1638">
        <f t="shared" ref="R27:R33" si="5">ROUND(Q27*G27,0)</f>
        <v>0</v>
      </c>
      <c r="S27" s="1679"/>
      <c r="T27" s="1680"/>
      <c r="U27" s="1681"/>
      <c r="V27" s="1682"/>
      <c r="W27" s="1680"/>
      <c r="X27" s="1680"/>
      <c r="Y27" s="1638">
        <f>ROUND($U27*(1-Input_TEL!S90)+I27*Input_TEL!R90/Input_TEL!$AG$38,0)</f>
        <v>17</v>
      </c>
      <c r="Z27" s="1639">
        <f t="shared" ref="Z27:Z33" si="6">ROUND(Y27*G27,0)</f>
        <v>0</v>
      </c>
      <c r="AA27" s="1683">
        <f t="shared" ref="AA27:AA34" si="7">SUM(J27,V27)</f>
        <v>0</v>
      </c>
      <c r="AB27" s="1684">
        <f t="shared" ref="AB27:AB34" si="8">L27+P27+X27</f>
        <v>0</v>
      </c>
      <c r="AC27" s="1685">
        <f t="shared" ref="AC27:AC34" si="9">N27+P27+Z27</f>
        <v>0</v>
      </c>
      <c r="AD27" s="1686"/>
    </row>
    <row r="28" spans="1:30" ht="51.75" customHeight="1" x14ac:dyDescent="0.15">
      <c r="A28" s="858"/>
      <c r="B28" s="1687"/>
      <c r="C28" s="1687"/>
      <c r="D28" s="1688" t="s">
        <v>166</v>
      </c>
      <c r="E28" s="1689" t="s">
        <v>1559</v>
      </c>
      <c r="F28" s="861" t="s">
        <v>97</v>
      </c>
      <c r="G28" s="1675">
        <f>Input_TEL!AH31</f>
        <v>0</v>
      </c>
      <c r="H28" s="1666" t="s">
        <v>114</v>
      </c>
      <c r="I28" s="864">
        <f>산출기준_TEL!H22</f>
        <v>120</v>
      </c>
      <c r="J28" s="1676">
        <f t="shared" si="1"/>
        <v>0</v>
      </c>
      <c r="K28" s="1638">
        <f>$I28*(1-Input_TEL!Q91)</f>
        <v>84</v>
      </c>
      <c r="L28" s="1638">
        <f t="shared" si="2"/>
        <v>0</v>
      </c>
      <c r="M28" s="1638">
        <f>$I28*(1-Input_TEL!Q91-Input_TEL!R91)</f>
        <v>72</v>
      </c>
      <c r="N28" s="1639">
        <f t="shared" si="3"/>
        <v>0</v>
      </c>
      <c r="O28" s="1677">
        <f t="shared" si="4"/>
        <v>81.428571428571431</v>
      </c>
      <c r="P28" s="1638">
        <f t="shared" si="4"/>
        <v>0</v>
      </c>
      <c r="Q28" s="1678">
        <f>$I28*(Input_TEL!Q91)/Input_TEL!$AG$37</f>
        <v>51.428571428571431</v>
      </c>
      <c r="R28" s="1638">
        <f t="shared" si="5"/>
        <v>0</v>
      </c>
      <c r="S28" s="1678">
        <f>U28*Input_TEL!S91</f>
        <v>30</v>
      </c>
      <c r="T28" s="1698">
        <f>ROUND(S28*G28,0)</f>
        <v>0</v>
      </c>
      <c r="U28" s="1699">
        <f>산출기준_TEL!K22</f>
        <v>100</v>
      </c>
      <c r="V28" s="1638">
        <f>ROUND(U28*G28,0)</f>
        <v>0</v>
      </c>
      <c r="W28" s="1638">
        <f>$U28*(1-Input_TEL!S33)</f>
        <v>70</v>
      </c>
      <c r="X28" s="1638">
        <f>ROUND(($G28*W28),0)</f>
        <v>0</v>
      </c>
      <c r="Y28" s="1638">
        <f>ROUND($U28*(1-Input_TEL!S91)+I28*Input_TEL!R91/Input_TEL!$AG$38,0)</f>
        <v>87</v>
      </c>
      <c r="Z28" s="1639">
        <f t="shared" si="6"/>
        <v>0</v>
      </c>
      <c r="AA28" s="1683">
        <f t="shared" si="7"/>
        <v>0</v>
      </c>
      <c r="AB28" s="1684">
        <f t="shared" si="8"/>
        <v>0</v>
      </c>
      <c r="AC28" s="1685">
        <f t="shared" si="9"/>
        <v>0</v>
      </c>
      <c r="AD28" s="1686"/>
    </row>
    <row r="29" spans="1:30" ht="51.75" customHeight="1" x14ac:dyDescent="0.15">
      <c r="A29" s="858"/>
      <c r="B29" s="1644"/>
      <c r="C29" s="1644"/>
      <c r="D29" s="1645" t="s">
        <v>1020</v>
      </c>
      <c r="E29" s="1646" t="s">
        <v>1250</v>
      </c>
      <c r="F29" s="1647" t="s">
        <v>97</v>
      </c>
      <c r="G29" s="1648">
        <f>Input_TEL!AH32</f>
        <v>0</v>
      </c>
      <c r="H29" s="1666" t="s">
        <v>114</v>
      </c>
      <c r="I29" s="864">
        <f>산출기준_TEL!H23</f>
        <v>120</v>
      </c>
      <c r="J29" s="1651">
        <f t="shared" si="1"/>
        <v>0</v>
      </c>
      <c r="K29" s="1638">
        <f>$I29*(1-Input_TEL!Q92)</f>
        <v>84</v>
      </c>
      <c r="L29" s="1638">
        <f t="shared" si="2"/>
        <v>0</v>
      </c>
      <c r="M29" s="1638">
        <f>$I29*(1-Input_TEL!Q92-Input_TEL!R92)</f>
        <v>72</v>
      </c>
      <c r="N29" s="1639">
        <f t="shared" si="3"/>
        <v>0</v>
      </c>
      <c r="O29" s="1700">
        <f t="shared" si="4"/>
        <v>81.428571428571431</v>
      </c>
      <c r="P29" s="1701">
        <f t="shared" si="4"/>
        <v>0</v>
      </c>
      <c r="Q29" s="1678">
        <f>$I29*(Input_TEL!Q92)/Input_TEL!$AG$37</f>
        <v>51.428571428571431</v>
      </c>
      <c r="R29" s="1701">
        <f t="shared" si="5"/>
        <v>0</v>
      </c>
      <c r="S29" s="1678">
        <f>U29*Input_TEL!S92</f>
        <v>30</v>
      </c>
      <c r="T29" s="1698">
        <f>ROUND(S29*G29,0)</f>
        <v>0</v>
      </c>
      <c r="U29" s="1699">
        <f>산출기준_TEL!K23</f>
        <v>100</v>
      </c>
      <c r="V29" s="1638">
        <f>ROUND(U29*G29,0)</f>
        <v>0</v>
      </c>
      <c r="W29" s="1638">
        <f>$U29*(1-Input_TEL!S34)</f>
        <v>70</v>
      </c>
      <c r="X29" s="1638">
        <f>ROUND(($G29*W29),0)</f>
        <v>0</v>
      </c>
      <c r="Y29" s="1638">
        <f>ROUND($U29*(1-Input_TEL!S92)+I29*Input_TEL!R92/Input_TEL!$AG$38,0)</f>
        <v>87</v>
      </c>
      <c r="Z29" s="1639">
        <f t="shared" si="6"/>
        <v>0</v>
      </c>
      <c r="AA29" s="1683">
        <f t="shared" si="7"/>
        <v>0</v>
      </c>
      <c r="AB29" s="1684">
        <f t="shared" si="8"/>
        <v>0</v>
      </c>
      <c r="AC29" s="1685">
        <f t="shared" si="9"/>
        <v>0</v>
      </c>
      <c r="AD29" s="1665"/>
    </row>
    <row r="30" spans="1:30" ht="51.75" customHeight="1" x14ac:dyDescent="0.15">
      <c r="A30" s="858"/>
      <c r="B30" s="977" t="s">
        <v>1560</v>
      </c>
      <c r="C30" s="977" t="s">
        <v>1561</v>
      </c>
      <c r="D30" s="1626" t="s">
        <v>95</v>
      </c>
      <c r="E30" s="1627" t="s">
        <v>112</v>
      </c>
      <c r="F30" s="980" t="s">
        <v>97</v>
      </c>
      <c r="G30" s="1628">
        <v>1</v>
      </c>
      <c r="H30" s="1629" t="str">
        <f>Input_TEL!$AI$8</f>
        <v>상</v>
      </c>
      <c r="I30" s="983" cm="1">
        <f t="array" ref="I30">IF(H30="상",산출기준_TEL!G26,IF(H30="중",산출기준_TEL!H26,IF(H30="하",산출기준_TEL!I26,fault)))</f>
        <v>120</v>
      </c>
      <c r="J30" s="1630">
        <f t="shared" si="1"/>
        <v>120</v>
      </c>
      <c r="K30" s="1630">
        <f>$I30*(1-Input_TEL!F13)</f>
        <v>84</v>
      </c>
      <c r="L30" s="1630">
        <f t="shared" si="2"/>
        <v>84</v>
      </c>
      <c r="M30" s="1630">
        <f>$I30*(1-Input_TEL!F13-Input_TEL!G13)</f>
        <v>72</v>
      </c>
      <c r="N30" s="1631">
        <f t="shared" si="3"/>
        <v>72</v>
      </c>
      <c r="O30" s="1702">
        <f t="shared" si="4"/>
        <v>51.428571428571431</v>
      </c>
      <c r="P30" s="1703">
        <f t="shared" si="4"/>
        <v>51</v>
      </c>
      <c r="Q30" s="1633">
        <f>$I30*(Input_TEL!F13)/Input_TEL!$AG$37</f>
        <v>51.428571428571431</v>
      </c>
      <c r="R30" s="1703">
        <f t="shared" si="5"/>
        <v>51</v>
      </c>
      <c r="S30" s="1634"/>
      <c r="T30" s="1667"/>
      <c r="U30" s="1636"/>
      <c r="V30" s="1668"/>
      <c r="W30" s="1667"/>
      <c r="X30" s="1667"/>
      <c r="Y30" s="1704">
        <f>ROUND($U30*(1-Input_TEL!H13)+I30*Input_TEL!G13/Input_TEL!$AG$38,0)</f>
        <v>17</v>
      </c>
      <c r="Z30" s="985">
        <f t="shared" si="6"/>
        <v>17</v>
      </c>
      <c r="AA30" s="1670">
        <f t="shared" si="7"/>
        <v>120</v>
      </c>
      <c r="AB30" s="1671">
        <f t="shared" si="8"/>
        <v>135</v>
      </c>
      <c r="AC30" s="1672">
        <f t="shared" si="9"/>
        <v>140</v>
      </c>
      <c r="AD30" s="1643"/>
    </row>
    <row r="31" spans="1:30" ht="51.75" customHeight="1" x14ac:dyDescent="0.15">
      <c r="A31" s="858"/>
      <c r="B31" s="882"/>
      <c r="C31" s="882"/>
      <c r="D31" s="1673" t="s">
        <v>102</v>
      </c>
      <c r="E31" s="1674" t="s">
        <v>1255</v>
      </c>
      <c r="F31" s="861" t="s">
        <v>118</v>
      </c>
      <c r="G31" s="1675">
        <f>Input_TEL!I14</f>
        <v>3</v>
      </c>
      <c r="H31" s="1666" t="str">
        <f>Input_TEL!$AI$8</f>
        <v>상</v>
      </c>
      <c r="I31" s="864" cm="1">
        <f t="array" ref="I31">IF(H31="상",산출기준_TEL!G27,IF(H31="중",산출기준_TEL!H27,IF(H31="하",산출기준_TEL!I27,fault)))</f>
        <v>80</v>
      </c>
      <c r="J31" s="1676">
        <f t="shared" si="1"/>
        <v>240</v>
      </c>
      <c r="K31" s="1638">
        <f>$I31*(1-Input_TEL!F14)</f>
        <v>56</v>
      </c>
      <c r="L31" s="1638">
        <f t="shared" si="2"/>
        <v>168</v>
      </c>
      <c r="M31" s="1638">
        <f>$I31*(1-Input_TEL!F14-Input_TEL!G14)</f>
        <v>48</v>
      </c>
      <c r="N31" s="1639">
        <f t="shared" si="3"/>
        <v>144</v>
      </c>
      <c r="O31" s="1677">
        <f t="shared" si="4"/>
        <v>34.285714285714285</v>
      </c>
      <c r="P31" s="1638">
        <f t="shared" si="4"/>
        <v>103</v>
      </c>
      <c r="Q31" s="1678">
        <f>$I31*(Input_TEL!F14)/Input_TEL!$AG$37</f>
        <v>34.285714285714285</v>
      </c>
      <c r="R31" s="1638">
        <f t="shared" si="5"/>
        <v>103</v>
      </c>
      <c r="S31" s="1679"/>
      <c r="T31" s="1680"/>
      <c r="U31" s="1681"/>
      <c r="V31" s="1682"/>
      <c r="W31" s="1680"/>
      <c r="X31" s="1680"/>
      <c r="Y31" s="1638">
        <f>ROUND($U31*(1-Input_TEL!H14)+I31*Input_TEL!G14/Input_TEL!$AG$38,0)</f>
        <v>11</v>
      </c>
      <c r="Z31" s="1639">
        <f t="shared" si="6"/>
        <v>33</v>
      </c>
      <c r="AA31" s="1683">
        <f t="shared" si="7"/>
        <v>240</v>
      </c>
      <c r="AB31" s="1684">
        <f t="shared" si="8"/>
        <v>271</v>
      </c>
      <c r="AC31" s="1685">
        <f t="shared" si="9"/>
        <v>280</v>
      </c>
      <c r="AD31" s="1686"/>
    </row>
    <row r="32" spans="1:30" ht="51.75" customHeight="1" x14ac:dyDescent="0.15">
      <c r="A32" s="858"/>
      <c r="B32" s="882"/>
      <c r="C32" s="882"/>
      <c r="D32" s="1673" t="s">
        <v>121</v>
      </c>
      <c r="E32" s="1674" t="s">
        <v>122</v>
      </c>
      <c r="F32" s="861" t="s">
        <v>118</v>
      </c>
      <c r="G32" s="1675">
        <f>Input_TEL!I15</f>
        <v>3</v>
      </c>
      <c r="H32" s="1666" t="str">
        <f>Input_TEL!$AI$8</f>
        <v>상</v>
      </c>
      <c r="I32" s="864" cm="1">
        <f t="array" ref="I32">IF(H32="상",산출기준_TEL!G28,IF(H32="중",산출기준_TEL!H28,IF(H32="하",산출기준_TEL!I28,fault)))</f>
        <v>80</v>
      </c>
      <c r="J32" s="1676">
        <f t="shared" si="1"/>
        <v>240</v>
      </c>
      <c r="K32" s="1638">
        <f>$I32*(1-Input_TEL!F15)</f>
        <v>56</v>
      </c>
      <c r="L32" s="1638">
        <f t="shared" si="2"/>
        <v>168</v>
      </c>
      <c r="M32" s="1638">
        <f>$I32*(1-Input_TEL!F15-Input_TEL!G15)</f>
        <v>48</v>
      </c>
      <c r="N32" s="1639">
        <f t="shared" si="3"/>
        <v>144</v>
      </c>
      <c r="O32" s="1677">
        <f t="shared" si="4"/>
        <v>34.285714285714285</v>
      </c>
      <c r="P32" s="1638">
        <f t="shared" si="4"/>
        <v>103</v>
      </c>
      <c r="Q32" s="1678">
        <f>$I32*(Input_TEL!F15)/Input_TEL!$AG$37</f>
        <v>34.285714285714285</v>
      </c>
      <c r="R32" s="1638">
        <f t="shared" si="5"/>
        <v>103</v>
      </c>
      <c r="S32" s="1679"/>
      <c r="T32" s="1680"/>
      <c r="U32" s="1681"/>
      <c r="V32" s="1682"/>
      <c r="W32" s="1680"/>
      <c r="X32" s="1680"/>
      <c r="Y32" s="1638">
        <f>ROUND($U32*(1-Input_TEL!H15)+I32*Input_TEL!G15/Input_TEL!$AG$38,0)</f>
        <v>11</v>
      </c>
      <c r="Z32" s="1639">
        <f t="shared" si="6"/>
        <v>33</v>
      </c>
      <c r="AA32" s="1683">
        <f t="shared" si="7"/>
        <v>240</v>
      </c>
      <c r="AB32" s="1684">
        <f t="shared" si="8"/>
        <v>271</v>
      </c>
      <c r="AC32" s="1685">
        <f t="shared" si="9"/>
        <v>280</v>
      </c>
      <c r="AD32" s="1686"/>
    </row>
    <row r="33" spans="1:30" ht="51.75" customHeight="1" x14ac:dyDescent="0.15">
      <c r="A33" s="858"/>
      <c r="B33" s="1644"/>
      <c r="C33" s="1644"/>
      <c r="D33" s="1645" t="s">
        <v>125</v>
      </c>
      <c r="E33" s="1646" t="s">
        <v>126</v>
      </c>
      <c r="F33" s="1647" t="s">
        <v>118</v>
      </c>
      <c r="G33" s="1648">
        <f>Input_TEL!I16</f>
        <v>0</v>
      </c>
      <c r="H33" s="1649" t="str">
        <f>Input_TEL!$AI$8</f>
        <v>상</v>
      </c>
      <c r="I33" s="1650" cm="1">
        <f t="array" ref="I33">IF(H33="상",산출기준_TEL!G29,IF(H33="중",산출기준_TEL!H29,IF(H33="하",산출기준_TEL!I29,fault)))</f>
        <v>200</v>
      </c>
      <c r="J33" s="1651">
        <f t="shared" si="1"/>
        <v>0</v>
      </c>
      <c r="K33" s="1701">
        <f>$I33*(1-Input_TEL!F16)</f>
        <v>140</v>
      </c>
      <c r="L33" s="1701">
        <f t="shared" si="2"/>
        <v>0</v>
      </c>
      <c r="M33" s="1701">
        <f>$I33*(1-Input_TEL!F16-Input_TEL!G16)</f>
        <v>120</v>
      </c>
      <c r="N33" s="1705">
        <f t="shared" si="3"/>
        <v>0</v>
      </c>
      <c r="O33" s="1706">
        <f t="shared" si="4"/>
        <v>85.714285714285722</v>
      </c>
      <c r="P33" s="1661">
        <f t="shared" si="4"/>
        <v>0</v>
      </c>
      <c r="Q33" s="1678">
        <f>$I33*(Input_TEL!F16)/Input_TEL!$AG$37</f>
        <v>85.714285714285722</v>
      </c>
      <c r="R33" s="1661">
        <f t="shared" si="5"/>
        <v>0</v>
      </c>
      <c r="S33" s="1657"/>
      <c r="T33" s="1707"/>
      <c r="U33" s="1659"/>
      <c r="V33" s="1657"/>
      <c r="W33" s="1657"/>
      <c r="X33" s="1657"/>
      <c r="Y33" s="1661">
        <f>ROUND($U33*(1-Input_TEL!H16)+I33*Input_TEL!G16/Input_TEL!$AG$38,0)</f>
        <v>29</v>
      </c>
      <c r="Z33" s="1708">
        <f t="shared" si="6"/>
        <v>0</v>
      </c>
      <c r="AA33" s="1662">
        <f t="shared" si="7"/>
        <v>0</v>
      </c>
      <c r="AB33" s="1663">
        <f t="shared" si="8"/>
        <v>0</v>
      </c>
      <c r="AC33" s="1664">
        <f t="shared" si="9"/>
        <v>0</v>
      </c>
      <c r="AD33" s="1665"/>
    </row>
    <row r="34" spans="1:30" ht="51.75" customHeight="1" x14ac:dyDescent="0.15">
      <c r="A34" s="858"/>
      <c r="B34" s="1709" t="s">
        <v>1010</v>
      </c>
      <c r="C34" s="1709"/>
      <c r="D34" s="1710"/>
      <c r="E34" s="1711"/>
      <c r="F34" s="1712"/>
      <c r="G34" s="1713"/>
      <c r="H34" s="1714"/>
      <c r="I34" s="1715"/>
      <c r="J34" s="1716">
        <f>SUM(J21:J33)</f>
        <v>740</v>
      </c>
      <c r="K34" s="1717"/>
      <c r="L34" s="1717">
        <f>SUM(L21:L33)</f>
        <v>518</v>
      </c>
      <c r="M34" s="1718"/>
      <c r="N34" s="1719">
        <f>SUM(N21:N33)</f>
        <v>444</v>
      </c>
      <c r="O34" s="1720"/>
      <c r="P34" s="1717">
        <f>SUM(P21:P33)</f>
        <v>317</v>
      </c>
      <c r="Q34" s="1717"/>
      <c r="R34" s="1717">
        <f>SUM(R21:R33)</f>
        <v>317</v>
      </c>
      <c r="S34" s="1717"/>
      <c r="T34" s="1721">
        <f>SUM(T21:T33)</f>
        <v>0</v>
      </c>
      <c r="U34" s="1722"/>
      <c r="V34" s="1716">
        <f>SUM(V21:V33)</f>
        <v>0</v>
      </c>
      <c r="W34" s="1716"/>
      <c r="X34" s="1716">
        <f>SUM(X21:X33)</f>
        <v>0</v>
      </c>
      <c r="Y34" s="1716"/>
      <c r="Z34" s="1723">
        <f>SUM(Z21:Z33)</f>
        <v>104</v>
      </c>
      <c r="AA34" s="1724">
        <f t="shared" si="7"/>
        <v>740</v>
      </c>
      <c r="AB34" s="1725">
        <f t="shared" si="8"/>
        <v>835</v>
      </c>
      <c r="AC34" s="1726">
        <f t="shared" si="9"/>
        <v>865</v>
      </c>
      <c r="AD34" s="1727"/>
    </row>
    <row r="35" spans="1:30" ht="51.75" customHeight="1" x14ac:dyDescent="0.15">
      <c r="A35" s="208" t="s">
        <v>1011</v>
      </c>
      <c r="B35" s="977" t="s">
        <v>135</v>
      </c>
      <c r="C35" s="977" t="s">
        <v>1013</v>
      </c>
      <c r="D35" s="1626" t="s">
        <v>95</v>
      </c>
      <c r="E35" s="1728" t="s">
        <v>136</v>
      </c>
      <c r="F35" s="980"/>
      <c r="G35" s="1628"/>
      <c r="H35" s="1629"/>
      <c r="I35" s="983"/>
      <c r="J35" s="984"/>
      <c r="K35" s="984"/>
      <c r="L35" s="984"/>
      <c r="M35" s="980"/>
      <c r="N35" s="1631"/>
      <c r="O35" s="1729"/>
      <c r="P35" s="1630"/>
      <c r="Q35" s="1630"/>
      <c r="R35" s="1630"/>
      <c r="S35" s="1630"/>
      <c r="T35" s="1730"/>
      <c r="U35" s="1731"/>
      <c r="V35" s="984"/>
      <c r="W35" s="1704"/>
      <c r="X35" s="1704"/>
      <c r="Y35" s="662"/>
      <c r="Z35" s="985"/>
      <c r="AA35" s="1670"/>
      <c r="AB35" s="1671"/>
      <c r="AC35" s="1672"/>
      <c r="AD35" s="1643"/>
    </row>
    <row r="36" spans="1:30" ht="51.75" customHeight="1" x14ac:dyDescent="0.15">
      <c r="A36" s="858"/>
      <c r="B36" s="882"/>
      <c r="C36" s="882"/>
      <c r="D36" s="1732"/>
      <c r="E36" s="1733" t="s">
        <v>1562</v>
      </c>
      <c r="F36" s="861" t="s">
        <v>138</v>
      </c>
      <c r="G36" s="1734">
        <f>SUM(Input_TEL!T8:T20)</f>
        <v>9</v>
      </c>
      <c r="H36" s="1666" t="str">
        <f>Input_TEL!$AI$8</f>
        <v>상</v>
      </c>
      <c r="I36" s="1735" t="s">
        <v>1563</v>
      </c>
      <c r="J36" s="1676">
        <f>SUM(Input_TEL!W8:W20)</f>
        <v>1440</v>
      </c>
      <c r="K36" s="1676" t="s">
        <v>1564</v>
      </c>
      <c r="L36" s="1676">
        <f>ROUND(J36*(1-SUM(Input_TEL!Q8:Q20)/COUNT(Input_TEL!Q8:Q20)),0)</f>
        <v>1008</v>
      </c>
      <c r="M36" s="1676" t="s">
        <v>1564</v>
      </c>
      <c r="N36" s="1691">
        <f>ROUND(J36*(1-SUM(Input_TEL!Q8:Q20)/COUNT(Input_TEL!Q8:Q20)- SUM(Input_TEL!R8:R20)/COUNT(Input_TEL!R8:R20)),0)</f>
        <v>864</v>
      </c>
      <c r="O36" s="1736" t="s">
        <v>1564</v>
      </c>
      <c r="P36" s="1676">
        <f>R36+T36</f>
        <v>617</v>
      </c>
      <c r="Q36" s="1676" t="s">
        <v>1564</v>
      </c>
      <c r="R36" s="1676">
        <f>ROUND(J36*SUM(Input_TEL!Q8:Q20)/COUNT(Input_TEL!Q8:Q20)/Input_TEL!$AG$37,0)</f>
        <v>617</v>
      </c>
      <c r="S36" s="1678">
        <f>U36*SUM(Input_TEL!S8:S20)/COUNT(Input_TEL!S8:S20)</f>
        <v>0</v>
      </c>
      <c r="T36" s="1698">
        <f>ROUND(S36*G36,0)</f>
        <v>0</v>
      </c>
      <c r="U36" s="1699">
        <f>산출기준_TEL!K30</f>
        <v>0</v>
      </c>
      <c r="V36" s="1676">
        <f>ROUND(U36*G36,0)</f>
        <v>0</v>
      </c>
      <c r="W36" s="1737">
        <f>$U36*(1-SUM(Input_TEL!S8:S20)/COUNT(Input_TEL!S8:S20))</f>
        <v>0</v>
      </c>
      <c r="X36" s="1676">
        <f>ROUND(($G36*W36),0)</f>
        <v>0</v>
      </c>
      <c r="Y36" s="1676" t="s">
        <v>1564</v>
      </c>
      <c r="Z36" s="896">
        <f>IF(Input_TEL!$AG$38=0,0,ROUND(G36*$U36*(1-SUM(Input_TEL!S8:S20)/COUNT(Input_TEL!S8:S20))+J36*(SUM(Input_TEL!R8:R20)/COUNT(Input_TEL!R8:R20))/Input_TEL!$AG$38,1))</f>
        <v>205.7</v>
      </c>
      <c r="AA36" s="1683">
        <f>SUM(J36,V36)</f>
        <v>1440</v>
      </c>
      <c r="AB36" s="1684">
        <f>L36+P36+X36</f>
        <v>1625</v>
      </c>
      <c r="AC36" s="1685">
        <f>N36+P36+Z36</f>
        <v>1686.7</v>
      </c>
      <c r="AD36" s="1686"/>
    </row>
    <row r="37" spans="1:30" ht="51.75" customHeight="1" x14ac:dyDescent="0.15">
      <c r="A37" s="858"/>
      <c r="B37" s="882"/>
      <c r="C37" s="882"/>
      <c r="D37" s="1732"/>
      <c r="E37" s="1733" t="s">
        <v>1565</v>
      </c>
      <c r="F37" s="861" t="s">
        <v>138</v>
      </c>
      <c r="G37" s="1734">
        <f>SUM(Input_TEL!T21:T26)</f>
        <v>3</v>
      </c>
      <c r="H37" s="1666" t="str">
        <f>Input_TEL!$AI$8</f>
        <v>상</v>
      </c>
      <c r="I37" s="1735" t="s">
        <v>1566</v>
      </c>
      <c r="J37" s="1676">
        <f>SUM(Input_TEL!W9:W21)</f>
        <v>1570</v>
      </c>
      <c r="K37" s="1676" t="s">
        <v>1564</v>
      </c>
      <c r="L37" s="1676">
        <f>ROUND(J37*(1-SUM(Input_TEL!Q21:Q26)/COUNT(Input_TEL!Q21:Q26)),0)</f>
        <v>1099</v>
      </c>
      <c r="M37" s="1676" t="s">
        <v>1564</v>
      </c>
      <c r="N37" s="1691">
        <f>ROUND(J37*(1- SUM(Input_TEL!Q21:Q26)/COUNT(Input_TEL!Q21:Q26)- SUM(Input_TEL!R21:R26)/COUNT(Input_TEL!R21:R26)),0)</f>
        <v>942</v>
      </c>
      <c r="O37" s="1736" t="s">
        <v>1564</v>
      </c>
      <c r="P37" s="1676">
        <f>R37+T37</f>
        <v>673</v>
      </c>
      <c r="Q37" s="1676" t="s">
        <v>1564</v>
      </c>
      <c r="R37" s="1676">
        <f>ROUND(J37*SUM(Input_TEL!Q21:Q26)/COUNT(Input_TEL!Q21:Q26)/Input_TEL!$AG$37,0)</f>
        <v>673</v>
      </c>
      <c r="S37" s="1678">
        <f>U37*SUM(Input_TEL!S21:S26)/COUNT(Input_TEL!S21:S26)</f>
        <v>0</v>
      </c>
      <c r="T37" s="1698">
        <f>ROUND(S37*G37,0)</f>
        <v>0</v>
      </c>
      <c r="U37" s="1699">
        <f>산출기준_TEL!K31</f>
        <v>0</v>
      </c>
      <c r="V37" s="1676">
        <f>ROUND(U37*G37,0)</f>
        <v>0</v>
      </c>
      <c r="W37" s="1737">
        <f>$U37*(1-SUM(Input_TEL!S21:S26)/COUNT(Input_TEL!S21:S26))</f>
        <v>0</v>
      </c>
      <c r="X37" s="1676">
        <f>ROUND(($G37*W37),0)</f>
        <v>0</v>
      </c>
      <c r="Y37" s="1676" t="s">
        <v>1564</v>
      </c>
      <c r="Z37" s="896">
        <f>IF(Input_TEL!$AG$38=0,0,ROUND(G37*$U37*(1-SUM(Input_TEL!S21:S26)/COUNT(Input_TEL!S21:S26))+J37*(SUM(Input_TEL!R21:R26)/COUNT(Input_TEL!R21:R26))/Input_TEL!$AG$38,1))</f>
        <v>224.3</v>
      </c>
      <c r="AA37" s="1683">
        <f>SUM(J37,V37)</f>
        <v>1570</v>
      </c>
      <c r="AB37" s="1684">
        <f>L37+P37+X37</f>
        <v>1772</v>
      </c>
      <c r="AC37" s="1685">
        <f>N37+P37+Z37</f>
        <v>1839.3</v>
      </c>
      <c r="AD37" s="1686"/>
    </row>
    <row r="38" spans="1:30" ht="51.75" customHeight="1" x14ac:dyDescent="0.15">
      <c r="A38" s="858"/>
      <c r="B38" s="882"/>
      <c r="C38" s="882"/>
      <c r="D38" s="1673" t="s">
        <v>102</v>
      </c>
      <c r="E38" s="1738" t="s">
        <v>1287</v>
      </c>
      <c r="F38" s="861"/>
      <c r="G38" s="1675"/>
      <c r="H38" s="1666"/>
      <c r="I38" s="1735"/>
      <c r="J38" s="1676"/>
      <c r="K38" s="1739"/>
      <c r="L38" s="1739"/>
      <c r="M38" s="1739"/>
      <c r="N38" s="1740"/>
      <c r="O38" s="1692"/>
      <c r="P38" s="1693"/>
      <c r="Q38" s="1693"/>
      <c r="R38" s="1693"/>
      <c r="S38" s="1693"/>
      <c r="T38" s="1693"/>
      <c r="U38" s="1741"/>
      <c r="V38" s="1676"/>
      <c r="W38" s="1742"/>
      <c r="X38" s="1676"/>
      <c r="Y38" s="1743"/>
      <c r="Z38" s="896"/>
      <c r="AA38" s="1683"/>
      <c r="AB38" s="1684"/>
      <c r="AC38" s="1685"/>
      <c r="AD38" s="1686"/>
    </row>
    <row r="39" spans="1:30" ht="51.75" customHeight="1" x14ac:dyDescent="0.15">
      <c r="A39" s="858"/>
      <c r="B39" s="882"/>
      <c r="C39" s="882"/>
      <c r="D39" s="1732"/>
      <c r="E39" s="1733" t="s">
        <v>1562</v>
      </c>
      <c r="F39" s="861" t="s">
        <v>138</v>
      </c>
      <c r="G39" s="1744">
        <f>SUM(Input_TEL!T27:T39)</f>
        <v>10</v>
      </c>
      <c r="H39" s="1666" t="str">
        <f>Input_TEL!$AI$8</f>
        <v>상</v>
      </c>
      <c r="I39" s="1735" t="s">
        <v>1566</v>
      </c>
      <c r="J39" s="1676">
        <f>SUM(Input_TEL!W11:W23)</f>
        <v>1510</v>
      </c>
      <c r="K39" s="1676" t="s">
        <v>1564</v>
      </c>
      <c r="L39" s="1745">
        <f>ROUND(J39*(1-SUM(Input_TEL!Q27:Q39)/COUNT(Input_TEL!Q27:Q39)),0)</f>
        <v>1057</v>
      </c>
      <c r="M39" s="1676" t="s">
        <v>1564</v>
      </c>
      <c r="N39" s="1691">
        <f>ROUND(J39*(1- SUM(Input_TEL!Q27:Q39)/COUNT(Input_TEL!Q27:Q39)- SUM(Input_TEL!R27:R39)/COUNT(Input_TEL!R27:R39)),0)</f>
        <v>906</v>
      </c>
      <c r="O39" s="1736" t="s">
        <v>1564</v>
      </c>
      <c r="P39" s="1676">
        <f>R39+T39</f>
        <v>707</v>
      </c>
      <c r="Q39" s="1676" t="s">
        <v>1564</v>
      </c>
      <c r="R39" s="1676">
        <f>ROUND(J39*SUM(Input_TEL!Q27:Q39)/COUNT(Input_TEL!Q27:Q39)/Input_TEL!$AG$37,0)</f>
        <v>647</v>
      </c>
      <c r="S39" s="1678">
        <f>U39*SUM(Input_TEL!S27:S39)/COUNT(Input_TEL!S27:S39)</f>
        <v>5.9999999999999991</v>
      </c>
      <c r="T39" s="1698">
        <f>ROUND(S39*G39,0)</f>
        <v>60</v>
      </c>
      <c r="U39" s="1744">
        <f>산출기준_TEL!L57</f>
        <v>20</v>
      </c>
      <c r="V39" s="1676">
        <f>ROUND(U39*G39,0)</f>
        <v>200</v>
      </c>
      <c r="W39" s="1737">
        <f>$U39*(1-SUM(Input_TEL!S27:S39)/COUNT(Input_TEL!S27:S39))</f>
        <v>14.000000000000002</v>
      </c>
      <c r="X39" s="1676">
        <f>ROUND(($G39*W39),0)</f>
        <v>140</v>
      </c>
      <c r="Y39" s="1676" t="s">
        <v>1564</v>
      </c>
      <c r="Z39" s="896">
        <f>IF(Input_TEL!$AG$38=0,0,ROUND(G39*$U39*(1-SUM(Input_TEL!S27:S39)/COUNT(Input_TEL!S27:S39))+J39*(SUM(Input_TEL!R27:R39)/COUNT(Input_TEL!R27:R39))/Input_TEL!$AG$38,1))</f>
        <v>355.7</v>
      </c>
      <c r="AA39" s="1683">
        <f>SUM(J39,V39)</f>
        <v>1710</v>
      </c>
      <c r="AB39" s="1684">
        <f>L39+P39+X39</f>
        <v>1904</v>
      </c>
      <c r="AC39" s="1685">
        <f>N39+P39+Z39</f>
        <v>1968.7</v>
      </c>
      <c r="AD39" s="1686"/>
    </row>
    <row r="40" spans="1:30" ht="51.75" customHeight="1" x14ac:dyDescent="0.15">
      <c r="A40" s="858"/>
      <c r="B40" s="1687"/>
      <c r="C40" s="1687"/>
      <c r="D40" s="1645"/>
      <c r="E40" s="1746" t="s">
        <v>1373</v>
      </c>
      <c r="F40" s="1747" t="s">
        <v>138</v>
      </c>
      <c r="G40" s="1744">
        <f>SUM(Input_TEL!T40:T45)</f>
        <v>3</v>
      </c>
      <c r="H40" s="1748" t="str">
        <f>Input_TEL!$AI$8</f>
        <v>상</v>
      </c>
      <c r="I40" s="1749" t="s">
        <v>1563</v>
      </c>
      <c r="J40" s="1676">
        <f>SUM(Input_TEL!W12:W24)</f>
        <v>1640</v>
      </c>
      <c r="K40" s="1676" t="s">
        <v>1564</v>
      </c>
      <c r="L40" s="1750">
        <f>ROUND(J40*(1-SUM(Input_TEL!Q40:Q45)/COUNT(Input_TEL!Q40:Q45)),0)</f>
        <v>1148</v>
      </c>
      <c r="M40" s="1676" t="s">
        <v>1564</v>
      </c>
      <c r="N40" s="1751">
        <f>ROUND(J40*(1- SUM(Input_TEL!Q40:Q45)/COUNT(Input_TEL!Q40:Q45)- SUM(Input_TEL!R40:R45)/COUNT(Input_TEL!R40:R45)),0)</f>
        <v>984</v>
      </c>
      <c r="O40" s="1752" t="s">
        <v>1564</v>
      </c>
      <c r="P40" s="1753">
        <f>R40+T40</f>
        <v>721</v>
      </c>
      <c r="Q40" s="1753" t="s">
        <v>1564</v>
      </c>
      <c r="R40" s="1753">
        <f>ROUND(J40*SUM(Input_TEL!Q40:Q45)/COUNT(Input_TEL!Q40:Q45)/Input_TEL!$AG$37,0)</f>
        <v>703</v>
      </c>
      <c r="S40" s="1754">
        <f>U40*SUM(Input_TEL!S40:S45)/COUNT(Input_TEL!S40:S45)</f>
        <v>6</v>
      </c>
      <c r="T40" s="1755">
        <f>ROUND(S40*G40,0)</f>
        <v>18</v>
      </c>
      <c r="U40" s="1744">
        <f>산출기준_TEL!L58</f>
        <v>20</v>
      </c>
      <c r="V40" s="1753">
        <f>ROUND(U40*G40,0)</f>
        <v>60</v>
      </c>
      <c r="W40" s="1756">
        <f>$U40*(1-SUM(Input_TEL!S40:S45)/COUNT(Input_TEL!S40:S45))</f>
        <v>14</v>
      </c>
      <c r="X40" s="1753">
        <f>ROUND(($G40*W40),0)</f>
        <v>42</v>
      </c>
      <c r="Y40" s="1676" t="s">
        <v>1564</v>
      </c>
      <c r="Z40" s="896">
        <f>IF(Input_TEL!$AG$38=0,0,ROUND(G40*$U40*(1-SUM(Input_TEL!S40:S45)/COUNT(Input_TEL!S40:S45))+J40*(SUM(Input_TEL!R40:R45)/COUNT(Input_TEL!R40:R45))/Input_TEL!$AG$38,1))</f>
        <v>276.3</v>
      </c>
      <c r="AA40" s="1757">
        <f>SUM(J40,V40)</f>
        <v>1700</v>
      </c>
      <c r="AB40" s="1758">
        <f>L40+P40+X40</f>
        <v>1911</v>
      </c>
      <c r="AC40" s="1759">
        <f>N40+P40+Z40</f>
        <v>1981.3</v>
      </c>
      <c r="AD40" s="1760"/>
    </row>
    <row r="41" spans="1:30" s="176" customFormat="1" ht="51.75" customHeight="1" x14ac:dyDescent="0.2">
      <c r="A41" s="858"/>
      <c r="B41" s="977" t="s">
        <v>145</v>
      </c>
      <c r="C41" s="977" t="s">
        <v>1016</v>
      </c>
      <c r="D41" s="1626" t="s">
        <v>491</v>
      </c>
      <c r="E41" s="1761" t="s">
        <v>1452</v>
      </c>
      <c r="F41" s="1762" t="s">
        <v>1291</v>
      </c>
      <c r="G41" s="1763">
        <f>Input_TEL!T46</f>
        <v>1</v>
      </c>
      <c r="H41" s="1764" t="s">
        <v>114</v>
      </c>
      <c r="I41" s="1765">
        <f>산출기준_TEL!H79</f>
        <v>50</v>
      </c>
      <c r="J41" s="1630">
        <f t="shared" ref="J41:J68" si="10">ROUND(($G41*I41),0)</f>
        <v>50</v>
      </c>
      <c r="K41" s="1630">
        <f>$I41*(1-Input_TEL!Q46)</f>
        <v>35</v>
      </c>
      <c r="L41" s="1630">
        <f t="shared" ref="L41:L68" si="11">ROUND(($G41*K41),0)</f>
        <v>35</v>
      </c>
      <c r="M41" s="1630">
        <f>$I41*(1-Input_TEL!Q46-Input_TEL!R46)</f>
        <v>30</v>
      </c>
      <c r="N41" s="1631">
        <f t="shared" ref="N41:N68" si="12">ROUND(M41*G41,0)</f>
        <v>30</v>
      </c>
      <c r="O41" s="1702">
        <f t="shared" ref="O41:P68" si="13">Q41+S41</f>
        <v>66.428571428571431</v>
      </c>
      <c r="P41" s="1703">
        <f t="shared" si="13"/>
        <v>66</v>
      </c>
      <c r="Q41" s="1633">
        <f>$I41*(Input_TEL!Q46)/Input_TEL!$AG$37</f>
        <v>21.428571428571431</v>
      </c>
      <c r="R41" s="1703">
        <f t="shared" ref="R41:R51" si="14">ROUND(Q41*G41,0)</f>
        <v>21</v>
      </c>
      <c r="S41" s="1633">
        <f>U41*Input_TEL!S46</f>
        <v>45</v>
      </c>
      <c r="T41" s="1730">
        <f t="shared" ref="T41:T46" si="15">ROUND(S41*G41,0)</f>
        <v>45</v>
      </c>
      <c r="U41" s="1766">
        <f>산출기준_TEL!L79</f>
        <v>150</v>
      </c>
      <c r="V41" s="1630">
        <f t="shared" ref="V41:V46" si="16">ROUND(U41*G41,0)</f>
        <v>150</v>
      </c>
      <c r="W41" s="1767">
        <f>$U41*(1-Input_TEL!S46)</f>
        <v>105</v>
      </c>
      <c r="X41" s="1730">
        <f t="shared" ref="X41:X46" si="17">ROUND(($G41*W41),0)</f>
        <v>105</v>
      </c>
      <c r="Y41" s="662">
        <f>ROUND($U41*(1-Input_TEL!S46)+I41*Input_TEL!R46/Input_TEL!$AG$38,0)</f>
        <v>112</v>
      </c>
      <c r="Z41" s="985">
        <f t="shared" ref="Z41:Z68" si="18">ROUND(Y41*G41,0)</f>
        <v>112</v>
      </c>
      <c r="AA41" s="1670">
        <f t="shared" ref="AA41:AA68" si="19">SUM(J41,V41)</f>
        <v>200</v>
      </c>
      <c r="AB41" s="1671">
        <f t="shared" ref="AB41:AB68" si="20">L41+P41+X41</f>
        <v>206</v>
      </c>
      <c r="AC41" s="1672">
        <f t="shared" ref="AC41:AC68" si="21">N41+P41+Z41</f>
        <v>208</v>
      </c>
      <c r="AD41" s="1768" t="s">
        <v>1017</v>
      </c>
    </row>
    <row r="42" spans="1:30" s="176" customFormat="1" ht="51.75" customHeight="1" x14ac:dyDescent="0.2">
      <c r="A42" s="858"/>
      <c r="B42" s="882"/>
      <c r="C42" s="882"/>
      <c r="D42" s="1673" t="s">
        <v>525</v>
      </c>
      <c r="E42" s="1769" t="s">
        <v>1453</v>
      </c>
      <c r="F42" s="1770" t="s">
        <v>1291</v>
      </c>
      <c r="G42" s="1771">
        <f>Input_TEL!T47</f>
        <v>1</v>
      </c>
      <c r="H42" s="1772" t="s">
        <v>317</v>
      </c>
      <c r="I42" s="1735">
        <f>산출기준_TEL!H80</f>
        <v>50</v>
      </c>
      <c r="J42" s="1676">
        <f t="shared" si="10"/>
        <v>50</v>
      </c>
      <c r="K42" s="1676">
        <f>$I42*(1-Input_TEL!Q47)</f>
        <v>35</v>
      </c>
      <c r="L42" s="1676">
        <f t="shared" si="11"/>
        <v>35</v>
      </c>
      <c r="M42" s="1690">
        <f>$I42*(1-Input_TEL!Q47-Input_TEL!R47)</f>
        <v>30</v>
      </c>
      <c r="N42" s="1691">
        <f t="shared" si="12"/>
        <v>30</v>
      </c>
      <c r="O42" s="1677">
        <f t="shared" si="13"/>
        <v>66.428571428571431</v>
      </c>
      <c r="P42" s="1638">
        <f t="shared" si="13"/>
        <v>66</v>
      </c>
      <c r="Q42" s="1773">
        <f>$I42*(Input_TEL!Q47)/Input_TEL!$AG$37</f>
        <v>21.428571428571431</v>
      </c>
      <c r="R42" s="1638">
        <f t="shared" si="14"/>
        <v>21</v>
      </c>
      <c r="S42" s="1773">
        <f>U42*Input_TEL!S47</f>
        <v>45</v>
      </c>
      <c r="T42" s="1698">
        <f t="shared" si="15"/>
        <v>45</v>
      </c>
      <c r="U42" s="1741">
        <f>산출기준_TEL!L80</f>
        <v>150</v>
      </c>
      <c r="V42" s="1676">
        <f t="shared" si="16"/>
        <v>150</v>
      </c>
      <c r="W42" s="1698">
        <f>$U42*(1-Input_TEL!S47)</f>
        <v>105</v>
      </c>
      <c r="X42" s="1698">
        <f t="shared" si="17"/>
        <v>105</v>
      </c>
      <c r="Y42" s="680">
        <f>ROUND($U42*(1-Input_TEL!S47)+I42*Input_TEL!R47/Input_TEL!$AG$38,0)</f>
        <v>112</v>
      </c>
      <c r="Z42" s="896">
        <f t="shared" si="18"/>
        <v>112</v>
      </c>
      <c r="AA42" s="1683">
        <f t="shared" si="19"/>
        <v>200</v>
      </c>
      <c r="AB42" s="1684">
        <f t="shared" si="20"/>
        <v>206</v>
      </c>
      <c r="AC42" s="1685">
        <f t="shared" si="21"/>
        <v>208</v>
      </c>
      <c r="AD42" s="1774" t="s">
        <v>1017</v>
      </c>
    </row>
    <row r="43" spans="1:30" s="176" customFormat="1" ht="51.75" customHeight="1" x14ac:dyDescent="0.2">
      <c r="A43" s="858"/>
      <c r="B43" s="882"/>
      <c r="C43" s="882"/>
      <c r="D43" s="1673" t="s">
        <v>941</v>
      </c>
      <c r="E43" s="1769" t="s">
        <v>1454</v>
      </c>
      <c r="F43" s="1775" t="s">
        <v>1291</v>
      </c>
      <c r="G43" s="1771">
        <f>Input_TEL!T48</f>
        <v>1</v>
      </c>
      <c r="H43" s="1772" t="s">
        <v>317</v>
      </c>
      <c r="I43" s="1735">
        <f>산출기준_TEL!H81</f>
        <v>24</v>
      </c>
      <c r="J43" s="1676">
        <f t="shared" si="10"/>
        <v>24</v>
      </c>
      <c r="K43" s="1676">
        <f>$I43*(1-Input_TEL!Q48)</f>
        <v>16.799999999999997</v>
      </c>
      <c r="L43" s="1676">
        <f t="shared" si="11"/>
        <v>17</v>
      </c>
      <c r="M43" s="1690">
        <f>$I43*(1-Input_TEL!Q48-Input_TEL!R48)</f>
        <v>14.399999999999999</v>
      </c>
      <c r="N43" s="1691">
        <f t="shared" si="12"/>
        <v>14</v>
      </c>
      <c r="O43" s="1677">
        <f t="shared" si="13"/>
        <v>55.285714285714285</v>
      </c>
      <c r="P43" s="1638">
        <f t="shared" si="13"/>
        <v>55</v>
      </c>
      <c r="Q43" s="1773">
        <f>$I43*(Input_TEL!Q48)/Input_TEL!$AG$37</f>
        <v>10.285714285714285</v>
      </c>
      <c r="R43" s="1638">
        <f t="shared" si="14"/>
        <v>10</v>
      </c>
      <c r="S43" s="1773">
        <f>U43*Input_TEL!S48</f>
        <v>45</v>
      </c>
      <c r="T43" s="1698">
        <f t="shared" si="15"/>
        <v>45</v>
      </c>
      <c r="U43" s="1741">
        <f>산출기준_TEL!L81</f>
        <v>150</v>
      </c>
      <c r="V43" s="1676">
        <f t="shared" si="16"/>
        <v>150</v>
      </c>
      <c r="W43" s="1698">
        <f>$U43*(1-Input_TEL!S48)</f>
        <v>105</v>
      </c>
      <c r="X43" s="1698">
        <f t="shared" si="17"/>
        <v>105</v>
      </c>
      <c r="Y43" s="680">
        <f>ROUND($U43*(1-Input_TEL!S48)+I43*Input_TEL!R48/Input_TEL!$AG$38,0)</f>
        <v>108</v>
      </c>
      <c r="Z43" s="896">
        <f t="shared" si="18"/>
        <v>108</v>
      </c>
      <c r="AA43" s="1683">
        <f t="shared" si="19"/>
        <v>174</v>
      </c>
      <c r="AB43" s="1684">
        <f t="shared" si="20"/>
        <v>177</v>
      </c>
      <c r="AC43" s="1685">
        <f t="shared" si="21"/>
        <v>177</v>
      </c>
      <c r="AD43" s="1774"/>
    </row>
    <row r="44" spans="1:30" s="176" customFormat="1" ht="51.75" customHeight="1" x14ac:dyDescent="0.2">
      <c r="A44" s="1776"/>
      <c r="B44" s="1777"/>
      <c r="C44" s="1777"/>
      <c r="D44" s="1673" t="s">
        <v>160</v>
      </c>
      <c r="E44" s="1778" t="s">
        <v>1455</v>
      </c>
      <c r="F44" s="1775" t="s">
        <v>1291</v>
      </c>
      <c r="G44" s="1771">
        <f>Input_TEL!T49</f>
        <v>1</v>
      </c>
      <c r="H44" s="1772" t="s">
        <v>317</v>
      </c>
      <c r="I44" s="1735">
        <f>산출기준_TEL!H82</f>
        <v>100</v>
      </c>
      <c r="J44" s="1676">
        <f t="shared" si="10"/>
        <v>100</v>
      </c>
      <c r="K44" s="1676">
        <f>$I44*(1-Input_TEL!Q49)</f>
        <v>70</v>
      </c>
      <c r="L44" s="1676">
        <f t="shared" si="11"/>
        <v>70</v>
      </c>
      <c r="M44" s="1690">
        <f>$I44*(1-Input_TEL!Q49-Input_TEL!R49)</f>
        <v>60</v>
      </c>
      <c r="N44" s="1691">
        <f t="shared" si="12"/>
        <v>60</v>
      </c>
      <c r="O44" s="1677">
        <f t="shared" si="13"/>
        <v>72.857142857142861</v>
      </c>
      <c r="P44" s="1638">
        <f t="shared" si="13"/>
        <v>73</v>
      </c>
      <c r="Q44" s="1773">
        <f>$I44*(Input_TEL!Q49)/Input_TEL!$AG$37</f>
        <v>42.857142857142861</v>
      </c>
      <c r="R44" s="1638">
        <f t="shared" si="14"/>
        <v>43</v>
      </c>
      <c r="S44" s="1773">
        <f>U44*Input_TEL!S49</f>
        <v>30</v>
      </c>
      <c r="T44" s="1698">
        <f t="shared" si="15"/>
        <v>30</v>
      </c>
      <c r="U44" s="1741">
        <f>산출기준_TEL!L82</f>
        <v>100</v>
      </c>
      <c r="V44" s="1676">
        <f t="shared" si="16"/>
        <v>100</v>
      </c>
      <c r="W44" s="1698">
        <f>$U44*(1-Input_TEL!S49)</f>
        <v>70</v>
      </c>
      <c r="X44" s="1698">
        <f t="shared" si="17"/>
        <v>70</v>
      </c>
      <c r="Y44" s="680">
        <f>ROUND($U44*(1-Input_TEL!S49)+I44*Input_TEL!R49/Input_TEL!$AG$38,0)</f>
        <v>84</v>
      </c>
      <c r="Z44" s="896">
        <f t="shared" si="18"/>
        <v>84</v>
      </c>
      <c r="AA44" s="1683">
        <f t="shared" si="19"/>
        <v>200</v>
      </c>
      <c r="AB44" s="1684">
        <f t="shared" si="20"/>
        <v>213</v>
      </c>
      <c r="AC44" s="1685">
        <f t="shared" si="21"/>
        <v>217</v>
      </c>
      <c r="AD44" s="1774"/>
    </row>
    <row r="45" spans="1:30" s="176" customFormat="1" ht="51.75" customHeight="1" x14ac:dyDescent="0.2">
      <c r="A45" s="1776"/>
      <c r="B45" s="1777"/>
      <c r="C45" s="1777"/>
      <c r="D45" s="1673" t="s">
        <v>166</v>
      </c>
      <c r="E45" s="1778" t="s">
        <v>1456</v>
      </c>
      <c r="F45" s="1775" t="s">
        <v>1291</v>
      </c>
      <c r="G45" s="1771">
        <f>Input_TEL!T50</f>
        <v>1</v>
      </c>
      <c r="H45" s="1772" t="s">
        <v>317</v>
      </c>
      <c r="I45" s="1735">
        <f>산출기준_TEL!H83</f>
        <v>50</v>
      </c>
      <c r="J45" s="1676">
        <f t="shared" si="10"/>
        <v>50</v>
      </c>
      <c r="K45" s="1676">
        <f>$I45*(1-Input_TEL!Q50)</f>
        <v>35</v>
      </c>
      <c r="L45" s="1676">
        <f t="shared" si="11"/>
        <v>35</v>
      </c>
      <c r="M45" s="1690">
        <f>$I45*(1-Input_TEL!Q50-Input_TEL!R50)</f>
        <v>30</v>
      </c>
      <c r="N45" s="1691">
        <f t="shared" si="12"/>
        <v>30</v>
      </c>
      <c r="O45" s="1677">
        <f t="shared" si="13"/>
        <v>51.428571428571431</v>
      </c>
      <c r="P45" s="1638">
        <f t="shared" si="13"/>
        <v>51</v>
      </c>
      <c r="Q45" s="1773">
        <f>$I45*(Input_TEL!Q50)/Input_TEL!$AG$37</f>
        <v>21.428571428571431</v>
      </c>
      <c r="R45" s="1638">
        <f t="shared" si="14"/>
        <v>21</v>
      </c>
      <c r="S45" s="1773">
        <f>U45*Input_TEL!S50</f>
        <v>30</v>
      </c>
      <c r="T45" s="1698">
        <f t="shared" si="15"/>
        <v>30</v>
      </c>
      <c r="U45" s="1741">
        <f>산출기준_TEL!L83</f>
        <v>100</v>
      </c>
      <c r="V45" s="1676">
        <f t="shared" si="16"/>
        <v>100</v>
      </c>
      <c r="W45" s="1698">
        <f>$U45*(1-Input_TEL!S50)</f>
        <v>70</v>
      </c>
      <c r="X45" s="1698">
        <f t="shared" si="17"/>
        <v>70</v>
      </c>
      <c r="Y45" s="680">
        <f>ROUND($U45*(1-Input_TEL!S50)+I45*Input_TEL!R50/Input_TEL!$AG$38,0)</f>
        <v>77</v>
      </c>
      <c r="Z45" s="896">
        <f t="shared" si="18"/>
        <v>77</v>
      </c>
      <c r="AA45" s="1683">
        <f t="shared" si="19"/>
        <v>150</v>
      </c>
      <c r="AB45" s="1684">
        <f t="shared" si="20"/>
        <v>156</v>
      </c>
      <c r="AC45" s="1685">
        <f t="shared" si="21"/>
        <v>158</v>
      </c>
      <c r="AD45" s="1774"/>
    </row>
    <row r="46" spans="1:30" s="176" customFormat="1" ht="51.75" customHeight="1" x14ac:dyDescent="0.2">
      <c r="A46" s="1776"/>
      <c r="B46" s="1779"/>
      <c r="C46" s="1779"/>
      <c r="D46" s="1688" t="s">
        <v>169</v>
      </c>
      <c r="E46" s="1780" t="s">
        <v>1457</v>
      </c>
      <c r="F46" s="1747" t="s">
        <v>1291</v>
      </c>
      <c r="G46" s="1781">
        <f>Input_TEL!T51</f>
        <v>1</v>
      </c>
      <c r="H46" s="1782" t="s">
        <v>317</v>
      </c>
      <c r="I46" s="1735">
        <f>산출기준_TEL!H84</f>
        <v>40</v>
      </c>
      <c r="J46" s="1753">
        <f t="shared" si="10"/>
        <v>40</v>
      </c>
      <c r="K46" s="1753">
        <f>$I46*(1-Input_TEL!Q51)</f>
        <v>28</v>
      </c>
      <c r="L46" s="1753">
        <f t="shared" si="11"/>
        <v>28</v>
      </c>
      <c r="M46" s="1690">
        <f>$I46*(1-Input_TEL!Q51-Input_TEL!R51)</f>
        <v>24</v>
      </c>
      <c r="N46" s="1691">
        <f t="shared" si="12"/>
        <v>24</v>
      </c>
      <c r="O46" s="1677">
        <f t="shared" si="13"/>
        <v>47.142857142857139</v>
      </c>
      <c r="P46" s="1638">
        <f t="shared" si="13"/>
        <v>47</v>
      </c>
      <c r="Q46" s="1773">
        <f>$I46*(Input_TEL!Q51)/Input_TEL!$AG$37</f>
        <v>17.142857142857142</v>
      </c>
      <c r="R46" s="1638">
        <f t="shared" si="14"/>
        <v>17</v>
      </c>
      <c r="S46" s="1773">
        <f>U46*Input_TEL!S51</f>
        <v>30</v>
      </c>
      <c r="T46" s="1698">
        <f t="shared" si="15"/>
        <v>30</v>
      </c>
      <c r="U46" s="1741">
        <f>산출기준_TEL!L84</f>
        <v>100</v>
      </c>
      <c r="V46" s="1753">
        <f t="shared" si="16"/>
        <v>100</v>
      </c>
      <c r="W46" s="1698">
        <f>$U46*(1-Input_TEL!S51)</f>
        <v>70</v>
      </c>
      <c r="X46" s="1755">
        <f t="shared" si="17"/>
        <v>70</v>
      </c>
      <c r="Y46" s="680">
        <f>ROUND($U46*(1-Input_TEL!S51)+I46*Input_TEL!R51/Input_TEL!$AG$38,0)</f>
        <v>76</v>
      </c>
      <c r="Z46" s="896">
        <f t="shared" si="18"/>
        <v>76</v>
      </c>
      <c r="AA46" s="1757">
        <f t="shared" si="19"/>
        <v>140</v>
      </c>
      <c r="AB46" s="1758">
        <f t="shared" si="20"/>
        <v>145</v>
      </c>
      <c r="AC46" s="1759">
        <f t="shared" si="21"/>
        <v>147</v>
      </c>
      <c r="AD46" s="1760"/>
    </row>
    <row r="47" spans="1:30" s="176" customFormat="1" ht="51.75" customHeight="1" x14ac:dyDescent="0.2">
      <c r="A47" s="1776"/>
      <c r="B47" s="1779"/>
      <c r="C47" s="1779"/>
      <c r="D47" s="1688" t="s">
        <v>218</v>
      </c>
      <c r="E47" s="1780" t="s">
        <v>1019</v>
      </c>
      <c r="F47" s="1747" t="s">
        <v>1291</v>
      </c>
      <c r="G47" s="1781">
        <f>Input_TEL!T52</f>
        <v>1</v>
      </c>
      <c r="H47" s="1782" t="s">
        <v>317</v>
      </c>
      <c r="I47" s="1735">
        <f>산출기준_TEL!H85</f>
        <v>40</v>
      </c>
      <c r="J47" s="1753">
        <f t="shared" si="10"/>
        <v>40</v>
      </c>
      <c r="K47" s="1753">
        <f>$I47*(1-Input_TEL!Q52)</f>
        <v>28</v>
      </c>
      <c r="L47" s="1753">
        <f t="shared" si="11"/>
        <v>28</v>
      </c>
      <c r="M47" s="1690">
        <f>$I47*(1-Input_TEL!Q52-Input_TEL!R52)</f>
        <v>24</v>
      </c>
      <c r="N47" s="1691">
        <f t="shared" si="12"/>
        <v>24</v>
      </c>
      <c r="O47" s="1677">
        <f t="shared" si="13"/>
        <v>17.142857142857142</v>
      </c>
      <c r="P47" s="1638">
        <f t="shared" si="13"/>
        <v>17</v>
      </c>
      <c r="Q47" s="1773">
        <f>$I47*(Input_TEL!Q52)/Input_TEL!$AG$37</f>
        <v>17.142857142857142</v>
      </c>
      <c r="R47" s="1638">
        <f t="shared" si="14"/>
        <v>17</v>
      </c>
      <c r="S47" s="1783"/>
      <c r="T47" s="1784"/>
      <c r="U47" s="1785"/>
      <c r="V47" s="1786"/>
      <c r="W47" s="1784"/>
      <c r="X47" s="1784"/>
      <c r="Y47" s="680">
        <f>ROUND($U47*(1-Input_TEL!S52)+I47*Input_TEL!R52/Input_TEL!$AG$38,0)</f>
        <v>6</v>
      </c>
      <c r="Z47" s="896">
        <f t="shared" si="18"/>
        <v>6</v>
      </c>
      <c r="AA47" s="1757">
        <f t="shared" si="19"/>
        <v>40</v>
      </c>
      <c r="AB47" s="1758">
        <f t="shared" si="20"/>
        <v>45</v>
      </c>
      <c r="AC47" s="1759">
        <f t="shared" si="21"/>
        <v>47</v>
      </c>
      <c r="AD47" s="1760"/>
    </row>
    <row r="48" spans="1:30" s="176" customFormat="1" ht="51.75" customHeight="1" x14ac:dyDescent="0.2">
      <c r="A48" s="1776"/>
      <c r="B48" s="1779"/>
      <c r="C48" s="1779"/>
      <c r="D48" s="1688" t="s">
        <v>223</v>
      </c>
      <c r="E48" s="1780" t="s">
        <v>1458</v>
      </c>
      <c r="F48" s="1747" t="s">
        <v>1291</v>
      </c>
      <c r="G48" s="1781">
        <f>Input_TEL!T53</f>
        <v>1</v>
      </c>
      <c r="H48" s="1782" t="s">
        <v>317</v>
      </c>
      <c r="I48" s="1735">
        <f>산출기준_TEL!H86</f>
        <v>40</v>
      </c>
      <c r="J48" s="1753">
        <f t="shared" si="10"/>
        <v>40</v>
      </c>
      <c r="K48" s="1753">
        <f>$I48*(1-Input_TEL!Q53)</f>
        <v>28</v>
      </c>
      <c r="L48" s="1753">
        <f t="shared" si="11"/>
        <v>28</v>
      </c>
      <c r="M48" s="1690">
        <f>$I48*(1-Input_TEL!Q53-Input_TEL!R53)</f>
        <v>24</v>
      </c>
      <c r="N48" s="1691">
        <f t="shared" si="12"/>
        <v>24</v>
      </c>
      <c r="O48" s="1677">
        <f t="shared" si="13"/>
        <v>17.142857142857142</v>
      </c>
      <c r="P48" s="1638">
        <f t="shared" si="13"/>
        <v>17</v>
      </c>
      <c r="Q48" s="1773">
        <f>$I48*(Input_TEL!Q53)/Input_TEL!$AG$37</f>
        <v>17.142857142857142</v>
      </c>
      <c r="R48" s="1638">
        <f t="shared" si="14"/>
        <v>17</v>
      </c>
      <c r="S48" s="1783"/>
      <c r="T48" s="1784"/>
      <c r="U48" s="1785"/>
      <c r="V48" s="1786"/>
      <c r="W48" s="1784"/>
      <c r="X48" s="1784"/>
      <c r="Y48" s="680">
        <f>ROUND($U48*(1-Input_TEL!S53)+I48*Input_TEL!R53/Input_TEL!$AG$38,0)</f>
        <v>6</v>
      </c>
      <c r="Z48" s="896">
        <f t="shared" si="18"/>
        <v>6</v>
      </c>
      <c r="AA48" s="1757">
        <f t="shared" si="19"/>
        <v>40</v>
      </c>
      <c r="AB48" s="1758">
        <f t="shared" si="20"/>
        <v>45</v>
      </c>
      <c r="AC48" s="1759">
        <f t="shared" si="21"/>
        <v>47</v>
      </c>
      <c r="AD48" s="1760"/>
    </row>
    <row r="49" spans="1:30" s="176" customFormat="1" ht="51.75" customHeight="1" x14ac:dyDescent="0.2">
      <c r="A49" s="1776"/>
      <c r="B49" s="1779"/>
      <c r="C49" s="1779"/>
      <c r="D49" s="1688" t="s">
        <v>228</v>
      </c>
      <c r="E49" s="1780" t="s">
        <v>1459</v>
      </c>
      <c r="F49" s="1747" t="s">
        <v>1291</v>
      </c>
      <c r="G49" s="1781">
        <f>Input_TEL!T54</f>
        <v>1</v>
      </c>
      <c r="H49" s="1782" t="s">
        <v>317</v>
      </c>
      <c r="I49" s="1735">
        <f>산출기준_TEL!H87</f>
        <v>40</v>
      </c>
      <c r="J49" s="1753">
        <f t="shared" si="10"/>
        <v>40</v>
      </c>
      <c r="K49" s="1753">
        <f>$I49*(1-Input_TEL!Q54)</f>
        <v>28</v>
      </c>
      <c r="L49" s="1753">
        <f t="shared" si="11"/>
        <v>28</v>
      </c>
      <c r="M49" s="1690">
        <f>$I49*(1-Input_TEL!Q54-Input_TEL!R54)</f>
        <v>24</v>
      </c>
      <c r="N49" s="1691">
        <f t="shared" si="12"/>
        <v>24</v>
      </c>
      <c r="O49" s="1677">
        <f t="shared" si="13"/>
        <v>17.142857142857142</v>
      </c>
      <c r="P49" s="1638">
        <f t="shared" si="13"/>
        <v>17</v>
      </c>
      <c r="Q49" s="1773">
        <f>$I49*(Input_TEL!Q54)/Input_TEL!$AG$37</f>
        <v>17.142857142857142</v>
      </c>
      <c r="R49" s="1638">
        <f t="shared" si="14"/>
        <v>17</v>
      </c>
      <c r="S49" s="1783"/>
      <c r="T49" s="1784"/>
      <c r="U49" s="1785"/>
      <c r="V49" s="1786"/>
      <c r="W49" s="1784"/>
      <c r="X49" s="1784"/>
      <c r="Y49" s="680">
        <f>ROUND($U49*(1-Input_TEL!S54)+I49*Input_TEL!R54/Input_TEL!$AG$38,0)</f>
        <v>6</v>
      </c>
      <c r="Z49" s="896">
        <f t="shared" si="18"/>
        <v>6</v>
      </c>
      <c r="AA49" s="1757">
        <f t="shared" si="19"/>
        <v>40</v>
      </c>
      <c r="AB49" s="1758">
        <f t="shared" si="20"/>
        <v>45</v>
      </c>
      <c r="AC49" s="1759">
        <f t="shared" si="21"/>
        <v>47</v>
      </c>
      <c r="AD49" s="1760"/>
    </row>
    <row r="50" spans="1:30" s="176" customFormat="1" ht="51.75" customHeight="1" x14ac:dyDescent="0.2">
      <c r="A50" s="1776"/>
      <c r="B50" s="1779"/>
      <c r="C50" s="1779"/>
      <c r="D50" s="1688" t="s">
        <v>1306</v>
      </c>
      <c r="E50" s="1780" t="s">
        <v>1307</v>
      </c>
      <c r="F50" s="1747" t="s">
        <v>1291</v>
      </c>
      <c r="G50" s="1781">
        <f>Input_TEL!T55</f>
        <v>1</v>
      </c>
      <c r="H50" s="1782" t="s">
        <v>317</v>
      </c>
      <c r="I50" s="1735">
        <f>산출기준_TEL!H88</f>
        <v>100</v>
      </c>
      <c r="J50" s="1753">
        <f t="shared" si="10"/>
        <v>100</v>
      </c>
      <c r="K50" s="1753">
        <f>$I50*(1-Input_TEL!Q55)</f>
        <v>70</v>
      </c>
      <c r="L50" s="1753">
        <f t="shared" si="11"/>
        <v>70</v>
      </c>
      <c r="M50" s="1690">
        <f>$I50*(1-Input_TEL!Q55-Input_TEL!R55)</f>
        <v>60</v>
      </c>
      <c r="N50" s="1691">
        <f t="shared" si="12"/>
        <v>60</v>
      </c>
      <c r="O50" s="1677">
        <f t="shared" si="13"/>
        <v>42.857142857142861</v>
      </c>
      <c r="P50" s="1638">
        <f t="shared" si="13"/>
        <v>43</v>
      </c>
      <c r="Q50" s="1773">
        <f>$I50*(Input_TEL!Q55)/Input_TEL!$AG$37</f>
        <v>42.857142857142861</v>
      </c>
      <c r="R50" s="1638">
        <f t="shared" si="14"/>
        <v>43</v>
      </c>
      <c r="S50" s="1783"/>
      <c r="T50" s="1784"/>
      <c r="U50" s="1785"/>
      <c r="V50" s="1786"/>
      <c r="W50" s="1784"/>
      <c r="X50" s="1784"/>
      <c r="Y50" s="680">
        <f>ROUND($U50*(1-Input_TEL!S55)+I50*Input_TEL!R55/Input_TEL!$AG$38,0)</f>
        <v>14</v>
      </c>
      <c r="Z50" s="896">
        <f t="shared" si="18"/>
        <v>14</v>
      </c>
      <c r="AA50" s="1757">
        <f t="shared" si="19"/>
        <v>100</v>
      </c>
      <c r="AB50" s="1758">
        <f t="shared" si="20"/>
        <v>113</v>
      </c>
      <c r="AC50" s="1759">
        <f t="shared" si="21"/>
        <v>117</v>
      </c>
      <c r="AD50" s="1760"/>
    </row>
    <row r="51" spans="1:30" s="176" customFormat="1" ht="51.75" customHeight="1" x14ac:dyDescent="0.2">
      <c r="A51" s="1776"/>
      <c r="B51" s="1787"/>
      <c r="C51" s="1787"/>
      <c r="D51" s="1645" t="s">
        <v>1309</v>
      </c>
      <c r="E51" s="1788" t="s">
        <v>1310</v>
      </c>
      <c r="F51" s="1789" t="s">
        <v>1291</v>
      </c>
      <c r="G51" s="1790">
        <f>Input_TEL!T56</f>
        <v>1</v>
      </c>
      <c r="H51" s="1791" t="s">
        <v>317</v>
      </c>
      <c r="I51" s="1792">
        <f>Input_TEL!T76*1.2*산출기준_TEL!H89</f>
        <v>360</v>
      </c>
      <c r="J51" s="1651">
        <f t="shared" si="10"/>
        <v>360</v>
      </c>
      <c r="K51" s="1651">
        <f>$I51*(1-Input_TEL!Q56)</f>
        <v>251.99999999999997</v>
      </c>
      <c r="L51" s="1651">
        <f t="shared" si="11"/>
        <v>252</v>
      </c>
      <c r="M51" s="1652">
        <f>$I51*(1-Input_TEL!Q56-Input_TEL!R56)</f>
        <v>216</v>
      </c>
      <c r="N51" s="1653">
        <f t="shared" si="12"/>
        <v>216</v>
      </c>
      <c r="O51" s="1706">
        <f t="shared" si="13"/>
        <v>754.28571428571433</v>
      </c>
      <c r="P51" s="1661">
        <f t="shared" si="13"/>
        <v>754</v>
      </c>
      <c r="Q51" s="1793">
        <f>$I51*(Input_TEL!Q56)/Input_TEL!$AG$37</f>
        <v>154.28571428571431</v>
      </c>
      <c r="R51" s="1661">
        <f t="shared" si="14"/>
        <v>154</v>
      </c>
      <c r="S51" s="1793">
        <f>U51*Input_TEL!S56</f>
        <v>600</v>
      </c>
      <c r="T51" s="1794">
        <f>ROUND(S51*G51,0)</f>
        <v>600</v>
      </c>
      <c r="U51" s="1795" cm="1">
        <f t="array" ref="U51">Input_TEL!T76*IF(H22="상",산출기준_TEL!K89,IF(H22="중",산출기준_TEL!L89,IF(H22="하",산출기준_TEL!M89,fault)))</f>
        <v>2000</v>
      </c>
      <c r="V51" s="1651">
        <f>ROUND(U51*G51,0)</f>
        <v>2000</v>
      </c>
      <c r="W51" s="1794">
        <f>$U51*(1-Input_TEL!S56)</f>
        <v>1400</v>
      </c>
      <c r="X51" s="1651">
        <f>ROUND(($G51*W51),0)</f>
        <v>1400</v>
      </c>
      <c r="Y51" s="697">
        <f>ROUND($U51*(1-Input_TEL!S56)+I51*Input_TEL!R56/Input_TEL!$AG$38,0)</f>
        <v>1451</v>
      </c>
      <c r="Z51" s="1796">
        <f t="shared" si="18"/>
        <v>1451</v>
      </c>
      <c r="AA51" s="1662">
        <f t="shared" si="19"/>
        <v>2360</v>
      </c>
      <c r="AB51" s="1663">
        <f t="shared" si="20"/>
        <v>2406</v>
      </c>
      <c r="AC51" s="1664">
        <f t="shared" si="21"/>
        <v>2421</v>
      </c>
      <c r="AD51" s="1797"/>
    </row>
    <row r="52" spans="1:30" ht="51.75" customHeight="1" x14ac:dyDescent="0.15">
      <c r="A52" s="858"/>
      <c r="B52" s="977" t="s">
        <v>188</v>
      </c>
      <c r="C52" s="977" t="s">
        <v>1026</v>
      </c>
      <c r="D52" s="1798" t="s">
        <v>491</v>
      </c>
      <c r="E52" s="1799" t="s">
        <v>1460</v>
      </c>
      <c r="F52" s="980" t="s">
        <v>1291</v>
      </c>
      <c r="G52" s="1628">
        <f>Input_TEL!T57</f>
        <v>1</v>
      </c>
      <c r="H52" s="1800" t="s">
        <v>317</v>
      </c>
      <c r="I52" s="1801">
        <f>산출기준_TEL!H92</f>
        <v>24</v>
      </c>
      <c r="J52" s="1802">
        <f t="shared" si="10"/>
        <v>24</v>
      </c>
      <c r="K52" s="1803">
        <f>$I52*(1-Input_TEL!Q57)</f>
        <v>16.799999999999997</v>
      </c>
      <c r="L52" s="1803">
        <f t="shared" si="11"/>
        <v>17</v>
      </c>
      <c r="M52" s="1803">
        <f>$I52*(1-Input_TEL!Q57-Input_TEL!R57)</f>
        <v>14.399999999999999</v>
      </c>
      <c r="N52" s="1804">
        <f t="shared" si="12"/>
        <v>14</v>
      </c>
      <c r="O52" s="1805">
        <f t="shared" si="13"/>
        <v>10.285714285714285</v>
      </c>
      <c r="P52" s="1803">
        <f t="shared" si="13"/>
        <v>10</v>
      </c>
      <c r="Q52" s="1806">
        <f>$I52*(Input_TEL!Q57)/Input_TEL!$AG$37</f>
        <v>10.285714285714285</v>
      </c>
      <c r="R52" s="1803">
        <f t="shared" ref="R52:R57" si="22">ROUND(($G52*O52),0)</f>
        <v>10</v>
      </c>
      <c r="S52" s="1807"/>
      <c r="T52" s="1808"/>
      <c r="U52" s="1809"/>
      <c r="V52" s="1807"/>
      <c r="W52" s="1807"/>
      <c r="X52" s="1807"/>
      <c r="Y52" s="1803">
        <f>ROUND($U52*(1-Input_TEL!S57)+I52*Input_TEL!R57/Input_TEL!$AG$38,0)</f>
        <v>3</v>
      </c>
      <c r="Z52" s="1804">
        <f t="shared" si="18"/>
        <v>3</v>
      </c>
      <c r="AA52" s="1810">
        <f t="shared" si="19"/>
        <v>24</v>
      </c>
      <c r="AB52" s="1811">
        <f t="shared" si="20"/>
        <v>27</v>
      </c>
      <c r="AC52" s="1812">
        <f t="shared" si="21"/>
        <v>27</v>
      </c>
      <c r="AD52" s="1813"/>
    </row>
    <row r="53" spans="1:30" ht="51.75" customHeight="1" x14ac:dyDescent="0.15">
      <c r="A53" s="858"/>
      <c r="B53" s="882"/>
      <c r="C53" s="882"/>
      <c r="D53" s="1814" t="s">
        <v>525</v>
      </c>
      <c r="E53" s="1815" t="s">
        <v>1462</v>
      </c>
      <c r="F53" s="861" t="s">
        <v>1291</v>
      </c>
      <c r="G53" s="1675">
        <f>Input_TEL!T58</f>
        <v>1</v>
      </c>
      <c r="H53" s="1666" t="s">
        <v>317</v>
      </c>
      <c r="I53" s="1735">
        <f>산출기준_TEL!H93</f>
        <v>24</v>
      </c>
      <c r="J53" s="1676">
        <f t="shared" si="10"/>
        <v>24</v>
      </c>
      <c r="K53" s="1638">
        <f>$I53*(1-Input_TEL!Q58)</f>
        <v>16.799999999999997</v>
      </c>
      <c r="L53" s="1638">
        <f t="shared" si="11"/>
        <v>17</v>
      </c>
      <c r="M53" s="1638">
        <f>$I53*(1-Input_TEL!Q58-Input_TEL!R58)</f>
        <v>14.399999999999999</v>
      </c>
      <c r="N53" s="1639">
        <f t="shared" si="12"/>
        <v>14</v>
      </c>
      <c r="O53" s="1677">
        <f t="shared" si="13"/>
        <v>10.285714285714285</v>
      </c>
      <c r="P53" s="1638">
        <f t="shared" si="13"/>
        <v>10</v>
      </c>
      <c r="Q53" s="1678">
        <f>$I53*(Input_TEL!Q58)/Input_TEL!$AG$37</f>
        <v>10.285714285714285</v>
      </c>
      <c r="R53" s="1638">
        <f t="shared" si="22"/>
        <v>10</v>
      </c>
      <c r="S53" s="1679"/>
      <c r="T53" s="1816"/>
      <c r="U53" s="1681"/>
      <c r="V53" s="1679"/>
      <c r="W53" s="1679"/>
      <c r="X53" s="1679"/>
      <c r="Y53" s="1638">
        <f>ROUND($U53*(1-Input_TEL!S58)+I53*Input_TEL!R58/Input_TEL!$AG$38,0)</f>
        <v>3</v>
      </c>
      <c r="Z53" s="1639">
        <f t="shared" si="18"/>
        <v>3</v>
      </c>
      <c r="AA53" s="1683">
        <f t="shared" si="19"/>
        <v>24</v>
      </c>
      <c r="AB53" s="1684">
        <f t="shared" si="20"/>
        <v>27</v>
      </c>
      <c r="AC53" s="1685">
        <f t="shared" si="21"/>
        <v>27</v>
      </c>
      <c r="AD53" s="1774"/>
    </row>
    <row r="54" spans="1:30" ht="51.75" customHeight="1" x14ac:dyDescent="0.15">
      <c r="A54" s="858"/>
      <c r="B54" s="1687"/>
      <c r="C54" s="1687"/>
      <c r="D54" s="1817" t="s">
        <v>941</v>
      </c>
      <c r="E54" s="1818" t="s">
        <v>1463</v>
      </c>
      <c r="F54" s="883" t="s">
        <v>1291</v>
      </c>
      <c r="G54" s="1819">
        <f>Input_TEL!T59</f>
        <v>0</v>
      </c>
      <c r="H54" s="1748" t="s">
        <v>317</v>
      </c>
      <c r="I54" s="1735">
        <f>산출기준_TEL!H94</f>
        <v>24</v>
      </c>
      <c r="J54" s="1753">
        <f t="shared" si="10"/>
        <v>0</v>
      </c>
      <c r="K54" s="1638">
        <f>$I54*(1-Input_TEL!Q59)</f>
        <v>16.799999999999997</v>
      </c>
      <c r="L54" s="1638">
        <f t="shared" si="11"/>
        <v>0</v>
      </c>
      <c r="M54" s="1638">
        <f>$I54*(1-Input_TEL!Q59-Input_TEL!R59)</f>
        <v>14.399999999999999</v>
      </c>
      <c r="N54" s="1639">
        <f t="shared" si="12"/>
        <v>0</v>
      </c>
      <c r="O54" s="1677">
        <f t="shared" si="13"/>
        <v>10.285714285714285</v>
      </c>
      <c r="P54" s="1638">
        <f t="shared" si="13"/>
        <v>0</v>
      </c>
      <c r="Q54" s="1678">
        <f>$I54*(Input_TEL!Q59)/Input_TEL!$AG$37</f>
        <v>10.285714285714285</v>
      </c>
      <c r="R54" s="1638">
        <f t="shared" si="22"/>
        <v>0</v>
      </c>
      <c r="S54" s="1679"/>
      <c r="T54" s="1816"/>
      <c r="U54" s="1681"/>
      <c r="V54" s="1679"/>
      <c r="W54" s="1679"/>
      <c r="X54" s="1679"/>
      <c r="Y54" s="1638">
        <f>ROUND($U54*(1-Input_TEL!S59)+I54*Input_TEL!R59/Input_TEL!$AG$38,0)</f>
        <v>3</v>
      </c>
      <c r="Z54" s="1639">
        <f t="shared" si="18"/>
        <v>0</v>
      </c>
      <c r="AA54" s="1757">
        <f t="shared" si="19"/>
        <v>0</v>
      </c>
      <c r="AB54" s="1758">
        <f t="shared" si="20"/>
        <v>0</v>
      </c>
      <c r="AC54" s="1759">
        <f t="shared" si="21"/>
        <v>0</v>
      </c>
      <c r="AD54" s="1760"/>
    </row>
    <row r="55" spans="1:30" ht="51.75" customHeight="1" x14ac:dyDescent="0.15">
      <c r="A55" s="858"/>
      <c r="B55" s="1687"/>
      <c r="C55" s="1687"/>
      <c r="D55" s="1817" t="s">
        <v>160</v>
      </c>
      <c r="E55" s="1818" t="s">
        <v>1464</v>
      </c>
      <c r="F55" s="883" t="s">
        <v>1291</v>
      </c>
      <c r="G55" s="1819">
        <f>Input_TEL!T60</f>
        <v>1</v>
      </c>
      <c r="H55" s="1748" t="s">
        <v>317</v>
      </c>
      <c r="I55" s="1735">
        <f>산출기준_TEL!H95</f>
        <v>24</v>
      </c>
      <c r="J55" s="1753">
        <f t="shared" si="10"/>
        <v>24</v>
      </c>
      <c r="K55" s="1638">
        <f>$I55*(1-Input_TEL!Q60)</f>
        <v>16.799999999999997</v>
      </c>
      <c r="L55" s="1638">
        <f t="shared" si="11"/>
        <v>17</v>
      </c>
      <c r="M55" s="1638">
        <f>$I55*(1-Input_TEL!Q60-Input_TEL!R60)</f>
        <v>14.399999999999999</v>
      </c>
      <c r="N55" s="1639">
        <f t="shared" si="12"/>
        <v>14</v>
      </c>
      <c r="O55" s="1677">
        <f t="shared" si="13"/>
        <v>10.285714285714285</v>
      </c>
      <c r="P55" s="1638">
        <f t="shared" si="13"/>
        <v>10</v>
      </c>
      <c r="Q55" s="1678">
        <f>$I55*(Input_TEL!Q60)/Input_TEL!$AG$37</f>
        <v>10.285714285714285</v>
      </c>
      <c r="R55" s="1638">
        <f t="shared" si="22"/>
        <v>10</v>
      </c>
      <c r="S55" s="1679"/>
      <c r="T55" s="1816"/>
      <c r="U55" s="1681"/>
      <c r="V55" s="1679"/>
      <c r="W55" s="1679"/>
      <c r="X55" s="1679"/>
      <c r="Y55" s="1638">
        <f>ROUND($U55*(1-Input_TEL!S60)+I55*Input_TEL!R60/Input_TEL!$AG$38,0)</f>
        <v>3</v>
      </c>
      <c r="Z55" s="1639">
        <f t="shared" si="18"/>
        <v>3</v>
      </c>
      <c r="AA55" s="1757">
        <f t="shared" si="19"/>
        <v>24</v>
      </c>
      <c r="AB55" s="1758">
        <f t="shared" si="20"/>
        <v>27</v>
      </c>
      <c r="AC55" s="1759">
        <f t="shared" si="21"/>
        <v>27</v>
      </c>
      <c r="AD55" s="1760"/>
    </row>
    <row r="56" spans="1:30" ht="51.75" customHeight="1" x14ac:dyDescent="0.15">
      <c r="A56" s="858"/>
      <c r="B56" s="1687"/>
      <c r="C56" s="1687"/>
      <c r="D56" s="1817" t="s">
        <v>166</v>
      </c>
      <c r="E56" s="1818" t="s">
        <v>1465</v>
      </c>
      <c r="F56" s="883" t="s">
        <v>1291</v>
      </c>
      <c r="G56" s="1819">
        <f>Input_TEL!T61</f>
        <v>1</v>
      </c>
      <c r="H56" s="1748" t="s">
        <v>317</v>
      </c>
      <c r="I56" s="1735">
        <f>산출기준_TEL!H96</f>
        <v>24</v>
      </c>
      <c r="J56" s="1753">
        <f t="shared" si="10"/>
        <v>24</v>
      </c>
      <c r="K56" s="1638">
        <f>$I56*(1-Input_TEL!Q61)</f>
        <v>16.799999999999997</v>
      </c>
      <c r="L56" s="1638">
        <f t="shared" si="11"/>
        <v>17</v>
      </c>
      <c r="M56" s="1638">
        <f>$I56*(1-Input_TEL!Q61-Input_TEL!R61)</f>
        <v>14.399999999999999</v>
      </c>
      <c r="N56" s="1639">
        <f t="shared" si="12"/>
        <v>14</v>
      </c>
      <c r="O56" s="1677">
        <f t="shared" si="13"/>
        <v>10.285714285714285</v>
      </c>
      <c r="P56" s="1638">
        <f t="shared" si="13"/>
        <v>10</v>
      </c>
      <c r="Q56" s="1678">
        <f>$I56*(Input_TEL!Q61)/Input_TEL!$AG$37</f>
        <v>10.285714285714285</v>
      </c>
      <c r="R56" s="1638">
        <f t="shared" si="22"/>
        <v>10</v>
      </c>
      <c r="S56" s="1679"/>
      <c r="T56" s="1816"/>
      <c r="U56" s="1681"/>
      <c r="V56" s="1679"/>
      <c r="W56" s="1679"/>
      <c r="X56" s="1679"/>
      <c r="Y56" s="1638">
        <f>ROUND($U56*(1-Input_TEL!S61)+I56*Input_TEL!R61/Input_TEL!$AG$38,0)</f>
        <v>3</v>
      </c>
      <c r="Z56" s="1639">
        <f t="shared" si="18"/>
        <v>3</v>
      </c>
      <c r="AA56" s="1757">
        <f t="shared" si="19"/>
        <v>24</v>
      </c>
      <c r="AB56" s="1758">
        <f t="shared" si="20"/>
        <v>27</v>
      </c>
      <c r="AC56" s="1759">
        <f t="shared" si="21"/>
        <v>27</v>
      </c>
      <c r="AD56" s="1760"/>
    </row>
    <row r="57" spans="1:30" ht="51.75" customHeight="1" x14ac:dyDescent="0.15">
      <c r="A57" s="858"/>
      <c r="B57" s="1644"/>
      <c r="C57" s="1644"/>
      <c r="D57" s="1820" t="s">
        <v>169</v>
      </c>
      <c r="E57" s="1821" t="s">
        <v>1466</v>
      </c>
      <c r="F57" s="1647" t="s">
        <v>1291</v>
      </c>
      <c r="G57" s="1648">
        <f>Input_TEL!T62</f>
        <v>1</v>
      </c>
      <c r="H57" s="1649" t="s">
        <v>317</v>
      </c>
      <c r="I57" s="1822">
        <f>산출기준_TEL!H97</f>
        <v>24</v>
      </c>
      <c r="J57" s="1651">
        <f t="shared" si="10"/>
        <v>24</v>
      </c>
      <c r="K57" s="1638">
        <f>$I57*(1-Input_TEL!Q62)</f>
        <v>16.799999999999997</v>
      </c>
      <c r="L57" s="1638">
        <f t="shared" si="11"/>
        <v>17</v>
      </c>
      <c r="M57" s="1638">
        <f>$I57*(1-Input_TEL!Q62-Input_TEL!R62)</f>
        <v>14.399999999999999</v>
      </c>
      <c r="N57" s="1639">
        <f t="shared" si="12"/>
        <v>14</v>
      </c>
      <c r="O57" s="1706">
        <f t="shared" si="13"/>
        <v>10.285714285714285</v>
      </c>
      <c r="P57" s="1661">
        <f t="shared" si="13"/>
        <v>10</v>
      </c>
      <c r="Q57" s="1754">
        <f>$I57*(Input_TEL!Q62)/Input_TEL!$AG$37</f>
        <v>10.285714285714285</v>
      </c>
      <c r="R57" s="1701">
        <f t="shared" si="22"/>
        <v>10</v>
      </c>
      <c r="S57" s="1679"/>
      <c r="T57" s="1816"/>
      <c r="U57" s="1681"/>
      <c r="V57" s="1679"/>
      <c r="W57" s="1679"/>
      <c r="X57" s="1679"/>
      <c r="Y57" s="1638">
        <f>ROUND($U57*(1-Input_TEL!S62)+I57*Input_TEL!R62/Input_TEL!$AG$38,0)</f>
        <v>3</v>
      </c>
      <c r="Z57" s="1639">
        <f t="shared" si="18"/>
        <v>3</v>
      </c>
      <c r="AA57" s="1662">
        <f t="shared" si="19"/>
        <v>24</v>
      </c>
      <c r="AB57" s="1663">
        <f t="shared" si="20"/>
        <v>27</v>
      </c>
      <c r="AC57" s="1664">
        <f t="shared" si="21"/>
        <v>27</v>
      </c>
      <c r="AD57" s="1797"/>
    </row>
    <row r="58" spans="1:30" s="176" customFormat="1" ht="51.75" customHeight="1" x14ac:dyDescent="0.2">
      <c r="A58" s="858"/>
      <c r="B58" s="1823" t="s">
        <v>1029</v>
      </c>
      <c r="C58" s="1823" t="s">
        <v>919</v>
      </c>
      <c r="D58" s="1824" t="s">
        <v>491</v>
      </c>
      <c r="E58" s="1825" t="s">
        <v>1467</v>
      </c>
      <c r="F58" s="1826" t="s">
        <v>196</v>
      </c>
      <c r="G58" s="1827">
        <f>Input_TEL!T63</f>
        <v>1</v>
      </c>
      <c r="H58" s="1828" t="str">
        <f>Input_TEL!$AI$8</f>
        <v>상</v>
      </c>
      <c r="I58" s="1829" cm="1">
        <f t="array" ref="I58">IF(H58="상",산출기준_TEL!G100,IF(H58="중",산출기준_TEL!H100,IF(H58="하",산출기준_TEL!I100,fault)))</f>
        <v>5</v>
      </c>
      <c r="J58" s="1802">
        <f t="shared" si="10"/>
        <v>5</v>
      </c>
      <c r="K58" s="1633">
        <f>$I58*(1-Input_TEL!Q63)</f>
        <v>3.5</v>
      </c>
      <c r="L58" s="1767">
        <f t="shared" si="11"/>
        <v>4</v>
      </c>
      <c r="M58" s="1633">
        <f>$I58*(1-Input_TEL!Q63-Input_TEL!R63)</f>
        <v>3</v>
      </c>
      <c r="N58" s="1830">
        <f t="shared" si="12"/>
        <v>3</v>
      </c>
      <c r="O58" s="1677">
        <f t="shared" si="13"/>
        <v>14.142857142857142</v>
      </c>
      <c r="P58" s="1638">
        <f t="shared" si="13"/>
        <v>14</v>
      </c>
      <c r="Q58" s="1633">
        <f>$I58*(Input_TEL!Q63)/Input_TEL!$AG$37</f>
        <v>2.1428571428571428</v>
      </c>
      <c r="R58" s="1767">
        <f t="shared" ref="R58:R68" si="23">ROUND(($G58*Q58),0)</f>
        <v>2</v>
      </c>
      <c r="S58" s="1633">
        <f>U58*Input_TEL!S63</f>
        <v>12</v>
      </c>
      <c r="T58" s="1831">
        <f t="shared" ref="T58:T68" si="24">ROUND(($G58*S58),0)</f>
        <v>12</v>
      </c>
      <c r="U58" s="1832" cm="1">
        <f t="array" ref="U58">IF(H58="상",산출기준_TEL!K100,IF(H58="중",산출기준_TEL!L100,IF(H58="하",산출기준_TEL!M100,fault)))</f>
        <v>40</v>
      </c>
      <c r="V58" s="1767">
        <f t="shared" ref="V58:V68" si="25">ROUND(U58*G58,0)</f>
        <v>40</v>
      </c>
      <c r="W58" s="1633">
        <f>$U58*(1-Input_TEL!S63)</f>
        <v>28</v>
      </c>
      <c r="X58" s="1767">
        <f t="shared" ref="X58:X68" si="26">ROUND(($G58*W58),0)</f>
        <v>28</v>
      </c>
      <c r="Y58" s="1833">
        <f>ROUND($U58*(1-Input_TEL!S63)+I58*Input_TEL!R63/Input_TEL!$AG$38,1)</f>
        <v>28.7</v>
      </c>
      <c r="Z58" s="1830">
        <f t="shared" si="18"/>
        <v>29</v>
      </c>
      <c r="AA58" s="1834">
        <f t="shared" si="19"/>
        <v>45</v>
      </c>
      <c r="AB58" s="1811">
        <f t="shared" si="20"/>
        <v>46</v>
      </c>
      <c r="AC58" s="1812">
        <f t="shared" si="21"/>
        <v>46</v>
      </c>
      <c r="AD58" s="1835"/>
    </row>
    <row r="59" spans="1:30" s="176" customFormat="1" ht="51.75" customHeight="1" x14ac:dyDescent="0.2">
      <c r="A59" s="858"/>
      <c r="B59" s="882"/>
      <c r="C59" s="882"/>
      <c r="D59" s="1673" t="s">
        <v>525</v>
      </c>
      <c r="E59" s="1836" t="s">
        <v>1468</v>
      </c>
      <c r="F59" s="1837" t="s">
        <v>203</v>
      </c>
      <c r="G59" s="1838">
        <f>Input_TEL!T64</f>
        <v>5.8368000000000002</v>
      </c>
      <c r="H59" s="1839" t="str">
        <f>Input_TEL!$AI$8</f>
        <v>상</v>
      </c>
      <c r="I59" s="1840">
        <f>산출기준_TEL!H101</f>
        <v>4</v>
      </c>
      <c r="J59" s="1676">
        <f t="shared" si="10"/>
        <v>23</v>
      </c>
      <c r="K59" s="1773">
        <f>$I59*(1-Input_TEL!Q64)</f>
        <v>2.8</v>
      </c>
      <c r="L59" s="1676">
        <f t="shared" si="11"/>
        <v>16</v>
      </c>
      <c r="M59" s="1841">
        <f>$I59*(1-Input_TEL!Q64-Input_TEL!R64)</f>
        <v>2.4</v>
      </c>
      <c r="N59" s="1691">
        <f t="shared" si="12"/>
        <v>14</v>
      </c>
      <c r="O59" s="1677">
        <f t="shared" si="13"/>
        <v>16.714285714285715</v>
      </c>
      <c r="P59" s="1638">
        <f t="shared" si="13"/>
        <v>98</v>
      </c>
      <c r="Q59" s="1773">
        <f>$I59*(Input_TEL!Q64)/Input_TEL!$AG$37</f>
        <v>1.7142857142857144</v>
      </c>
      <c r="R59" s="1690">
        <f t="shared" si="23"/>
        <v>10</v>
      </c>
      <c r="S59" s="1773">
        <f>U59*Input_TEL!S64</f>
        <v>15</v>
      </c>
      <c r="T59" s="1842">
        <f t="shared" si="24"/>
        <v>88</v>
      </c>
      <c r="U59" s="1829" cm="1">
        <f t="array" ref="U59">IF(H59="상",산출기준_TEL!K101,IF(H59="중",산출기준_TEL!L101,IF(H59="하",산출기준_TEL!M101,fault)))</f>
        <v>50</v>
      </c>
      <c r="V59" s="1676">
        <f t="shared" si="25"/>
        <v>292</v>
      </c>
      <c r="W59" s="1843">
        <f>$U59*(1-Input_TEL!S64)</f>
        <v>35</v>
      </c>
      <c r="X59" s="1698">
        <f t="shared" si="26"/>
        <v>204</v>
      </c>
      <c r="Y59" s="1844">
        <f>ROUND($U59*(1-Input_TEL!S64)+I59*Input_TEL!R64/Input_TEL!$AG$38,1)</f>
        <v>35.6</v>
      </c>
      <c r="Z59" s="896">
        <f t="shared" si="18"/>
        <v>208</v>
      </c>
      <c r="AA59" s="1683">
        <f t="shared" si="19"/>
        <v>315</v>
      </c>
      <c r="AB59" s="1684">
        <f t="shared" si="20"/>
        <v>318</v>
      </c>
      <c r="AC59" s="1685">
        <f t="shared" si="21"/>
        <v>320</v>
      </c>
      <c r="AD59" s="1845"/>
    </row>
    <row r="60" spans="1:30" s="176" customFormat="1" ht="51.75" customHeight="1" x14ac:dyDescent="0.2">
      <c r="A60" s="858"/>
      <c r="B60" s="882"/>
      <c r="C60" s="882"/>
      <c r="D60" s="1673" t="s">
        <v>941</v>
      </c>
      <c r="E60" s="1836" t="s">
        <v>1469</v>
      </c>
      <c r="F60" s="1837" t="s">
        <v>203</v>
      </c>
      <c r="G60" s="1838">
        <f>Input_TEL!T65</f>
        <v>5.8368000000000002</v>
      </c>
      <c r="H60" s="1839" t="str">
        <f>Input_TEL!$AI$8</f>
        <v>상</v>
      </c>
      <c r="I60" s="1840">
        <f>산출기준_TEL!H102</f>
        <v>4</v>
      </c>
      <c r="J60" s="1676">
        <f t="shared" si="10"/>
        <v>23</v>
      </c>
      <c r="K60" s="1773">
        <f>$I60*(1-Input_TEL!Q65)</f>
        <v>2.8</v>
      </c>
      <c r="L60" s="1676">
        <f t="shared" si="11"/>
        <v>16</v>
      </c>
      <c r="M60" s="1841">
        <f>$I60*(1-Input_TEL!Q65-Input_TEL!R65)</f>
        <v>2.4</v>
      </c>
      <c r="N60" s="1691">
        <f t="shared" si="12"/>
        <v>14</v>
      </c>
      <c r="O60" s="1677">
        <f t="shared" si="13"/>
        <v>16.714285714285715</v>
      </c>
      <c r="P60" s="1638">
        <f t="shared" si="13"/>
        <v>98</v>
      </c>
      <c r="Q60" s="1773">
        <f>$I60*(Input_TEL!Q65)/Input_TEL!$AG$37</f>
        <v>1.7142857142857144</v>
      </c>
      <c r="R60" s="1690">
        <f t="shared" si="23"/>
        <v>10</v>
      </c>
      <c r="S60" s="1773">
        <f>U60*Input_TEL!S65</f>
        <v>15</v>
      </c>
      <c r="T60" s="1842">
        <f t="shared" si="24"/>
        <v>88</v>
      </c>
      <c r="U60" s="1829" cm="1">
        <f t="array" ref="U60">IF(H60="상",산출기준_TEL!K102,IF(H60="중",산출기준_TEL!L102,IF(H60="하",산출기준_TEL!M102,fault)))</f>
        <v>50</v>
      </c>
      <c r="V60" s="1676">
        <f t="shared" si="25"/>
        <v>292</v>
      </c>
      <c r="W60" s="1843">
        <f>$U60*(1-Input_TEL!S65)</f>
        <v>35</v>
      </c>
      <c r="X60" s="1698">
        <f t="shared" si="26"/>
        <v>204</v>
      </c>
      <c r="Y60" s="1844">
        <f>ROUND($U60*(1-Input_TEL!S65)+I60*Input_TEL!R65/Input_TEL!$AG$38,1)</f>
        <v>35.6</v>
      </c>
      <c r="Z60" s="896">
        <f t="shared" si="18"/>
        <v>208</v>
      </c>
      <c r="AA60" s="1683">
        <f t="shared" si="19"/>
        <v>315</v>
      </c>
      <c r="AB60" s="1684">
        <f t="shared" si="20"/>
        <v>318</v>
      </c>
      <c r="AC60" s="1685">
        <f t="shared" si="21"/>
        <v>320</v>
      </c>
      <c r="AD60" s="1845"/>
    </row>
    <row r="61" spans="1:30" s="176" customFormat="1" ht="51.75" customHeight="1" x14ac:dyDescent="0.2">
      <c r="A61" s="858"/>
      <c r="B61" s="882"/>
      <c r="C61" s="882"/>
      <c r="D61" s="1673" t="s">
        <v>160</v>
      </c>
      <c r="E61" s="1836" t="s">
        <v>1470</v>
      </c>
      <c r="F61" s="1837" t="s">
        <v>203</v>
      </c>
      <c r="G61" s="1838">
        <f>Input_TEL!T66</f>
        <v>1</v>
      </c>
      <c r="H61" s="1839" t="str">
        <f>Input_TEL!$AI$8</f>
        <v>상</v>
      </c>
      <c r="I61" s="1840">
        <f>산출기준_TEL!H103</f>
        <v>4</v>
      </c>
      <c r="J61" s="1676">
        <f t="shared" si="10"/>
        <v>4</v>
      </c>
      <c r="K61" s="1773">
        <f>$I61*(1-Input_TEL!Q66)</f>
        <v>2.8</v>
      </c>
      <c r="L61" s="1676">
        <f t="shared" si="11"/>
        <v>3</v>
      </c>
      <c r="M61" s="1841">
        <f>$I61*(1-Input_TEL!Q66-Input_TEL!R66)</f>
        <v>2.4</v>
      </c>
      <c r="N61" s="1691">
        <f t="shared" si="12"/>
        <v>2</v>
      </c>
      <c r="O61" s="1677">
        <f t="shared" si="13"/>
        <v>16.714285714285715</v>
      </c>
      <c r="P61" s="1638">
        <f t="shared" si="13"/>
        <v>17</v>
      </c>
      <c r="Q61" s="1773">
        <f>$I61*(Input_TEL!Q66)/Input_TEL!$AG$37</f>
        <v>1.7142857142857144</v>
      </c>
      <c r="R61" s="1690">
        <f t="shared" si="23"/>
        <v>2</v>
      </c>
      <c r="S61" s="1773">
        <f>U61*Input_TEL!S66</f>
        <v>15</v>
      </c>
      <c r="T61" s="1842">
        <f t="shared" si="24"/>
        <v>15</v>
      </c>
      <c r="U61" s="1829" cm="1">
        <f t="array" ref="U61">IF(H61="상",산출기준_TEL!K103,IF(H61="중",산출기준_TEL!L103,IF(H61="하",산출기준_TEL!M103,fault)))</f>
        <v>50</v>
      </c>
      <c r="V61" s="1676">
        <f t="shared" si="25"/>
        <v>50</v>
      </c>
      <c r="W61" s="1843">
        <f>$U61*(1-Input_TEL!S66)</f>
        <v>35</v>
      </c>
      <c r="X61" s="1698">
        <f t="shared" si="26"/>
        <v>35</v>
      </c>
      <c r="Y61" s="1844">
        <f>ROUND($U61*(1-Input_TEL!S66)+I61*Input_TEL!R66/Input_TEL!$AG$38,1)</f>
        <v>35.6</v>
      </c>
      <c r="Z61" s="896">
        <f t="shared" si="18"/>
        <v>36</v>
      </c>
      <c r="AA61" s="1683">
        <f t="shared" si="19"/>
        <v>54</v>
      </c>
      <c r="AB61" s="1684">
        <f t="shared" si="20"/>
        <v>55</v>
      </c>
      <c r="AC61" s="1685">
        <f t="shared" si="21"/>
        <v>55</v>
      </c>
      <c r="AD61" s="1845"/>
    </row>
    <row r="62" spans="1:30" s="176" customFormat="1" ht="51.75" customHeight="1" x14ac:dyDescent="0.2">
      <c r="A62" s="858"/>
      <c r="B62" s="882"/>
      <c r="C62" s="882"/>
      <c r="D62" s="1673" t="s">
        <v>166</v>
      </c>
      <c r="E62" s="1846" t="s">
        <v>1471</v>
      </c>
      <c r="F62" s="1837" t="s">
        <v>203</v>
      </c>
      <c r="G62" s="1838">
        <f>Input_TEL!T67</f>
        <v>1</v>
      </c>
      <c r="H62" s="1839" t="str">
        <f>Input_TEL!$AI$8</f>
        <v>상</v>
      </c>
      <c r="I62" s="1840">
        <f>산출기준_TEL!H104</f>
        <v>4</v>
      </c>
      <c r="J62" s="1676">
        <f t="shared" si="10"/>
        <v>4</v>
      </c>
      <c r="K62" s="1773">
        <f>$I62*(1-Input_TEL!Q67)</f>
        <v>2.8</v>
      </c>
      <c r="L62" s="1676">
        <f t="shared" si="11"/>
        <v>3</v>
      </c>
      <c r="M62" s="1841">
        <f>$I62*(1-Input_TEL!Q67-Input_TEL!R67)</f>
        <v>2.4</v>
      </c>
      <c r="N62" s="1691">
        <f t="shared" si="12"/>
        <v>2</v>
      </c>
      <c r="O62" s="1677">
        <f t="shared" si="13"/>
        <v>16.714285714285715</v>
      </c>
      <c r="P62" s="1638">
        <f t="shared" si="13"/>
        <v>17</v>
      </c>
      <c r="Q62" s="1773">
        <f>$I62*(Input_TEL!Q67)/Input_TEL!$AG$37</f>
        <v>1.7142857142857144</v>
      </c>
      <c r="R62" s="1690">
        <f t="shared" si="23"/>
        <v>2</v>
      </c>
      <c r="S62" s="1773">
        <f>U62*Input_TEL!S67</f>
        <v>15</v>
      </c>
      <c r="T62" s="1842">
        <f t="shared" si="24"/>
        <v>15</v>
      </c>
      <c r="U62" s="1829" cm="1">
        <f t="array" ref="U62">IF(H62="상",산출기준_TEL!K104,IF(H62="중",산출기준_TEL!L104,IF(H62="하",산출기준_TEL!M104,fault)))</f>
        <v>50</v>
      </c>
      <c r="V62" s="1676">
        <f t="shared" si="25"/>
        <v>50</v>
      </c>
      <c r="W62" s="1843">
        <f>$U62*(1-Input_TEL!S67)</f>
        <v>35</v>
      </c>
      <c r="X62" s="1698">
        <f t="shared" si="26"/>
        <v>35</v>
      </c>
      <c r="Y62" s="1844">
        <f>ROUND($U62*(1-Input_TEL!S67)+I62*Input_TEL!R67/Input_TEL!$AG$38,1)</f>
        <v>35.6</v>
      </c>
      <c r="Z62" s="896">
        <f t="shared" si="18"/>
        <v>36</v>
      </c>
      <c r="AA62" s="1683">
        <f t="shared" si="19"/>
        <v>54</v>
      </c>
      <c r="AB62" s="1684">
        <f t="shared" si="20"/>
        <v>55</v>
      </c>
      <c r="AC62" s="1685">
        <f t="shared" si="21"/>
        <v>55</v>
      </c>
      <c r="AD62" s="1845"/>
    </row>
    <row r="63" spans="1:30" s="176" customFormat="1" ht="51.75" customHeight="1" x14ac:dyDescent="0.2">
      <c r="A63" s="858"/>
      <c r="B63" s="882"/>
      <c r="C63" s="882"/>
      <c r="D63" s="1673" t="s">
        <v>169</v>
      </c>
      <c r="E63" s="1846" t="s">
        <v>1472</v>
      </c>
      <c r="F63" s="1837" t="s">
        <v>203</v>
      </c>
      <c r="G63" s="1838">
        <f>Input_TEL!T68</f>
        <v>5.8368000000000002</v>
      </c>
      <c r="H63" s="1839" t="str">
        <f>Input_TEL!$AI$8</f>
        <v>상</v>
      </c>
      <c r="I63" s="1840">
        <f>산출기준_TEL!H105</f>
        <v>4</v>
      </c>
      <c r="J63" s="1676">
        <f t="shared" si="10"/>
        <v>23</v>
      </c>
      <c r="K63" s="1773">
        <f>$I63*(1-Input_TEL!Q68)</f>
        <v>2.8</v>
      </c>
      <c r="L63" s="1676">
        <f t="shared" si="11"/>
        <v>16</v>
      </c>
      <c r="M63" s="1841">
        <f>$I63*(1-Input_TEL!Q68-Input_TEL!R68)</f>
        <v>2.4</v>
      </c>
      <c r="N63" s="1691">
        <f t="shared" si="12"/>
        <v>14</v>
      </c>
      <c r="O63" s="1677">
        <f t="shared" si="13"/>
        <v>21.814285714285713</v>
      </c>
      <c r="P63" s="1638">
        <f t="shared" si="13"/>
        <v>127</v>
      </c>
      <c r="Q63" s="1773">
        <f>$I63*(Input_TEL!Q68)/Input_TEL!$AG$37</f>
        <v>1.7142857142857144</v>
      </c>
      <c r="R63" s="1690">
        <f t="shared" si="23"/>
        <v>10</v>
      </c>
      <c r="S63" s="1773">
        <f>U63*Input_TEL!S68</f>
        <v>20.099999999999998</v>
      </c>
      <c r="T63" s="1842">
        <f t="shared" si="24"/>
        <v>117</v>
      </c>
      <c r="U63" s="1829" cm="1">
        <f t="array" ref="U63">IF(H63="상",산출기준_TEL!K105,IF(H63="중",산출기준_TEL!L105,IF(H63="하",산출기준_TEL!M105,fault)))</f>
        <v>67</v>
      </c>
      <c r="V63" s="1676">
        <f t="shared" si="25"/>
        <v>391</v>
      </c>
      <c r="W63" s="1843">
        <f>$U63*(1-Input_TEL!S68)</f>
        <v>46.9</v>
      </c>
      <c r="X63" s="1698">
        <f t="shared" si="26"/>
        <v>274</v>
      </c>
      <c r="Y63" s="1844">
        <f>ROUND($U63*(1-Input_TEL!S68)+I63*Input_TEL!R68/Input_TEL!$AG$38,1)</f>
        <v>47.5</v>
      </c>
      <c r="Z63" s="896">
        <f t="shared" si="18"/>
        <v>277</v>
      </c>
      <c r="AA63" s="1683">
        <f t="shared" si="19"/>
        <v>414</v>
      </c>
      <c r="AB63" s="1684">
        <f t="shared" si="20"/>
        <v>417</v>
      </c>
      <c r="AC63" s="1685">
        <f t="shared" si="21"/>
        <v>418</v>
      </c>
      <c r="AD63" s="1847"/>
    </row>
    <row r="64" spans="1:30" s="176" customFormat="1" ht="51.75" customHeight="1" x14ac:dyDescent="0.2">
      <c r="A64" s="858"/>
      <c r="B64" s="882"/>
      <c r="C64" s="882"/>
      <c r="D64" s="1673" t="s">
        <v>218</v>
      </c>
      <c r="E64" s="1846" t="s">
        <v>1473</v>
      </c>
      <c r="F64" s="1837" t="s">
        <v>203</v>
      </c>
      <c r="G64" s="1838">
        <f>Input_TEL!T69</f>
        <v>2.3368000000000002</v>
      </c>
      <c r="H64" s="1839" t="str">
        <f>Input_TEL!$AI$8</f>
        <v>상</v>
      </c>
      <c r="I64" s="1840" cm="1">
        <f t="array" ref="I64">IF(H64="상",산출기준_TEL!G106,IF(H64="중",산출기준_TEL!H106,IF(H64="하",산출기준_TEL!I106,fault)))</f>
        <v>5</v>
      </c>
      <c r="J64" s="1676">
        <f t="shared" si="10"/>
        <v>12</v>
      </c>
      <c r="K64" s="1773">
        <f>$I64*(1-Input_TEL!Q69)</f>
        <v>3.5</v>
      </c>
      <c r="L64" s="1676">
        <f t="shared" si="11"/>
        <v>8</v>
      </c>
      <c r="M64" s="1841">
        <f>$I64*(1-Input_TEL!Q69-Input_TEL!R69)</f>
        <v>3</v>
      </c>
      <c r="N64" s="1691">
        <f t="shared" si="12"/>
        <v>7</v>
      </c>
      <c r="O64" s="1677">
        <f t="shared" si="13"/>
        <v>22.24285714285714</v>
      </c>
      <c r="P64" s="1638">
        <f t="shared" si="13"/>
        <v>52</v>
      </c>
      <c r="Q64" s="1773">
        <f>$I64*(Input_TEL!Q69)/Input_TEL!$AG$37</f>
        <v>2.1428571428571428</v>
      </c>
      <c r="R64" s="1690">
        <f t="shared" si="23"/>
        <v>5</v>
      </c>
      <c r="S64" s="1773">
        <f>U64*Input_TEL!S69</f>
        <v>20.099999999999998</v>
      </c>
      <c r="T64" s="1842">
        <f t="shared" si="24"/>
        <v>47</v>
      </c>
      <c r="U64" s="1829" cm="1">
        <f t="array" ref="U64">IF(H64="상",산출기준_TEL!K106,IF(H64="중",산출기준_TEL!L106,IF(H64="하",산출기준_TEL!M106,fault)))</f>
        <v>67</v>
      </c>
      <c r="V64" s="1676">
        <f t="shared" si="25"/>
        <v>157</v>
      </c>
      <c r="W64" s="1843">
        <f>$U64*(1-Input_TEL!S69)</f>
        <v>46.9</v>
      </c>
      <c r="X64" s="1698">
        <f t="shared" si="26"/>
        <v>110</v>
      </c>
      <c r="Y64" s="1844">
        <f>ROUND($U64*(1-Input_TEL!S69)+I64*Input_TEL!R69/Input_TEL!$AG$38,1)</f>
        <v>47.6</v>
      </c>
      <c r="Z64" s="896">
        <f t="shared" si="18"/>
        <v>111</v>
      </c>
      <c r="AA64" s="1683">
        <f t="shared" si="19"/>
        <v>169</v>
      </c>
      <c r="AB64" s="1684">
        <f t="shared" si="20"/>
        <v>170</v>
      </c>
      <c r="AC64" s="1685">
        <f t="shared" si="21"/>
        <v>170</v>
      </c>
      <c r="AD64" s="1845"/>
    </row>
    <row r="65" spans="1:30" s="176" customFormat="1" ht="51.75" customHeight="1" x14ac:dyDescent="0.2">
      <c r="A65" s="858"/>
      <c r="B65" s="882"/>
      <c r="C65" s="882"/>
      <c r="D65" s="1673" t="s">
        <v>223</v>
      </c>
      <c r="E65" s="1846" t="s">
        <v>1474</v>
      </c>
      <c r="F65" s="1837" t="s">
        <v>203</v>
      </c>
      <c r="G65" s="1838">
        <f>Input_TEL!T70</f>
        <v>3.5</v>
      </c>
      <c r="H65" s="1839" t="str">
        <f>Input_TEL!$AI$8</f>
        <v>상</v>
      </c>
      <c r="I65" s="1840">
        <f>산출기준_TEL!H107</f>
        <v>4</v>
      </c>
      <c r="J65" s="1676">
        <f t="shared" si="10"/>
        <v>14</v>
      </c>
      <c r="K65" s="1773">
        <f>$I65*(1-Input_TEL!Q70)</f>
        <v>2.8</v>
      </c>
      <c r="L65" s="1676">
        <f t="shared" si="11"/>
        <v>10</v>
      </c>
      <c r="M65" s="1841">
        <f>$I65*(1-Input_TEL!Q70-Input_TEL!R70)</f>
        <v>2.4</v>
      </c>
      <c r="N65" s="1691">
        <f t="shared" si="12"/>
        <v>8</v>
      </c>
      <c r="O65" s="1677">
        <f t="shared" si="13"/>
        <v>21.814285714285713</v>
      </c>
      <c r="P65" s="1638">
        <f t="shared" si="13"/>
        <v>76</v>
      </c>
      <c r="Q65" s="1773">
        <f>$I65*(Input_TEL!Q70)/Input_TEL!$AG$37</f>
        <v>1.7142857142857144</v>
      </c>
      <c r="R65" s="1690">
        <f t="shared" si="23"/>
        <v>6</v>
      </c>
      <c r="S65" s="1773">
        <f>U65*Input_TEL!S70</f>
        <v>20.099999999999998</v>
      </c>
      <c r="T65" s="1842">
        <f t="shared" si="24"/>
        <v>70</v>
      </c>
      <c r="U65" s="1829" cm="1">
        <f t="array" ref="U65">IF(H65="상",산출기준_TEL!K107,IF(H65="중",산출기준_TEL!L107,IF(H65="하",산출기준_TEL!M107,fault)))</f>
        <v>67</v>
      </c>
      <c r="V65" s="1676">
        <f t="shared" si="25"/>
        <v>235</v>
      </c>
      <c r="W65" s="1843">
        <f>$U65*(1-Input_TEL!S70)</f>
        <v>46.9</v>
      </c>
      <c r="X65" s="1698">
        <f t="shared" si="26"/>
        <v>164</v>
      </c>
      <c r="Y65" s="1844">
        <f>ROUND($U65*(1-Input_TEL!S70)+I65*Input_TEL!R70/Input_TEL!$AG$38,1)</f>
        <v>47.5</v>
      </c>
      <c r="Z65" s="896">
        <f t="shared" si="18"/>
        <v>166</v>
      </c>
      <c r="AA65" s="1683">
        <f t="shared" si="19"/>
        <v>249</v>
      </c>
      <c r="AB65" s="1684">
        <f t="shared" si="20"/>
        <v>250</v>
      </c>
      <c r="AC65" s="1685">
        <f t="shared" si="21"/>
        <v>250</v>
      </c>
      <c r="AD65" s="1845"/>
    </row>
    <row r="66" spans="1:30" s="176" customFormat="1" ht="51.75" customHeight="1" x14ac:dyDescent="0.2">
      <c r="A66" s="858"/>
      <c r="B66" s="882"/>
      <c r="C66" s="882"/>
      <c r="D66" s="1673" t="s">
        <v>228</v>
      </c>
      <c r="E66" s="1846" t="s">
        <v>1475</v>
      </c>
      <c r="F66" s="1837" t="s">
        <v>203</v>
      </c>
      <c r="G66" s="1838">
        <f>Input_TEL!T71</f>
        <v>7</v>
      </c>
      <c r="H66" s="1839" t="str">
        <f>Input_TEL!$AI$8</f>
        <v>상</v>
      </c>
      <c r="I66" s="1840">
        <f>산출기준_TEL!H108</f>
        <v>3</v>
      </c>
      <c r="J66" s="1676">
        <f t="shared" si="10"/>
        <v>21</v>
      </c>
      <c r="K66" s="1773">
        <f>$I66*(1-Input_TEL!Q71)</f>
        <v>2.0999999999999996</v>
      </c>
      <c r="L66" s="1676">
        <f t="shared" si="11"/>
        <v>15</v>
      </c>
      <c r="M66" s="1841">
        <f>$I66*(1-Input_TEL!Q71-Input_TEL!R71)</f>
        <v>1.7999999999999998</v>
      </c>
      <c r="N66" s="1691">
        <f t="shared" si="12"/>
        <v>13</v>
      </c>
      <c r="O66" s="1677">
        <f t="shared" si="13"/>
        <v>11.485714285714284</v>
      </c>
      <c r="P66" s="1638">
        <f t="shared" si="13"/>
        <v>80</v>
      </c>
      <c r="Q66" s="1773">
        <f>$I66*(Input_TEL!Q71)/Input_TEL!$AG$37</f>
        <v>1.2857142857142856</v>
      </c>
      <c r="R66" s="1690">
        <f t="shared" si="23"/>
        <v>9</v>
      </c>
      <c r="S66" s="1773">
        <f>U66*Input_TEL!S71</f>
        <v>10.199999999999999</v>
      </c>
      <c r="T66" s="1842">
        <f t="shared" si="24"/>
        <v>71</v>
      </c>
      <c r="U66" s="1829" cm="1">
        <f t="array" ref="U66">IF(H66="상",산출기준_TEL!K108,IF(H66="중",산출기준_TEL!L108,IF(H66="하",산출기준_TEL!M108,fault)))</f>
        <v>34</v>
      </c>
      <c r="V66" s="1676">
        <f t="shared" si="25"/>
        <v>238</v>
      </c>
      <c r="W66" s="1843">
        <f>$U66*(1-Input_TEL!S71)</f>
        <v>23.799999999999997</v>
      </c>
      <c r="X66" s="1698">
        <f t="shared" si="26"/>
        <v>167</v>
      </c>
      <c r="Y66" s="1844">
        <f>ROUND($U66*(1-Input_TEL!S71)+I66*Input_TEL!R71/Input_TEL!$AG$38,1)</f>
        <v>24.2</v>
      </c>
      <c r="Z66" s="896">
        <f t="shared" si="18"/>
        <v>169</v>
      </c>
      <c r="AA66" s="1683">
        <f t="shared" si="19"/>
        <v>259</v>
      </c>
      <c r="AB66" s="1684">
        <f t="shared" si="20"/>
        <v>262</v>
      </c>
      <c r="AC66" s="1685">
        <f t="shared" si="21"/>
        <v>262</v>
      </c>
      <c r="AD66" s="1845"/>
    </row>
    <row r="67" spans="1:30" s="176" customFormat="1" ht="51.75" customHeight="1" x14ac:dyDescent="0.2">
      <c r="A67" s="858"/>
      <c r="B67" s="882"/>
      <c r="C67" s="882"/>
      <c r="D67" s="1673" t="s">
        <v>232</v>
      </c>
      <c r="E67" s="1846" t="s">
        <v>260</v>
      </c>
      <c r="F67" s="1837" t="s">
        <v>203</v>
      </c>
      <c r="G67" s="1838">
        <f>Input_TEL!T72</f>
        <v>50</v>
      </c>
      <c r="H67" s="1839" t="str">
        <f>Input_TEL!$AI$8</f>
        <v>상</v>
      </c>
      <c r="I67" s="1840" cm="1">
        <f t="array" ref="I67">IF(H67="상",산출기준_TEL!G109,IF(H67="중",산출기준_TEL!H109,IF(H67="하",산출기준_TEL!I109,fault)))</f>
        <v>0.5</v>
      </c>
      <c r="J67" s="1676">
        <f t="shared" si="10"/>
        <v>25</v>
      </c>
      <c r="K67" s="1773">
        <f>$I67*(1-Input_TEL!Q72)</f>
        <v>0.35</v>
      </c>
      <c r="L67" s="1676">
        <f t="shared" si="11"/>
        <v>18</v>
      </c>
      <c r="M67" s="1841">
        <f>$I67*(1-Input_TEL!Q72-Input_TEL!R72)</f>
        <v>0.3</v>
      </c>
      <c r="N67" s="1691">
        <f t="shared" si="12"/>
        <v>15</v>
      </c>
      <c r="O67" s="1677">
        <f t="shared" si="13"/>
        <v>0.81428571428571428</v>
      </c>
      <c r="P67" s="1638">
        <f t="shared" si="13"/>
        <v>41</v>
      </c>
      <c r="Q67" s="1848">
        <f>$I67*(Input_TEL!Q72)/Input_TEL!$AG$37</f>
        <v>0.2142857142857143</v>
      </c>
      <c r="R67" s="1690">
        <f t="shared" si="23"/>
        <v>11</v>
      </c>
      <c r="S67" s="1848">
        <f>U67*Input_TEL!S72</f>
        <v>0.6</v>
      </c>
      <c r="T67" s="1842">
        <f t="shared" si="24"/>
        <v>30</v>
      </c>
      <c r="U67" s="1840">
        <f>산출기준_TEL!L109</f>
        <v>2</v>
      </c>
      <c r="V67" s="1676">
        <f t="shared" si="25"/>
        <v>100</v>
      </c>
      <c r="W67" s="1843">
        <f>$U67*(1-Input_TEL!S72)</f>
        <v>1.4</v>
      </c>
      <c r="X67" s="1698">
        <f t="shared" si="26"/>
        <v>70</v>
      </c>
      <c r="Y67" s="1844">
        <f>ROUND($U67*(1-Input_TEL!S72)+I67*Input_TEL!R72/Input_TEL!$AG$38,1)</f>
        <v>1.5</v>
      </c>
      <c r="Z67" s="896">
        <f t="shared" si="18"/>
        <v>75</v>
      </c>
      <c r="AA67" s="1683">
        <f t="shared" si="19"/>
        <v>125</v>
      </c>
      <c r="AB67" s="1684">
        <f t="shared" si="20"/>
        <v>129</v>
      </c>
      <c r="AC67" s="1685">
        <f t="shared" si="21"/>
        <v>131</v>
      </c>
      <c r="AD67" s="1845"/>
    </row>
    <row r="68" spans="1:30" s="176" customFormat="1" ht="51.75" customHeight="1" x14ac:dyDescent="0.2">
      <c r="A68" s="858"/>
      <c r="B68" s="1687"/>
      <c r="C68" s="1644"/>
      <c r="D68" s="1645" t="s">
        <v>1309</v>
      </c>
      <c r="E68" s="1821" t="s">
        <v>1348</v>
      </c>
      <c r="F68" s="1789" t="s">
        <v>265</v>
      </c>
      <c r="G68" s="1790">
        <f>Input_TEL!T73</f>
        <v>0</v>
      </c>
      <c r="H68" s="1791" t="str">
        <f>Input_TEL!$AI$8</f>
        <v>상</v>
      </c>
      <c r="I68" s="1849">
        <f>산출기준_TEL!H110</f>
        <v>4</v>
      </c>
      <c r="J68" s="1651">
        <f t="shared" si="10"/>
        <v>0</v>
      </c>
      <c r="K68" s="1793">
        <f>$I68*(1-Input_TEL!Q73)</f>
        <v>2.8</v>
      </c>
      <c r="L68" s="1651">
        <f t="shared" si="11"/>
        <v>0</v>
      </c>
      <c r="M68" s="1793">
        <f>$I68*(1-Input_TEL!Q73-Input_TEL!R73)</f>
        <v>2.4</v>
      </c>
      <c r="N68" s="1653">
        <f t="shared" si="12"/>
        <v>0</v>
      </c>
      <c r="O68" s="1850">
        <f t="shared" si="13"/>
        <v>2.9142857142857146</v>
      </c>
      <c r="P68" s="1793">
        <f t="shared" si="13"/>
        <v>0</v>
      </c>
      <c r="Q68" s="1793">
        <f>$I68*(Input_TEL!Q73)/Input_TEL!$AG$37</f>
        <v>1.7142857142857144</v>
      </c>
      <c r="R68" s="1652">
        <f t="shared" si="23"/>
        <v>0</v>
      </c>
      <c r="S68" s="1793">
        <f>U68*Input_TEL!S73</f>
        <v>1.2</v>
      </c>
      <c r="T68" s="1851">
        <f t="shared" si="24"/>
        <v>0</v>
      </c>
      <c r="U68" s="1849" cm="1">
        <f t="array" ref="U68">IF(H68="상",산출기준_TEL!K110,IF(H68="중",산출기준_TEL!L110,IF(H68="하",산출기준_TEL!M110,fault)))</f>
        <v>4</v>
      </c>
      <c r="V68" s="1651">
        <f t="shared" si="25"/>
        <v>0</v>
      </c>
      <c r="W68" s="1852">
        <f>$U68*(1-Input_TEL!S73)</f>
        <v>2.8</v>
      </c>
      <c r="X68" s="1794">
        <f t="shared" si="26"/>
        <v>0</v>
      </c>
      <c r="Y68" s="1853">
        <f>ROUND($U68*(1-Input_TEL!S73)+I68*Input_TEL!R73/Input_TEL!$AG$38,1)</f>
        <v>3.4</v>
      </c>
      <c r="Z68" s="1796">
        <f t="shared" si="18"/>
        <v>0</v>
      </c>
      <c r="AA68" s="1662">
        <f t="shared" si="19"/>
        <v>0</v>
      </c>
      <c r="AB68" s="1663">
        <f t="shared" si="20"/>
        <v>0</v>
      </c>
      <c r="AC68" s="1664">
        <f t="shared" si="21"/>
        <v>0</v>
      </c>
      <c r="AD68" s="1797"/>
    </row>
    <row r="69" spans="1:30" s="176" customFormat="1" ht="51.75" customHeight="1" x14ac:dyDescent="0.2">
      <c r="A69" s="858"/>
      <c r="B69" s="1854" t="s">
        <v>284</v>
      </c>
      <c r="C69" s="1823" t="s">
        <v>1030</v>
      </c>
      <c r="D69" s="1824" t="s">
        <v>95</v>
      </c>
      <c r="E69" s="1825" t="s">
        <v>1038</v>
      </c>
      <c r="F69" s="1826"/>
      <c r="G69" s="1827"/>
      <c r="H69" s="1828"/>
      <c r="I69" s="1801"/>
      <c r="J69" s="1802"/>
      <c r="K69" s="1802"/>
      <c r="L69" s="1802"/>
      <c r="M69" s="1767"/>
      <c r="N69" s="1855"/>
      <c r="O69" s="1677"/>
      <c r="P69" s="1638"/>
      <c r="Q69" s="1856"/>
      <c r="R69" s="1802"/>
      <c r="S69" s="1856"/>
      <c r="T69" s="1857"/>
      <c r="U69" s="1801"/>
      <c r="V69" s="1802"/>
      <c r="W69" s="1857"/>
      <c r="X69" s="1857"/>
      <c r="Y69" s="826"/>
      <c r="Z69" s="1858"/>
      <c r="AA69" s="1810"/>
      <c r="AB69" s="1811"/>
      <c r="AC69" s="1812"/>
      <c r="AD69" s="1835"/>
    </row>
    <row r="70" spans="1:30" s="176" customFormat="1" ht="51.75" customHeight="1" x14ac:dyDescent="0.2">
      <c r="A70" s="858"/>
      <c r="B70" s="1859"/>
      <c r="C70" s="882"/>
      <c r="D70" s="1673"/>
      <c r="E70" s="1846" t="s">
        <v>1562</v>
      </c>
      <c r="F70" s="1860" t="s">
        <v>1291</v>
      </c>
      <c r="G70" s="1860">
        <v>1</v>
      </c>
      <c r="H70" s="1861" t="str">
        <f>Input_TEL!$AI$8</f>
        <v>상</v>
      </c>
      <c r="I70" s="1862">
        <f>산출기준_TEL!I113</f>
        <v>400</v>
      </c>
      <c r="J70" s="1676">
        <f>ROUND(($G70*I70),0)</f>
        <v>400</v>
      </c>
      <c r="K70" s="1676">
        <f>$I70*(1-Input_TEL!Q76)</f>
        <v>280</v>
      </c>
      <c r="L70" s="1736">
        <f>ROUND(($G70*K70),0)</f>
        <v>280</v>
      </c>
      <c r="M70" s="1863">
        <f>$I70*(1-Input_TEL!Q76-Input_TEL!R76)</f>
        <v>240</v>
      </c>
      <c r="N70" s="1691">
        <f>ROUND(M70*G70,0)</f>
        <v>240</v>
      </c>
      <c r="O70" s="1677">
        <f>Q70+S70</f>
        <v>291.42857142857144</v>
      </c>
      <c r="P70" s="1638">
        <f>R70+T70</f>
        <v>291</v>
      </c>
      <c r="Q70" s="1773">
        <f>$I70*(Input_TEL!Q76)/Input_TEL!$AG$37</f>
        <v>171.42857142857144</v>
      </c>
      <c r="R70" s="1690">
        <f>ROUND(($G70*Q70),0)</f>
        <v>171</v>
      </c>
      <c r="S70" s="1773">
        <f>U70*Input_TEL!S76</f>
        <v>120</v>
      </c>
      <c r="T70" s="1842">
        <f>ROUND(($G70*S70),0)</f>
        <v>120</v>
      </c>
      <c r="U70" s="1864">
        <f>IF(Input_TEL!T77&gt;2000000,1500,IF(Input_TEL!T77&gt;1000000,1200,IF(Input_TEL!T77&gt;500000,900,IF(Input_TEL!T77&gt;200000,650,400))))</f>
        <v>400</v>
      </c>
      <c r="V70" s="1676">
        <f>ROUND(U70*G70,0)</f>
        <v>400</v>
      </c>
      <c r="W70" s="1676">
        <f>$U70*(1-Input_TEL!S76)</f>
        <v>280</v>
      </c>
      <c r="X70" s="1698">
        <f>ROUND(($G70*W70),0)</f>
        <v>280</v>
      </c>
      <c r="Y70" s="1865">
        <f>ROUND($U70*(1-Input_TEL!S76)+I70*Input_TEL!R76/Input_TEL!$AG$38,0)</f>
        <v>337</v>
      </c>
      <c r="Z70" s="896">
        <f>ROUND(Y70*G70,0)</f>
        <v>337</v>
      </c>
      <c r="AA70" s="1683">
        <f>SUM(J70,V70)</f>
        <v>800</v>
      </c>
      <c r="AB70" s="1684">
        <f>L70+P70+X70</f>
        <v>851</v>
      </c>
      <c r="AC70" s="1685">
        <f>N70+P70+Z70</f>
        <v>868</v>
      </c>
      <c r="AD70" s="1866"/>
    </row>
    <row r="71" spans="1:30" s="176" customFormat="1" ht="51.75" customHeight="1" x14ac:dyDescent="0.2">
      <c r="A71" s="858"/>
      <c r="B71" s="1867"/>
      <c r="C71" s="1644"/>
      <c r="D71" s="1645"/>
      <c r="E71" s="1821" t="s">
        <v>1373</v>
      </c>
      <c r="F71" s="1789" t="s">
        <v>1291</v>
      </c>
      <c r="G71" s="1790">
        <v>1</v>
      </c>
      <c r="H71" s="1791" t="str">
        <f>Input_TEL!$AI$8</f>
        <v>상</v>
      </c>
      <c r="I71" s="1868">
        <f>산출기준_TEL!I117</f>
        <v>400</v>
      </c>
      <c r="J71" s="1651">
        <f>ROUND(($G71*I71),0)</f>
        <v>400</v>
      </c>
      <c r="K71" s="1651">
        <f>$I71*(1-Input_TEL!Q76)</f>
        <v>280</v>
      </c>
      <c r="L71" s="1651">
        <f>ROUND(($G71*K71),0)</f>
        <v>280</v>
      </c>
      <c r="M71" s="1652">
        <f>$I71*(1-Input_TEL!Q76-Input_TEL!R76)</f>
        <v>240</v>
      </c>
      <c r="N71" s="1653">
        <f>ROUND(M71*G71,0)</f>
        <v>240</v>
      </c>
      <c r="O71" s="1850">
        <f>Q71+S71</f>
        <v>291.42857142857144</v>
      </c>
      <c r="P71" s="1652">
        <f>R71+T71</f>
        <v>291</v>
      </c>
      <c r="Q71" s="1793">
        <f>$I71*(Input_TEL!Q77)/Input_TEL!$AG$37</f>
        <v>171.42857142857144</v>
      </c>
      <c r="R71" s="1652">
        <f>ROUND(($G71*Q71),0)</f>
        <v>171</v>
      </c>
      <c r="S71" s="1793">
        <f>U71*Input_TEL!S77</f>
        <v>120</v>
      </c>
      <c r="T71" s="1851">
        <f>ROUND(($G71*S71),0)</f>
        <v>120</v>
      </c>
      <c r="U71" s="1869">
        <f>IF(Input_TEL!T78&gt;2000000,1500,IF(Input_TEL!T78&gt;1000000,1200,IF(Input_TEL!T78&gt;500000,900,IF(Input_TEL!T78&gt;200000,650,400))))</f>
        <v>400</v>
      </c>
      <c r="V71" s="1651">
        <f>ROUND(U71*G71,0)</f>
        <v>400</v>
      </c>
      <c r="W71" s="1794">
        <f>$U71*(1-Input_TEL!S77)</f>
        <v>280</v>
      </c>
      <c r="X71" s="1794">
        <f>ROUND(($G71*W71),0)</f>
        <v>280</v>
      </c>
      <c r="Y71" s="1870">
        <f>ROUND($U71*(1-Input_TEL!S77)+I71*Input_TEL!R77/Input_TEL!$AG$38,0)</f>
        <v>337</v>
      </c>
      <c r="Z71" s="1796">
        <f>ROUND(Y71*G71,0)</f>
        <v>337</v>
      </c>
      <c r="AA71" s="1662">
        <f>SUM(J71,V71)</f>
        <v>800</v>
      </c>
      <c r="AB71" s="1663">
        <f>L71+P71+X71</f>
        <v>851</v>
      </c>
      <c r="AC71" s="1664">
        <f>N71+P71+Z71</f>
        <v>868</v>
      </c>
      <c r="AD71" s="1797"/>
    </row>
    <row r="72" spans="1:30" s="176" customFormat="1" ht="51.75" customHeight="1" x14ac:dyDescent="0.2">
      <c r="A72" s="858"/>
      <c r="B72" s="1823" t="s">
        <v>717</v>
      </c>
      <c r="C72" s="1823" t="s">
        <v>1037</v>
      </c>
      <c r="D72" s="1871" t="s">
        <v>1567</v>
      </c>
      <c r="E72" s="979"/>
      <c r="F72" s="1826"/>
      <c r="G72" s="1827"/>
      <c r="H72" s="1828"/>
      <c r="I72" s="1801"/>
      <c r="J72" s="1802"/>
      <c r="K72" s="1802"/>
      <c r="L72" s="1802"/>
      <c r="M72" s="1767"/>
      <c r="N72" s="1855"/>
      <c r="O72" s="1677"/>
      <c r="P72" s="1638"/>
      <c r="Q72" s="1856"/>
      <c r="R72" s="1802"/>
      <c r="S72" s="1856"/>
      <c r="T72" s="1857"/>
      <c r="U72" s="1801"/>
      <c r="V72" s="1802"/>
      <c r="W72" s="1857"/>
      <c r="X72" s="1857"/>
      <c r="Y72" s="1872"/>
      <c r="Z72" s="1858"/>
      <c r="AA72" s="1810"/>
      <c r="AB72" s="1811"/>
      <c r="AC72" s="1812"/>
      <c r="AD72" s="1835"/>
    </row>
    <row r="73" spans="1:30" s="176" customFormat="1" ht="51.75" customHeight="1" x14ac:dyDescent="0.2">
      <c r="A73" s="1873"/>
      <c r="B73" s="861"/>
      <c r="C73" s="861"/>
      <c r="D73" s="1673" t="s">
        <v>1042</v>
      </c>
      <c r="E73" s="1874" t="s">
        <v>760</v>
      </c>
      <c r="F73" s="861" t="s">
        <v>97</v>
      </c>
      <c r="G73" s="1690">
        <f>Input_TEL!W74</f>
        <v>1</v>
      </c>
      <c r="H73" s="1875" t="str">
        <f>Input_TEL!$AI$8</f>
        <v>상</v>
      </c>
      <c r="I73" s="1876" cm="1">
        <f t="array" ref="I73">IF(H73="상",산출기준_TEL!G117,IF(H73="중",산출기준_TEL!H117,IF(H73="하",산출기준_TEL!I117,fault)))*0.45</f>
        <v>270</v>
      </c>
      <c r="J73" s="865">
        <f>ROUND(($G73*I73),0)</f>
        <v>270</v>
      </c>
      <c r="K73" s="865">
        <f>$I73*(1-Input_TEL!Q74)</f>
        <v>189</v>
      </c>
      <c r="L73" s="865">
        <f>ROUND(($G73*K73),0)</f>
        <v>189</v>
      </c>
      <c r="M73" s="1877">
        <f>$I73*(1-Input_TEL!Q74-Input_TEL!R74)</f>
        <v>162</v>
      </c>
      <c r="N73" s="1691">
        <f>ROUND(M73*G73,0)</f>
        <v>162</v>
      </c>
      <c r="O73" s="1677">
        <f>Q73+S73</f>
        <v>250.71428571428572</v>
      </c>
      <c r="P73" s="1638">
        <f>R73+T73</f>
        <v>251</v>
      </c>
      <c r="Q73" s="1773">
        <f>$I73*(Input_TEL!Q74)/Input_TEL!$AG$37</f>
        <v>115.71428571428572</v>
      </c>
      <c r="R73" s="1690">
        <f>ROUND(($G73*Q73),0)</f>
        <v>116</v>
      </c>
      <c r="S73" s="1773">
        <f>U73*Input_TEL!S74</f>
        <v>135</v>
      </c>
      <c r="T73" s="1842">
        <f>ROUND(($G73*S73),0)</f>
        <v>135</v>
      </c>
      <c r="U73" s="1878">
        <f>IF(Input_TEL!T74&gt;15000,1500,IF(Input_TEL!T74&gt;10000,1200,1000))*0.45</f>
        <v>450</v>
      </c>
      <c r="V73" s="1676">
        <f>ROUND(U73*G73,0)</f>
        <v>450</v>
      </c>
      <c r="W73" s="865">
        <f>$U73*(1-Input_TEL!S74)</f>
        <v>315</v>
      </c>
      <c r="X73" s="1698">
        <f>ROUND(($G73*W73),0)</f>
        <v>315</v>
      </c>
      <c r="Y73" s="1865">
        <f>ROUND($U73*(1-Input_TEL!S74)+I73*Input_TEL!R74/Input_TEL!$AG$38,0)</f>
        <v>354</v>
      </c>
      <c r="Z73" s="896">
        <f>ROUND(Y73*G73,0)</f>
        <v>354</v>
      </c>
      <c r="AA73" s="1683">
        <f>SUM(J73,V73)</f>
        <v>720</v>
      </c>
      <c r="AB73" s="1684">
        <f>L73+P73+X73</f>
        <v>755</v>
      </c>
      <c r="AC73" s="1685">
        <f>N73+P73+Z73</f>
        <v>767</v>
      </c>
      <c r="AD73" s="1686"/>
    </row>
    <row r="74" spans="1:30" s="176" customFormat="1" ht="51.75" customHeight="1" x14ac:dyDescent="0.2">
      <c r="A74" s="1873"/>
      <c r="B74" s="861"/>
      <c r="C74" s="861"/>
      <c r="D74" s="1673" t="s">
        <v>102</v>
      </c>
      <c r="E74" s="1879" t="s">
        <v>767</v>
      </c>
      <c r="F74" s="861" t="s">
        <v>97</v>
      </c>
      <c r="G74" s="1744">
        <v>0</v>
      </c>
      <c r="H74" s="1875" t="str">
        <f>Input_TEL!$AI$8</f>
        <v>상</v>
      </c>
      <c r="I74" s="1880"/>
      <c r="J74" s="1682"/>
      <c r="K74" s="1682"/>
      <c r="L74" s="1682"/>
      <c r="M74" s="1881"/>
      <c r="N74" s="1882"/>
      <c r="O74" s="1677">
        <f>Q74+S74</f>
        <v>191.4</v>
      </c>
      <c r="P74" s="1638">
        <f>R74+T74</f>
        <v>0</v>
      </c>
      <c r="Q74" s="1679"/>
      <c r="R74" s="1679"/>
      <c r="S74" s="1773">
        <f>U74*Input_TEL!S75</f>
        <v>191.4</v>
      </c>
      <c r="T74" s="1842">
        <f>ROUND(($G74*S74),0)</f>
        <v>0</v>
      </c>
      <c r="U74" s="1883">
        <f>Input_TEL!T75</f>
        <v>638</v>
      </c>
      <c r="V74" s="1676">
        <f>ROUND(U74*G74,0)</f>
        <v>0</v>
      </c>
      <c r="W74" s="865">
        <f>$U74*(1-Input_TEL!S75)</f>
        <v>446.59999999999997</v>
      </c>
      <c r="X74" s="1698">
        <f>ROUND(($G74*W74),0)</f>
        <v>0</v>
      </c>
      <c r="Y74" s="1865">
        <f>ROUND($U74*(1-Input_TEL!S75)+I74*Input_TEL!R75/Input_TEL!$AG$38,0)</f>
        <v>447</v>
      </c>
      <c r="Z74" s="896">
        <f>ROUND(Y74*G74,0)</f>
        <v>0</v>
      </c>
      <c r="AA74" s="1683">
        <f>SUM(J74,V74)</f>
        <v>0</v>
      </c>
      <c r="AB74" s="1684">
        <f>L74+P74+X74</f>
        <v>0</v>
      </c>
      <c r="AC74" s="1685">
        <f>N74+P74+Z74</f>
        <v>0</v>
      </c>
      <c r="AD74" s="1686"/>
    </row>
    <row r="75" spans="1:30" s="176" customFormat="1" ht="51.75" customHeight="1" x14ac:dyDescent="0.2">
      <c r="A75" s="858"/>
      <c r="B75" s="882"/>
      <c r="C75" s="861"/>
      <c r="D75" s="859" t="s">
        <v>1048</v>
      </c>
      <c r="E75" s="860"/>
      <c r="F75" s="861"/>
      <c r="G75" s="1884">
        <f>SUM(G76:G77)</f>
        <v>0</v>
      </c>
      <c r="H75" s="1885"/>
      <c r="I75" s="1886"/>
      <c r="J75" s="865"/>
      <c r="K75" s="865"/>
      <c r="L75" s="865"/>
      <c r="M75" s="861"/>
      <c r="N75" s="896"/>
      <c r="O75" s="1677"/>
      <c r="P75" s="1638"/>
      <c r="Q75" s="1678"/>
      <c r="R75" s="865"/>
      <c r="S75" s="1678"/>
      <c r="T75" s="1693"/>
      <c r="U75" s="864"/>
      <c r="V75" s="865"/>
      <c r="W75" s="1693"/>
      <c r="X75" s="1693"/>
      <c r="Y75" s="1865"/>
      <c r="Z75" s="896"/>
      <c r="AA75" s="1683"/>
      <c r="AB75" s="1684"/>
      <c r="AC75" s="1685"/>
      <c r="AD75" s="1686"/>
    </row>
    <row r="76" spans="1:30" s="176" customFormat="1" ht="51.75" customHeight="1" x14ac:dyDescent="0.2">
      <c r="A76" s="1873"/>
      <c r="B76" s="861"/>
      <c r="C76" s="861"/>
      <c r="D76" s="1887" t="s">
        <v>288</v>
      </c>
      <c r="E76" s="1674" t="s">
        <v>1568</v>
      </c>
      <c r="F76" s="861" t="s">
        <v>97</v>
      </c>
      <c r="G76" s="1690">
        <v>0</v>
      </c>
      <c r="H76" s="1875" t="str">
        <f>Input_TEL!$AI$8</f>
        <v>상</v>
      </c>
      <c r="I76" s="1888" cm="1">
        <f t="array" ref="I76">IF(H76="상",산출기준_TEL!G120,IF(H76="중",산출기준_TEL!H120,IF(H76="하",산출기준_TEL!I120,fault)))</f>
        <v>60</v>
      </c>
      <c r="J76" s="865">
        <f>ROUND(($G76*I76),0)</f>
        <v>0</v>
      </c>
      <c r="K76" s="865">
        <f>$I76*(1-Input_TEL!Q79)</f>
        <v>42</v>
      </c>
      <c r="L76" s="865">
        <f>ROUND(($G76*K76),0)</f>
        <v>0</v>
      </c>
      <c r="M76" s="1877">
        <f>$I76*(1-Input_TEL!Q79-Input_TEL!R79)</f>
        <v>36</v>
      </c>
      <c r="N76" s="1691">
        <f>ROUND(M76*G76,0)</f>
        <v>0</v>
      </c>
      <c r="O76" s="1677">
        <f>Q76+S76</f>
        <v>25.714285714285715</v>
      </c>
      <c r="P76" s="1638">
        <f>R76+T76</f>
        <v>0</v>
      </c>
      <c r="Q76" s="1773">
        <f>$I76*(Input_TEL!Q79)/Input_TEL!$AG$37</f>
        <v>25.714285714285715</v>
      </c>
      <c r="R76" s="1690">
        <f>ROUND(($G76*Q76),0)</f>
        <v>0</v>
      </c>
      <c r="S76" s="1679"/>
      <c r="T76" s="1816"/>
      <c r="U76" s="1681"/>
      <c r="V76" s="1679"/>
      <c r="W76" s="1679"/>
      <c r="X76" s="1679"/>
      <c r="Y76" s="1865">
        <f>ROUND($U76*(1-Input_TEL!S79)+I76*Input_TEL!R79/Input_TEL!$AG$38,0)</f>
        <v>9</v>
      </c>
      <c r="Z76" s="896">
        <f>ROUND(Y76*G76,0)</f>
        <v>0</v>
      </c>
      <c r="AA76" s="1683">
        <f>SUM(J76,V76)</f>
        <v>0</v>
      </c>
      <c r="AB76" s="1684">
        <f>L76+P76+X76</f>
        <v>0</v>
      </c>
      <c r="AC76" s="1685">
        <f>N76+P76+Z76</f>
        <v>0</v>
      </c>
      <c r="AD76" s="1686"/>
    </row>
    <row r="77" spans="1:30" s="176" customFormat="1" ht="51.75" customHeight="1" x14ac:dyDescent="0.2">
      <c r="A77" s="1873"/>
      <c r="B77" s="861"/>
      <c r="C77" s="861"/>
      <c r="D77" s="1887" t="s">
        <v>102</v>
      </c>
      <c r="E77" s="1674" t="s">
        <v>1569</v>
      </c>
      <c r="F77" s="861" t="s">
        <v>97</v>
      </c>
      <c r="G77" s="1690">
        <f>Input_TEL!T79</f>
        <v>0</v>
      </c>
      <c r="H77" s="1875" t="str">
        <f>Input_TEL!$AI$8</f>
        <v>상</v>
      </c>
      <c r="I77" s="1888" cm="1">
        <f t="array" ref="I77">IF(H77="상",산출기준_TEL!G121,IF(H77="중",산출기준_TEL!H121,IF(H77="하",산출기준_TEL!I121,fault)))</f>
        <v>40</v>
      </c>
      <c r="J77" s="865">
        <f>ROUND(($G77*I77),0)</f>
        <v>0</v>
      </c>
      <c r="K77" s="865">
        <f>$I77*(1-Input_TEL!Q80)</f>
        <v>28</v>
      </c>
      <c r="L77" s="865">
        <f>ROUND(($G77*K77),0)</f>
        <v>0</v>
      </c>
      <c r="M77" s="1877">
        <f>$I77*(1-Input_TEL!Q80-Input_TEL!R80)</f>
        <v>24</v>
      </c>
      <c r="N77" s="1691">
        <f>ROUND(M77*G77,0)</f>
        <v>0</v>
      </c>
      <c r="O77" s="1677">
        <f>Q77+S77</f>
        <v>17.142857142857142</v>
      </c>
      <c r="P77" s="1638">
        <f>R77+T77</f>
        <v>0</v>
      </c>
      <c r="Q77" s="1773">
        <f>$I77*(Input_TEL!Q80)/Input_TEL!$AG$37</f>
        <v>17.142857142857142</v>
      </c>
      <c r="R77" s="1690">
        <f>ROUND(($G77*Q77),0)</f>
        <v>0</v>
      </c>
      <c r="S77" s="1679"/>
      <c r="T77" s="1816"/>
      <c r="U77" s="1681"/>
      <c r="V77" s="1679"/>
      <c r="W77" s="1679"/>
      <c r="X77" s="1679"/>
      <c r="Y77" s="1865">
        <f>ROUND($U77*(1-Input_TEL!S80)+I77*Input_TEL!R80/Input_TEL!$AG$38,0)</f>
        <v>6</v>
      </c>
      <c r="Z77" s="896">
        <f>ROUND(Y77*G77,0)</f>
        <v>0</v>
      </c>
      <c r="AA77" s="1683">
        <f>SUM(J77,V77)</f>
        <v>0</v>
      </c>
      <c r="AB77" s="1684">
        <f>L77+P77+X77</f>
        <v>0</v>
      </c>
      <c r="AC77" s="1685">
        <f>N77+P77+Z77</f>
        <v>0</v>
      </c>
      <c r="AD77" s="1686"/>
    </row>
    <row r="78" spans="1:30" s="176" customFormat="1" ht="51.75" customHeight="1" x14ac:dyDescent="0.2">
      <c r="A78" s="858"/>
      <c r="B78" s="902"/>
      <c r="C78" s="906"/>
      <c r="D78" s="904" t="s">
        <v>1051</v>
      </c>
      <c r="E78" s="905"/>
      <c r="F78" s="906"/>
      <c r="G78" s="907"/>
      <c r="H78" s="1889"/>
      <c r="I78" s="909"/>
      <c r="J78" s="910"/>
      <c r="K78" s="910"/>
      <c r="L78" s="910"/>
      <c r="M78" s="906"/>
      <c r="N78" s="1890"/>
      <c r="O78" s="1891"/>
      <c r="P78" s="1892"/>
      <c r="Q78" s="1893"/>
      <c r="R78" s="1894"/>
      <c r="S78" s="1893"/>
      <c r="T78" s="1895"/>
      <c r="U78" s="909"/>
      <c r="V78" s="910"/>
      <c r="W78" s="1896"/>
      <c r="X78" s="1896"/>
      <c r="Y78" s="915"/>
      <c r="Z78" s="916"/>
      <c r="AA78" s="1897"/>
      <c r="AB78" s="1898"/>
      <c r="AC78" s="1899"/>
      <c r="AD78" s="1900" t="s">
        <v>772</v>
      </c>
    </row>
    <row r="79" spans="1:30" s="176" customFormat="1" ht="51.75" customHeight="1" x14ac:dyDescent="0.2">
      <c r="A79" s="1873"/>
      <c r="B79" s="906"/>
      <c r="C79" s="906"/>
      <c r="D79" s="1901" t="s">
        <v>288</v>
      </c>
      <c r="E79" s="1902" t="s">
        <v>1052</v>
      </c>
      <c r="F79" s="906" t="s">
        <v>60</v>
      </c>
      <c r="G79" s="907">
        <f>Input_TEL!T81</f>
        <v>0</v>
      </c>
      <c r="H79" s="1889" t="s">
        <v>114</v>
      </c>
      <c r="I79" s="1903"/>
      <c r="J79" s="1894"/>
      <c r="K79" s="1894"/>
      <c r="L79" s="1894"/>
      <c r="M79" s="1904"/>
      <c r="N79" s="1890"/>
      <c r="O79" s="1891">
        <f t="shared" ref="O79:P82" si="27">Q79+S79</f>
        <v>60</v>
      </c>
      <c r="P79" s="1892">
        <f t="shared" si="27"/>
        <v>0</v>
      </c>
      <c r="Q79" s="1904"/>
      <c r="R79" s="1894"/>
      <c r="S79" s="1893">
        <f>U79*Input_TEL!S81</f>
        <v>60</v>
      </c>
      <c r="T79" s="1905">
        <v>0</v>
      </c>
      <c r="U79" s="1906">
        <f>산출기준_TEL!L123</f>
        <v>200</v>
      </c>
      <c r="V79" s="1894">
        <v>0</v>
      </c>
      <c r="W79" s="910">
        <f>$U79*(1-Input_TEL!S81)</f>
        <v>140</v>
      </c>
      <c r="X79" s="1895">
        <f>ROUND(($G79*W79),0)</f>
        <v>0</v>
      </c>
      <c r="Y79" s="915">
        <f>ROUND($U79*(1-Input_TEL!S81)+I79*Input_TEL!R81/Input_TEL!$AG$38,1)</f>
        <v>140</v>
      </c>
      <c r="Z79" s="916">
        <f>ROUND(Y79*G79,0)</f>
        <v>0</v>
      </c>
      <c r="AA79" s="1897">
        <f t="shared" ref="AA79:AA84" si="28">SUM(J79,V79)</f>
        <v>0</v>
      </c>
      <c r="AB79" s="1898">
        <v>0</v>
      </c>
      <c r="AC79" s="1899">
        <v>0</v>
      </c>
      <c r="AD79" s="1900" t="s">
        <v>772</v>
      </c>
    </row>
    <row r="80" spans="1:30" s="176" customFormat="1" ht="51.75" customHeight="1" x14ac:dyDescent="0.2">
      <c r="A80" s="1873"/>
      <c r="B80" s="906"/>
      <c r="C80" s="906"/>
      <c r="D80" s="1901" t="s">
        <v>525</v>
      </c>
      <c r="E80" s="1902" t="s">
        <v>1053</v>
      </c>
      <c r="F80" s="906" t="s">
        <v>60</v>
      </c>
      <c r="G80" s="907">
        <f>Input_TEL!T82</f>
        <v>0</v>
      </c>
      <c r="H80" s="1889" t="s">
        <v>317</v>
      </c>
      <c r="I80" s="1903"/>
      <c r="J80" s="1894"/>
      <c r="K80" s="1894"/>
      <c r="L80" s="1894"/>
      <c r="M80" s="1904"/>
      <c r="N80" s="1890"/>
      <c r="O80" s="1891">
        <f t="shared" si="27"/>
        <v>75</v>
      </c>
      <c r="P80" s="1892">
        <f t="shared" si="27"/>
        <v>0</v>
      </c>
      <c r="Q80" s="1904"/>
      <c r="R80" s="1894"/>
      <c r="S80" s="1893">
        <f>U80*Input_TEL!S82</f>
        <v>75</v>
      </c>
      <c r="T80" s="1905">
        <f>ROUND(($G80*S80),0)</f>
        <v>0</v>
      </c>
      <c r="U80" s="1907">
        <f>산출기준_TEL!L124</f>
        <v>250</v>
      </c>
      <c r="V80" s="1894">
        <f>ROUND(U80*G80,0)</f>
        <v>0</v>
      </c>
      <c r="W80" s="910">
        <f>$U80*(1-Input_TEL!S82)</f>
        <v>175</v>
      </c>
      <c r="X80" s="1895">
        <f>ROUND(($G80*W80),0)</f>
        <v>0</v>
      </c>
      <c r="Y80" s="1905">
        <f>ROUND($U80*(1-Input_TEL!S82)+I80*Input_TEL!R82/Input_TEL!$AG$38,1)</f>
        <v>175</v>
      </c>
      <c r="Z80" s="1890">
        <f>ROUND(Y80*G80,0)</f>
        <v>0</v>
      </c>
      <c r="AA80" s="1897">
        <f t="shared" si="28"/>
        <v>0</v>
      </c>
      <c r="AB80" s="1898">
        <f t="shared" ref="AB80:AB84" si="29">L80+P80+X80</f>
        <v>0</v>
      </c>
      <c r="AC80" s="1899">
        <f t="shared" ref="AC80:AC84" si="30">N80+P80+Z80</f>
        <v>0</v>
      </c>
      <c r="AD80" s="1900" t="s">
        <v>772</v>
      </c>
    </row>
    <row r="81" spans="1:30" s="176" customFormat="1" ht="51.75" customHeight="1" x14ac:dyDescent="0.2">
      <c r="A81" s="1873"/>
      <c r="B81" s="906"/>
      <c r="C81" s="906"/>
      <c r="D81" s="1901" t="s">
        <v>941</v>
      </c>
      <c r="E81" s="1902" t="s">
        <v>1054</v>
      </c>
      <c r="F81" s="906" t="s">
        <v>60</v>
      </c>
      <c r="G81" s="907">
        <f>Input_TEL!T83</f>
        <v>0</v>
      </c>
      <c r="H81" s="1889" t="s">
        <v>317</v>
      </c>
      <c r="I81" s="1903"/>
      <c r="J81" s="1894"/>
      <c r="K81" s="1894"/>
      <c r="L81" s="1894"/>
      <c r="M81" s="1904"/>
      <c r="N81" s="1890"/>
      <c r="O81" s="1891">
        <f t="shared" si="27"/>
        <v>90</v>
      </c>
      <c r="P81" s="1892">
        <f t="shared" si="27"/>
        <v>0</v>
      </c>
      <c r="Q81" s="1904"/>
      <c r="R81" s="1894"/>
      <c r="S81" s="1893">
        <f>U81*Input_TEL!S83</f>
        <v>90</v>
      </c>
      <c r="T81" s="1905">
        <f>ROUND(($G81*S81),0)</f>
        <v>0</v>
      </c>
      <c r="U81" s="1907">
        <f>산출기준_TEL!L125</f>
        <v>300</v>
      </c>
      <c r="V81" s="1894">
        <f>ROUND(U81*G81,0)</f>
        <v>0</v>
      </c>
      <c r="W81" s="910">
        <f>$U81*(1-Input_TEL!S83)</f>
        <v>210</v>
      </c>
      <c r="X81" s="1895">
        <f>ROUND(($G81*W81),0)</f>
        <v>0</v>
      </c>
      <c r="Y81" s="1905">
        <f>ROUND($U81*(1-Input_TEL!S83)+I81*Input_TEL!R83/Input_TEL!$AG$38,1)</f>
        <v>210</v>
      </c>
      <c r="Z81" s="1890">
        <f>ROUND(Y81*G81,0)</f>
        <v>0</v>
      </c>
      <c r="AA81" s="1897">
        <f t="shared" si="28"/>
        <v>0</v>
      </c>
      <c r="AB81" s="1898">
        <f t="shared" si="29"/>
        <v>0</v>
      </c>
      <c r="AC81" s="1899">
        <f t="shared" si="30"/>
        <v>0</v>
      </c>
      <c r="AD81" s="1900" t="s">
        <v>772</v>
      </c>
    </row>
    <row r="82" spans="1:30" s="176" customFormat="1" ht="51.75" customHeight="1" x14ac:dyDescent="0.2">
      <c r="A82" s="1873"/>
      <c r="B82" s="1908"/>
      <c r="C82" s="1908"/>
      <c r="D82" s="1909" t="s">
        <v>160</v>
      </c>
      <c r="E82" s="1910" t="s">
        <v>1055</v>
      </c>
      <c r="F82" s="1908" t="s">
        <v>60</v>
      </c>
      <c r="G82" s="1911">
        <f>Input_TEL!T84</f>
        <v>0</v>
      </c>
      <c r="H82" s="1912" t="s">
        <v>317</v>
      </c>
      <c r="I82" s="1913"/>
      <c r="J82" s="1914"/>
      <c r="K82" s="1914"/>
      <c r="L82" s="1914"/>
      <c r="M82" s="1915"/>
      <c r="N82" s="1916"/>
      <c r="O82" s="1891">
        <f t="shared" si="27"/>
        <v>108</v>
      </c>
      <c r="P82" s="1892">
        <f t="shared" si="27"/>
        <v>0</v>
      </c>
      <c r="Q82" s="1915"/>
      <c r="R82" s="1914"/>
      <c r="S82" s="1893">
        <f>U82*Input_TEL!S84</f>
        <v>108</v>
      </c>
      <c r="T82" s="1905">
        <f>ROUND(($G82*S82),0)</f>
        <v>0</v>
      </c>
      <c r="U82" s="1917">
        <f>산출기준_TEL!L126</f>
        <v>360</v>
      </c>
      <c r="V82" s="1914">
        <f>ROUND(U82*G82,0)</f>
        <v>0</v>
      </c>
      <c r="W82" s="910">
        <f>$U82*(1-Input_TEL!S84)</f>
        <v>251.99999999999997</v>
      </c>
      <c r="X82" s="1895">
        <f>ROUND(($G82*W82),0)</f>
        <v>0</v>
      </c>
      <c r="Y82" s="1918">
        <f>ROUND($U82*(1-Input_TEL!S84)+I82*Input_TEL!R84/Input_TEL!$AG$38,1)</f>
        <v>252</v>
      </c>
      <c r="Z82" s="1916">
        <f>ROUND(Y82*G82,0)</f>
        <v>0</v>
      </c>
      <c r="AA82" s="1919">
        <f t="shared" si="28"/>
        <v>0</v>
      </c>
      <c r="AB82" s="1920">
        <f t="shared" si="29"/>
        <v>0</v>
      </c>
      <c r="AC82" s="1921">
        <f t="shared" si="30"/>
        <v>0</v>
      </c>
      <c r="AD82" s="1900" t="s">
        <v>772</v>
      </c>
    </row>
    <row r="83" spans="1:30" s="176" customFormat="1" ht="51.75" customHeight="1" x14ac:dyDescent="0.2">
      <c r="A83" s="1873"/>
      <c r="B83" s="842" t="s">
        <v>901</v>
      </c>
      <c r="C83" s="842" t="s">
        <v>1041</v>
      </c>
      <c r="D83" s="944" t="s">
        <v>1057</v>
      </c>
      <c r="E83" s="190"/>
      <c r="F83" s="140" t="s">
        <v>60</v>
      </c>
      <c r="G83" s="945">
        <f>Input_TEL!T85</f>
        <v>6</v>
      </c>
      <c r="H83" s="844" t="s">
        <v>114</v>
      </c>
      <c r="I83" s="1922"/>
      <c r="J83" s="1923"/>
      <c r="K83" s="1923">
        <f>Input_TEL!AG39</f>
        <v>161</v>
      </c>
      <c r="L83" s="1923">
        <f>G83*K83</f>
        <v>966</v>
      </c>
      <c r="M83" s="1923">
        <f>K83</f>
        <v>161</v>
      </c>
      <c r="N83" s="1924">
        <f>L83</f>
        <v>966</v>
      </c>
      <c r="O83" s="1925"/>
      <c r="P83" s="1926"/>
      <c r="Q83" s="1927"/>
      <c r="R83" s="1926"/>
      <c r="S83" s="1927"/>
      <c r="T83" s="1928"/>
      <c r="U83" s="1929"/>
      <c r="V83" s="1926"/>
      <c r="W83" s="1930"/>
      <c r="X83" s="1930"/>
      <c r="Y83" s="1931"/>
      <c r="Z83" s="1932"/>
      <c r="AA83" s="1933">
        <f t="shared" si="28"/>
        <v>0</v>
      </c>
      <c r="AB83" s="1934">
        <f t="shared" si="29"/>
        <v>966</v>
      </c>
      <c r="AC83" s="1935">
        <f t="shared" si="30"/>
        <v>966</v>
      </c>
      <c r="AD83" s="950"/>
    </row>
    <row r="84" spans="1:30" ht="51.75" customHeight="1" x14ac:dyDescent="0.15">
      <c r="A84" s="858"/>
      <c r="B84" s="1709" t="s">
        <v>1059</v>
      </c>
      <c r="C84" s="1709"/>
      <c r="D84" s="1710"/>
      <c r="E84" s="1711"/>
      <c r="F84" s="1712"/>
      <c r="G84" s="1713"/>
      <c r="H84" s="1714"/>
      <c r="I84" s="1715"/>
      <c r="J84" s="1716">
        <f>SUM(J35:J82)</f>
        <v>8398</v>
      </c>
      <c r="K84" s="1716"/>
      <c r="L84" s="1716">
        <f>SUM(L35:L83)</f>
        <v>6847</v>
      </c>
      <c r="M84" s="1936"/>
      <c r="N84" s="1723">
        <f>SUM(N35:N83)</f>
        <v>6002</v>
      </c>
      <c r="O84" s="1937"/>
      <c r="P84" s="1716">
        <f>SUM(P35:P82)</f>
        <v>5427</v>
      </c>
      <c r="Q84" s="1938"/>
      <c r="R84" s="1716">
        <f>SUM(R35:R82)</f>
        <v>3596</v>
      </c>
      <c r="S84" s="1938"/>
      <c r="T84" s="1939">
        <f>SUM(T35:T82)</f>
        <v>1831</v>
      </c>
      <c r="U84" s="1715"/>
      <c r="V84" s="1716">
        <f>SUM(V35:V82)</f>
        <v>6105</v>
      </c>
      <c r="W84" s="1939"/>
      <c r="X84" s="1716">
        <f>SUM(X35:X82)</f>
        <v>4273</v>
      </c>
      <c r="Y84" s="721"/>
      <c r="Z84" s="1723">
        <f>SUM(Z35:Z83)</f>
        <v>5472</v>
      </c>
      <c r="AA84" s="1724">
        <f t="shared" si="28"/>
        <v>14503</v>
      </c>
      <c r="AB84" s="1725">
        <f t="shared" si="29"/>
        <v>16547</v>
      </c>
      <c r="AC84" s="1726">
        <f t="shared" si="30"/>
        <v>16901</v>
      </c>
      <c r="AD84" s="1727"/>
    </row>
    <row r="85" spans="1:30" ht="51.75" customHeight="1" x14ac:dyDescent="0.15">
      <c r="A85" s="208" t="s">
        <v>1060</v>
      </c>
      <c r="B85" s="977" t="s">
        <v>346</v>
      </c>
      <c r="C85" s="977" t="s">
        <v>1063</v>
      </c>
      <c r="D85" s="1626" t="s">
        <v>95</v>
      </c>
      <c r="E85" s="1799" t="s">
        <v>1570</v>
      </c>
      <c r="F85" s="1762"/>
      <c r="G85" s="1763"/>
      <c r="H85" s="1764"/>
      <c r="I85" s="1765"/>
      <c r="J85" s="1630"/>
      <c r="K85" s="1630"/>
      <c r="L85" s="1630"/>
      <c r="M85" s="1767"/>
      <c r="N85" s="1631"/>
      <c r="O85" s="1729"/>
      <c r="P85" s="1630"/>
      <c r="Q85" s="1630"/>
      <c r="R85" s="1630"/>
      <c r="S85" s="1630"/>
      <c r="T85" s="1730"/>
      <c r="U85" s="1765"/>
      <c r="V85" s="1630"/>
      <c r="W85" s="1730"/>
      <c r="X85" s="1730"/>
      <c r="Y85" s="1831"/>
      <c r="Z85" s="1631"/>
      <c r="AA85" s="1940"/>
      <c r="AB85" s="1941"/>
      <c r="AC85" s="1672"/>
      <c r="AD85" s="1768"/>
    </row>
    <row r="86" spans="1:30" s="176" customFormat="1" ht="51.75" customHeight="1" x14ac:dyDescent="0.2">
      <c r="A86" s="858"/>
      <c r="B86" s="882"/>
      <c r="C86" s="882"/>
      <c r="D86" s="1673"/>
      <c r="E86" s="1733" t="s">
        <v>1562</v>
      </c>
      <c r="F86" s="1775" t="s">
        <v>1265</v>
      </c>
      <c r="G86" s="1771">
        <f>Input_TEL!I8</f>
        <v>1</v>
      </c>
      <c r="H86" s="1772" t="str">
        <f>Input_TEL!$AI$8</f>
        <v>상</v>
      </c>
      <c r="I86" s="864" cm="1">
        <f t="array" ref="I86">IF(H86="상",산출기준_TEL!G134,IF(H86="중",산출기준_TEL!H134,IF(H86="하",산출기준_TEL!I134,fault)))</f>
        <v>200</v>
      </c>
      <c r="J86" s="1676">
        <f>ROUND(($G86*I86),0)</f>
        <v>200</v>
      </c>
      <c r="K86" s="1676">
        <f>$I86*(1-Input_TEL!F8)</f>
        <v>140</v>
      </c>
      <c r="L86" s="1676">
        <f>ROUND(($G86*K86),0)</f>
        <v>140</v>
      </c>
      <c r="M86" s="1690">
        <f>$I86*(1-Input_TEL!F8-Input_TEL!G8)</f>
        <v>120</v>
      </c>
      <c r="N86" s="1691">
        <f>ROUND(M86*G86,0)</f>
        <v>120</v>
      </c>
      <c r="O86" s="1677">
        <f t="shared" ref="O86:P90" si="31">Q86+S86</f>
        <v>88.114285714285728</v>
      </c>
      <c r="P86" s="1638">
        <f t="shared" si="31"/>
        <v>88</v>
      </c>
      <c r="Q86" s="1773">
        <f>$I86*(Input_TEL!F8)/Input_TEL!$AG$37</f>
        <v>85.714285714285722</v>
      </c>
      <c r="R86" s="1690">
        <f>ROUND(($G86*Q86),0)</f>
        <v>86</v>
      </c>
      <c r="S86" s="1773">
        <f>U86*Input_TEL!H8</f>
        <v>2.4</v>
      </c>
      <c r="T86" s="1842">
        <f>ROUND(($G86*S86),0)</f>
        <v>2</v>
      </c>
      <c r="U86" s="1735">
        <f>산출기준_TEL!L134</f>
        <v>8</v>
      </c>
      <c r="V86" s="1676">
        <f>ROUND(U86*G86,0)</f>
        <v>8</v>
      </c>
      <c r="W86" s="1676">
        <f>$U86*(1-Input_TEL!H8)</f>
        <v>5.6</v>
      </c>
      <c r="X86" s="1698">
        <f>ROUND(($G86*W86),0)</f>
        <v>6</v>
      </c>
      <c r="Y86" s="1942">
        <f>ROUND($U86*(1-Input_TEL!H8)+I86*Input_TEL!G8/Input_TEL!$AG$38,0)</f>
        <v>34</v>
      </c>
      <c r="Z86" s="1691">
        <f>ROUND(Y86*G86,0)</f>
        <v>34</v>
      </c>
      <c r="AA86" s="1683">
        <f>SUM(J86,V86)</f>
        <v>208</v>
      </c>
      <c r="AB86" s="1684">
        <f>L86+P86+X86</f>
        <v>234</v>
      </c>
      <c r="AC86" s="1685">
        <f>N86+P86+Z86</f>
        <v>242</v>
      </c>
      <c r="AD86" s="1774"/>
    </row>
    <row r="87" spans="1:30" s="176" customFormat="1" ht="51.75" customHeight="1" x14ac:dyDescent="0.2">
      <c r="A87" s="858"/>
      <c r="B87" s="882"/>
      <c r="C87" s="882"/>
      <c r="D87" s="1673"/>
      <c r="E87" s="1733" t="s">
        <v>1370</v>
      </c>
      <c r="F87" s="1775" t="s">
        <v>1265</v>
      </c>
      <c r="G87" s="1771">
        <f>Input_TEL!I9</f>
        <v>0</v>
      </c>
      <c r="H87" s="1800" t="s">
        <v>114</v>
      </c>
      <c r="I87" s="1943">
        <f>산출기준_TEL!H143</f>
        <v>300</v>
      </c>
      <c r="J87" s="1676">
        <f>ROUND(($G87*I87),0)</f>
        <v>0</v>
      </c>
      <c r="K87" s="1676">
        <f>$I87*(1-Input_TEL!F9)</f>
        <v>210</v>
      </c>
      <c r="L87" s="1676">
        <f>ROUND(($G87*K87),0)</f>
        <v>0</v>
      </c>
      <c r="M87" s="1690">
        <f>$I87*(1-Input_TEL!F9-Input_TEL!G9)</f>
        <v>180</v>
      </c>
      <c r="N87" s="1691">
        <f>ROUND(M87*G87,0)</f>
        <v>0</v>
      </c>
      <c r="O87" s="1677">
        <f t="shared" si="31"/>
        <v>130.97142857142859</v>
      </c>
      <c r="P87" s="1638">
        <f t="shared" si="31"/>
        <v>0</v>
      </c>
      <c r="Q87" s="1773">
        <f>$I87*(Input_TEL!F9)/Input_TEL!$AG$37</f>
        <v>128.57142857142858</v>
      </c>
      <c r="R87" s="1690">
        <f>ROUND(($G87*Q87),0)</f>
        <v>0</v>
      </c>
      <c r="S87" s="1773">
        <f>U87*Input_TEL!H9</f>
        <v>2.4</v>
      </c>
      <c r="T87" s="1842">
        <f>ROUND(($G87*S87),0)</f>
        <v>0</v>
      </c>
      <c r="U87" s="1735">
        <f>산출기준_TEL!L135</f>
        <v>8</v>
      </c>
      <c r="V87" s="1676">
        <f>ROUND(U87*G87,0)</f>
        <v>0</v>
      </c>
      <c r="W87" s="1676">
        <f>$U87*(1-Input_TEL!H9)</f>
        <v>5.6</v>
      </c>
      <c r="X87" s="1676">
        <f>ROUND(($G87*W87),0)</f>
        <v>0</v>
      </c>
      <c r="Y87" s="1942">
        <f>ROUND($U87*(1-Input_TEL!H9)+I87*Input_TEL!G9/Input_TEL!$AG$38,0)</f>
        <v>48</v>
      </c>
      <c r="Z87" s="1691">
        <f>ROUND(Y87*G87,0)</f>
        <v>0</v>
      </c>
      <c r="AA87" s="1683">
        <f>SUM(J87,V87)</f>
        <v>0</v>
      </c>
      <c r="AB87" s="1684">
        <f>L87+P87+X87</f>
        <v>0</v>
      </c>
      <c r="AC87" s="1685">
        <f>N87+P87+Z87</f>
        <v>0</v>
      </c>
      <c r="AD87" s="1774"/>
    </row>
    <row r="88" spans="1:30" s="176" customFormat="1" ht="51.75" customHeight="1" x14ac:dyDescent="0.2">
      <c r="A88" s="858"/>
      <c r="B88" s="1687"/>
      <c r="C88" s="1687"/>
      <c r="D88" s="1688"/>
      <c r="E88" s="1746" t="s">
        <v>1373</v>
      </c>
      <c r="F88" s="1747" t="s">
        <v>1265</v>
      </c>
      <c r="G88" s="1771">
        <f>Input_TEL!I10</f>
        <v>1</v>
      </c>
      <c r="H88" s="1772" t="str">
        <f>Input_TEL!$AI$8</f>
        <v>상</v>
      </c>
      <c r="I88" s="864" cm="1">
        <f t="array" ref="I88">IF(H88="상",산출기준_TEL!G136,IF(H88="중",산출기준_TEL!H136,IF(H88="하",산출기준_TEL!I136,fault)))</f>
        <v>200</v>
      </c>
      <c r="J88" s="1753">
        <f>ROUND(($G88*I88),0)</f>
        <v>200</v>
      </c>
      <c r="K88" s="1676">
        <f>$I88*(1-Input_TEL!F10)</f>
        <v>140</v>
      </c>
      <c r="L88" s="1676">
        <f>ROUND(($G88*K88),0)</f>
        <v>140</v>
      </c>
      <c r="M88" s="1690">
        <f>$I88*(1-Input_TEL!F10-Input_TEL!G10)</f>
        <v>120</v>
      </c>
      <c r="N88" s="1691">
        <f>ROUND(M88*G88,0)</f>
        <v>120</v>
      </c>
      <c r="O88" s="1677">
        <f t="shared" si="31"/>
        <v>88.114285714285728</v>
      </c>
      <c r="P88" s="1638">
        <f t="shared" si="31"/>
        <v>88</v>
      </c>
      <c r="Q88" s="1773">
        <f>$I88*(Input_TEL!F10)/Input_TEL!$AG$37</f>
        <v>85.714285714285722</v>
      </c>
      <c r="R88" s="1690">
        <f>ROUND(($G88*Q88),0)</f>
        <v>86</v>
      </c>
      <c r="S88" s="1773">
        <f>U88*Input_TEL!H10</f>
        <v>2.4</v>
      </c>
      <c r="T88" s="1842">
        <f>ROUND(($G88*S88),0)</f>
        <v>2</v>
      </c>
      <c r="U88" s="1735">
        <f>산출기준_TEL!L136</f>
        <v>8</v>
      </c>
      <c r="V88" s="1753">
        <f>ROUND(U88*G88,0)</f>
        <v>8</v>
      </c>
      <c r="W88" s="1676">
        <f>$U88*(1-Input_TEL!H10)</f>
        <v>5.6</v>
      </c>
      <c r="X88" s="1676">
        <f>ROUND(($G88*W88),0)</f>
        <v>6</v>
      </c>
      <c r="Y88" s="1942">
        <f>ROUND($U88*(1-Input_TEL!H10)+I88*Input_TEL!G10/Input_TEL!$AG$38,0)</f>
        <v>34</v>
      </c>
      <c r="Z88" s="1691">
        <f>ROUND(Y88*G88,0)</f>
        <v>34</v>
      </c>
      <c r="AA88" s="1757">
        <f>SUM(J88,V88)</f>
        <v>208</v>
      </c>
      <c r="AB88" s="1758">
        <f>L88+P88+X88</f>
        <v>234</v>
      </c>
      <c r="AC88" s="1759">
        <f>N88+P88+Z88</f>
        <v>242</v>
      </c>
      <c r="AD88" s="1760"/>
    </row>
    <row r="89" spans="1:30" s="176" customFormat="1" ht="51.75" customHeight="1" x14ac:dyDescent="0.2">
      <c r="A89" s="858"/>
      <c r="B89" s="1687"/>
      <c r="C89" s="1687"/>
      <c r="D89" s="1688"/>
      <c r="E89" s="1746" t="s">
        <v>1571</v>
      </c>
      <c r="F89" s="1747" t="s">
        <v>1265</v>
      </c>
      <c r="G89" s="1771">
        <f>Input_TEL!I11</f>
        <v>0</v>
      </c>
      <c r="H89" s="1800" t="s">
        <v>114</v>
      </c>
      <c r="I89" s="1943">
        <f>산출기준_TEL!H137</f>
        <v>60</v>
      </c>
      <c r="J89" s="1676">
        <f>ROUND(($G89*I89),0)</f>
        <v>0</v>
      </c>
      <c r="K89" s="1676">
        <f>$I89*(1-Input_TEL!F11)</f>
        <v>42</v>
      </c>
      <c r="L89" s="1676">
        <f>ROUND(($G89*K89),0)</f>
        <v>0</v>
      </c>
      <c r="M89" s="1690">
        <f>$I89*(1-Input_TEL!F11-Input_TEL!G11)</f>
        <v>36</v>
      </c>
      <c r="N89" s="1691">
        <f>ROUND(M89*G89,0)</f>
        <v>0</v>
      </c>
      <c r="O89" s="1677">
        <f t="shared" si="31"/>
        <v>28.114285714285714</v>
      </c>
      <c r="P89" s="1638">
        <f t="shared" si="31"/>
        <v>0</v>
      </c>
      <c r="Q89" s="1773">
        <f>$I89*(Input_TEL!F11)/Input_TEL!$AG$37</f>
        <v>25.714285714285715</v>
      </c>
      <c r="R89" s="1690">
        <f>ROUND(($G89*Q89),0)</f>
        <v>0</v>
      </c>
      <c r="S89" s="1773">
        <f>U89*Input_TEL!H11</f>
        <v>2.4</v>
      </c>
      <c r="T89" s="1842">
        <f>ROUND(($G89*S89),0)</f>
        <v>0</v>
      </c>
      <c r="U89" s="1735">
        <f>산출기준_TEL!L137</f>
        <v>8</v>
      </c>
      <c r="V89" s="1753">
        <f>ROUND(U89*G89,0)</f>
        <v>0</v>
      </c>
      <c r="W89" s="1676">
        <f>$U89*(1-Input_TEL!H11)</f>
        <v>5.6</v>
      </c>
      <c r="X89" s="1676">
        <f>ROUND(($G89*W89),0)</f>
        <v>0</v>
      </c>
      <c r="Y89" s="1942">
        <f>ROUND($U89*(1-Input_TEL!H11)+I89*Input_TEL!G11/Input_TEL!$AG$38,0)</f>
        <v>14</v>
      </c>
      <c r="Z89" s="1691">
        <f>ROUND(Y89*G89,0)</f>
        <v>0</v>
      </c>
      <c r="AA89" s="1757">
        <f>SUM(J89,V89)</f>
        <v>0</v>
      </c>
      <c r="AB89" s="1758">
        <f>L89+P89+X89</f>
        <v>0</v>
      </c>
      <c r="AC89" s="1759">
        <f>N89+P89+Z89</f>
        <v>0</v>
      </c>
      <c r="AD89" s="1760"/>
    </row>
    <row r="90" spans="1:30" s="176" customFormat="1" ht="51.75" customHeight="1" x14ac:dyDescent="0.2">
      <c r="A90" s="858"/>
      <c r="B90" s="1644"/>
      <c r="C90" s="1644"/>
      <c r="D90" s="1645"/>
      <c r="E90" s="1944" t="s">
        <v>1572</v>
      </c>
      <c r="F90" s="1789" t="s">
        <v>1265</v>
      </c>
      <c r="G90" s="1790">
        <f>Input_TEL!I12</f>
        <v>0</v>
      </c>
      <c r="H90" s="1800" t="s">
        <v>114</v>
      </c>
      <c r="I90" s="1792">
        <f>산출기준_TEL!H138</f>
        <v>60</v>
      </c>
      <c r="J90" s="1651">
        <f>ROUND(($G90*I90),0)</f>
        <v>0</v>
      </c>
      <c r="K90" s="1753">
        <f>$I90*(1-Input_TEL!F12)</f>
        <v>42</v>
      </c>
      <c r="L90" s="1753">
        <f>ROUND(($G90*K90),0)</f>
        <v>0</v>
      </c>
      <c r="M90" s="1863">
        <f>$I90*(1-Input_TEL!F12-Input_TEL!G12)</f>
        <v>36</v>
      </c>
      <c r="N90" s="1751">
        <f>ROUND(M90*G90,0)</f>
        <v>0</v>
      </c>
      <c r="O90" s="1677">
        <f t="shared" si="31"/>
        <v>28.114285714285714</v>
      </c>
      <c r="P90" s="1638">
        <f t="shared" si="31"/>
        <v>0</v>
      </c>
      <c r="Q90" s="1773">
        <f>$I90*(Input_TEL!F12)/Input_TEL!$AG$37</f>
        <v>25.714285714285715</v>
      </c>
      <c r="R90" s="1652">
        <f>ROUND(($G90*Q90),0)</f>
        <v>0</v>
      </c>
      <c r="S90" s="1773">
        <f>U90*Input_TEL!H12</f>
        <v>2.4</v>
      </c>
      <c r="T90" s="1851">
        <f>ROUND(($G90*S90),0)</f>
        <v>0</v>
      </c>
      <c r="U90" s="1749">
        <f>산출기준_TEL!L138</f>
        <v>8</v>
      </c>
      <c r="V90" s="1753">
        <f>ROUND(U90*G90,0)</f>
        <v>0</v>
      </c>
      <c r="W90" s="1753">
        <f>$U90*(1-Input_TEL!H12)</f>
        <v>5.6</v>
      </c>
      <c r="X90" s="1753">
        <f>ROUND(($G90*W90),0)</f>
        <v>0</v>
      </c>
      <c r="Y90" s="1945">
        <f>ROUND($U90*(1-Input_TEL!H12)+I90*Input_TEL!G12/Input_TEL!$AG$38,0)</f>
        <v>14</v>
      </c>
      <c r="Z90" s="1751">
        <f>ROUND(Y90*G90,0)</f>
        <v>0</v>
      </c>
      <c r="AA90" s="1757">
        <f>SUM(J90,V90)</f>
        <v>0</v>
      </c>
      <c r="AB90" s="1758">
        <f>L90+P90+X90</f>
        <v>0</v>
      </c>
      <c r="AC90" s="1759">
        <f>N90+P90+Z90</f>
        <v>0</v>
      </c>
      <c r="AD90" s="1797"/>
    </row>
    <row r="91" spans="1:30" s="176" customFormat="1" ht="51.75" customHeight="1" x14ac:dyDescent="0.2">
      <c r="A91" s="858"/>
      <c r="B91" s="977" t="s">
        <v>354</v>
      </c>
      <c r="C91" s="977" t="s">
        <v>1065</v>
      </c>
      <c r="D91" s="1824" t="s">
        <v>95</v>
      </c>
      <c r="E91" s="1946" t="s">
        <v>1573</v>
      </c>
      <c r="F91" s="1947"/>
      <c r="G91" s="1948"/>
      <c r="H91" s="1629"/>
      <c r="I91" s="1801"/>
      <c r="J91" s="1802"/>
      <c r="K91" s="1630"/>
      <c r="L91" s="1630"/>
      <c r="M91" s="1767"/>
      <c r="N91" s="1631"/>
      <c r="O91" s="1949"/>
      <c r="P91" s="1730"/>
      <c r="Q91" s="1730"/>
      <c r="R91" s="1730"/>
      <c r="S91" s="1730"/>
      <c r="T91" s="1730"/>
      <c r="U91" s="1950"/>
      <c r="V91" s="1630"/>
      <c r="W91" s="1730"/>
      <c r="X91" s="1730"/>
      <c r="Y91" s="1951"/>
      <c r="Z91" s="1631"/>
      <c r="AA91" s="1940"/>
      <c r="AB91" s="1941"/>
      <c r="AC91" s="1672"/>
      <c r="AD91" s="1813"/>
    </row>
    <row r="92" spans="1:30" s="176" customFormat="1" ht="51.75" customHeight="1" x14ac:dyDescent="0.2">
      <c r="A92" s="858"/>
      <c r="B92" s="882"/>
      <c r="C92" s="882"/>
      <c r="D92" s="1673"/>
      <c r="E92" s="1733" t="s">
        <v>1562</v>
      </c>
      <c r="F92" s="861" t="s">
        <v>138</v>
      </c>
      <c r="G92" s="1744">
        <v>0</v>
      </c>
      <c r="H92" s="1772" t="str">
        <f>Input_TEL!$AI$8</f>
        <v>상</v>
      </c>
      <c r="I92" s="864" cm="1">
        <f t="array" ref="I92">IF(H92="상",산출기준_TEL!G142,IF(H92="중",산출기준_TEL!H142,IF(H92="하",산출기준_TEL!I142,fault)))</f>
        <v>500</v>
      </c>
      <c r="J92" s="1676">
        <f>ROUND(($G92*I92),0)</f>
        <v>0</v>
      </c>
      <c r="K92" s="1676">
        <f>$I92*(1-Input_TEL!F8)</f>
        <v>350</v>
      </c>
      <c r="L92" s="1676">
        <f>ROUND(($G92*K92),0)</f>
        <v>0</v>
      </c>
      <c r="M92" s="1690">
        <f>$I92*(1-Input_TEL!F8-Input_TEL!G8)</f>
        <v>300</v>
      </c>
      <c r="N92" s="1691">
        <f>ROUND(M92*G92,0)</f>
        <v>0</v>
      </c>
      <c r="O92" s="1677">
        <f t="shared" ref="O92:P96" si="32">Q92+S92</f>
        <v>216.68571428571431</v>
      </c>
      <c r="P92" s="1638">
        <f t="shared" si="32"/>
        <v>0</v>
      </c>
      <c r="Q92" s="1773">
        <f>$I92*(Input_TEL!F8)/Input_TEL!$AG$37</f>
        <v>214.28571428571431</v>
      </c>
      <c r="R92" s="1690">
        <f>ROUND(($G92*Q92),0)</f>
        <v>0</v>
      </c>
      <c r="S92" s="1773">
        <f>U92*Input_TEL!H8</f>
        <v>2.4</v>
      </c>
      <c r="T92" s="1842">
        <f>ROUND(($G92*S92),0)</f>
        <v>0</v>
      </c>
      <c r="U92" s="1735">
        <f>산출기준_TEL!L142</f>
        <v>8</v>
      </c>
      <c r="V92" s="1676">
        <f>ROUND(U92*G92,0)</f>
        <v>0</v>
      </c>
      <c r="W92" s="1676">
        <f>$U92*(1-Input_TEL!H8)</f>
        <v>5.6</v>
      </c>
      <c r="X92" s="1676">
        <f>ROUND(($G86*W86),0)</f>
        <v>6</v>
      </c>
      <c r="Y92" s="1942">
        <f>ROUND($U92*(1-Input_TEL!H8)+I92*Input_TEL!G8/Input_TEL!$AG$38,0)</f>
        <v>77</v>
      </c>
      <c r="Z92" s="1691">
        <f>ROUND(Y92*G92,0)</f>
        <v>0</v>
      </c>
      <c r="AA92" s="1683">
        <f>SUM(J92,V92)</f>
        <v>0</v>
      </c>
      <c r="AB92" s="1684">
        <f>L92+P92+X92</f>
        <v>6</v>
      </c>
      <c r="AC92" s="1685">
        <f>N92+P92+Z92</f>
        <v>0</v>
      </c>
      <c r="AD92" s="1774"/>
    </row>
    <row r="93" spans="1:30" s="176" customFormat="1" ht="51.75" customHeight="1" x14ac:dyDescent="0.2">
      <c r="A93" s="858"/>
      <c r="B93" s="882"/>
      <c r="C93" s="882"/>
      <c r="D93" s="1673"/>
      <c r="E93" s="1733" t="s">
        <v>1574</v>
      </c>
      <c r="F93" s="861" t="s">
        <v>138</v>
      </c>
      <c r="G93" s="1771">
        <f>Input_TEL!I9</f>
        <v>0</v>
      </c>
      <c r="H93" s="1800" t="s">
        <v>114</v>
      </c>
      <c r="I93" s="1943">
        <f>산출기준_TEL!H143</f>
        <v>300</v>
      </c>
      <c r="J93" s="1676">
        <f>ROUND(($G93*I93),0)</f>
        <v>0</v>
      </c>
      <c r="K93" s="1676">
        <f>$I93*(1-Input_TEL!F9)</f>
        <v>210</v>
      </c>
      <c r="L93" s="1676">
        <f>ROUND(($G93*K93),0)</f>
        <v>0</v>
      </c>
      <c r="M93" s="1690">
        <f>$I93*(1-Input_TEL!F9-Input_TEL!G9)</f>
        <v>180</v>
      </c>
      <c r="N93" s="1691">
        <f>ROUND(M93*G93,0)</f>
        <v>0</v>
      </c>
      <c r="O93" s="1677">
        <f t="shared" si="32"/>
        <v>130.97142857142859</v>
      </c>
      <c r="P93" s="1638">
        <f t="shared" si="32"/>
        <v>0</v>
      </c>
      <c r="Q93" s="1773">
        <f>$I93*(Input_TEL!F9)/Input_TEL!$AG$37</f>
        <v>128.57142857142858</v>
      </c>
      <c r="R93" s="1690">
        <f>ROUND(($G93*Q93),0)</f>
        <v>0</v>
      </c>
      <c r="S93" s="1773">
        <f>U93*Input_TEL!H9</f>
        <v>2.4</v>
      </c>
      <c r="T93" s="1842">
        <f>ROUND(($G93*S93),0)</f>
        <v>0</v>
      </c>
      <c r="U93" s="1735">
        <f>산출기준_TEL!L143</f>
        <v>8</v>
      </c>
      <c r="V93" s="1676">
        <f>ROUND(U93*G93,0)</f>
        <v>0</v>
      </c>
      <c r="W93" s="1676">
        <f>$U93*(1-Input_TEL!H9)</f>
        <v>5.6</v>
      </c>
      <c r="X93" s="1676">
        <f>ROUND(($G87*W87),0)</f>
        <v>0</v>
      </c>
      <c r="Y93" s="1942">
        <f>ROUND($U93*(1-Input_TEL!H9)+I93*Input_TEL!G9/Input_TEL!$AG$38,0)</f>
        <v>48</v>
      </c>
      <c r="Z93" s="1691">
        <f>ROUND(Y93*G93,0)</f>
        <v>0</v>
      </c>
      <c r="AA93" s="1683">
        <f>SUM(J93,V93)</f>
        <v>0</v>
      </c>
      <c r="AB93" s="1684">
        <f>L93+P93+X93</f>
        <v>0</v>
      </c>
      <c r="AC93" s="1685">
        <f>N93+P93+Z93</f>
        <v>0</v>
      </c>
      <c r="AD93" s="1774"/>
    </row>
    <row r="94" spans="1:30" s="1954" customFormat="1" ht="51.75" customHeight="1" x14ac:dyDescent="0.2">
      <c r="A94" s="1776"/>
      <c r="B94" s="1777"/>
      <c r="C94" s="1777"/>
      <c r="D94" s="1952"/>
      <c r="E94" s="1733" t="s">
        <v>1565</v>
      </c>
      <c r="F94" s="861" t="s">
        <v>138</v>
      </c>
      <c r="G94" s="1744">
        <v>0</v>
      </c>
      <c r="H94" s="1772" t="str">
        <f>Input_TEL!$AI$8</f>
        <v>상</v>
      </c>
      <c r="I94" s="864" cm="1">
        <f t="array" ref="I94">IF(H94="상",산출기준_TEL!G144,IF(H94="중",산출기준_TEL!H144,IF(H94="하",산출기준_TEL!I144,fault)))</f>
        <v>500</v>
      </c>
      <c r="J94" s="1676">
        <f>ROUND(($G94*I94),0)</f>
        <v>0</v>
      </c>
      <c r="K94" s="1676">
        <f>$I94*(1-Input_TEL!F10)</f>
        <v>350</v>
      </c>
      <c r="L94" s="1676">
        <f>ROUND(($G94*K94),0)</f>
        <v>0</v>
      </c>
      <c r="M94" s="1690">
        <f>$I94*(1-Input_TEL!F10-Input_TEL!G10)</f>
        <v>300</v>
      </c>
      <c r="N94" s="1691">
        <f>ROUND(M94*G94,0)</f>
        <v>0</v>
      </c>
      <c r="O94" s="1677">
        <f t="shared" si="32"/>
        <v>216.68571428571431</v>
      </c>
      <c r="P94" s="1638">
        <f t="shared" si="32"/>
        <v>0</v>
      </c>
      <c r="Q94" s="1773">
        <f>$I94*(Input_TEL!F10)/Input_TEL!$AG$37</f>
        <v>214.28571428571431</v>
      </c>
      <c r="R94" s="1690">
        <f>ROUND(($G94*Q94),0)</f>
        <v>0</v>
      </c>
      <c r="S94" s="1773">
        <f>U94*Input_TEL!H10</f>
        <v>2.4</v>
      </c>
      <c r="T94" s="1842">
        <f>ROUND(($G94*S94),0)</f>
        <v>0</v>
      </c>
      <c r="U94" s="1735">
        <f>산출기준_TEL!L144</f>
        <v>8</v>
      </c>
      <c r="V94" s="1676">
        <f>ROUND(U94*G94,0)</f>
        <v>0</v>
      </c>
      <c r="W94" s="1676">
        <f>$U94*(1-Input_TEL!H10)</f>
        <v>5.6</v>
      </c>
      <c r="X94" s="1676">
        <f>ROUND(($G88*W88),0)</f>
        <v>6</v>
      </c>
      <c r="Y94" s="1942">
        <f>ROUND($U94*(1-Input_TEL!H10)+I94*Input_TEL!G10/Input_TEL!$AG$38,0)</f>
        <v>77</v>
      </c>
      <c r="Z94" s="1691">
        <f>ROUND(Y94*G94,0)</f>
        <v>0</v>
      </c>
      <c r="AA94" s="1757">
        <f>SUM(J94,V94)</f>
        <v>0</v>
      </c>
      <c r="AB94" s="1758">
        <f>L94+P94+X94</f>
        <v>6</v>
      </c>
      <c r="AC94" s="1759">
        <f>N94+P94+Z94</f>
        <v>0</v>
      </c>
      <c r="AD94" s="1953"/>
    </row>
    <row r="95" spans="1:30" s="176" customFormat="1" ht="51.75" customHeight="1" x14ac:dyDescent="0.2">
      <c r="A95" s="858"/>
      <c r="B95" s="882"/>
      <c r="C95" s="882"/>
      <c r="D95" s="1673"/>
      <c r="E95" s="1733" t="s">
        <v>1571</v>
      </c>
      <c r="F95" s="861" t="s">
        <v>138</v>
      </c>
      <c r="G95" s="1744">
        <v>0</v>
      </c>
      <c r="H95" s="1800" t="s">
        <v>114</v>
      </c>
      <c r="I95" s="1943">
        <f>산출기준_TEL!H145</f>
        <v>90</v>
      </c>
      <c r="J95" s="1676">
        <f>ROUND(($G95*I95),0)</f>
        <v>0</v>
      </c>
      <c r="K95" s="1676">
        <f>$I95*(1-Input_TEL!F11)</f>
        <v>62.999999999999993</v>
      </c>
      <c r="L95" s="1676">
        <f>ROUND(($G95*K95),0)</f>
        <v>0</v>
      </c>
      <c r="M95" s="1690">
        <f>$I95*(1-Input_TEL!F11-Input_TEL!G11)</f>
        <v>54</v>
      </c>
      <c r="N95" s="1691">
        <f>ROUND(M95*G95,0)</f>
        <v>0</v>
      </c>
      <c r="O95" s="1677">
        <f t="shared" si="32"/>
        <v>40.971428571428575</v>
      </c>
      <c r="P95" s="1638">
        <f t="shared" si="32"/>
        <v>0</v>
      </c>
      <c r="Q95" s="1773">
        <f>$I95*(Input_TEL!F11)/Input_TEL!$AG$37</f>
        <v>38.571428571428577</v>
      </c>
      <c r="R95" s="1690">
        <f>ROUND(($G95*Q95),0)</f>
        <v>0</v>
      </c>
      <c r="S95" s="1773">
        <f>U95*Input_TEL!H11</f>
        <v>2.4</v>
      </c>
      <c r="T95" s="1842">
        <f>ROUND(($G95*S95),0)</f>
        <v>0</v>
      </c>
      <c r="U95" s="1735">
        <f>산출기준_TEL!L145</f>
        <v>8</v>
      </c>
      <c r="V95" s="1676">
        <f>ROUND(U95*G95,0)</f>
        <v>0</v>
      </c>
      <c r="W95" s="1676">
        <f>$U95*(1-Input_TEL!H11)</f>
        <v>5.6</v>
      </c>
      <c r="X95" s="1676">
        <f>ROUND(($G89*W89),0)</f>
        <v>0</v>
      </c>
      <c r="Y95" s="1942">
        <f>ROUND($U95*(1-Input_TEL!H11)+I95*Input_TEL!G11/Input_TEL!$AG$38,0)</f>
        <v>18</v>
      </c>
      <c r="Z95" s="1691">
        <f>ROUND(Y95*G95,0)</f>
        <v>0</v>
      </c>
      <c r="AA95" s="1757">
        <f>SUM(J95,V95)</f>
        <v>0</v>
      </c>
      <c r="AB95" s="1758">
        <f>L95+P95+X95</f>
        <v>0</v>
      </c>
      <c r="AC95" s="1759">
        <f>N95+P95+Z95</f>
        <v>0</v>
      </c>
      <c r="AD95" s="1774"/>
    </row>
    <row r="96" spans="1:30" s="176" customFormat="1" ht="51.75" customHeight="1" x14ac:dyDescent="0.2">
      <c r="A96" s="858"/>
      <c r="B96" s="1687"/>
      <c r="C96" s="1687"/>
      <c r="D96" s="1688"/>
      <c r="E96" s="1955" t="s">
        <v>353</v>
      </c>
      <c r="F96" s="883" t="s">
        <v>138</v>
      </c>
      <c r="G96" s="1781">
        <f>Input_TEL!I12</f>
        <v>0</v>
      </c>
      <c r="H96" s="1800" t="s">
        <v>114</v>
      </c>
      <c r="I96" s="1943">
        <f>산출기준_TEL!H146</f>
        <v>90</v>
      </c>
      <c r="J96" s="1676">
        <f>ROUND(($G96*I96),0)</f>
        <v>0</v>
      </c>
      <c r="K96" s="1753">
        <f>$I96*(1-Input_TEL!F12)</f>
        <v>62.999999999999993</v>
      </c>
      <c r="L96" s="1753">
        <f>ROUND(($G96*K96),0)</f>
        <v>0</v>
      </c>
      <c r="M96" s="1863">
        <f>$I96*(1-Input_TEL!F12-Input_TEL!G12)</f>
        <v>54</v>
      </c>
      <c r="N96" s="1751">
        <f>ROUND(M96*G96,0)</f>
        <v>0</v>
      </c>
      <c r="O96" s="1677">
        <f t="shared" si="32"/>
        <v>40.971428571428575</v>
      </c>
      <c r="P96" s="1638">
        <f t="shared" si="32"/>
        <v>0</v>
      </c>
      <c r="Q96" s="1773">
        <f>$I96*(Input_TEL!F12)/Input_TEL!$AG$37</f>
        <v>38.571428571428577</v>
      </c>
      <c r="R96" s="1652">
        <f>ROUND(($G96*Q96),0)</f>
        <v>0</v>
      </c>
      <c r="S96" s="1773">
        <f>U96*Input_TEL!H12</f>
        <v>2.4</v>
      </c>
      <c r="T96" s="1851">
        <f>ROUND(($G96*S96),0)</f>
        <v>0</v>
      </c>
      <c r="U96" s="1735">
        <f>산출기준_TEL!L146</f>
        <v>8</v>
      </c>
      <c r="V96" s="1676">
        <f>ROUND(U96*G96,0)</f>
        <v>0</v>
      </c>
      <c r="W96" s="1753">
        <f>$U96*(1-Input_TEL!H12)</f>
        <v>5.6</v>
      </c>
      <c r="X96" s="1753">
        <f>ROUND(($G90*W90),0)</f>
        <v>0</v>
      </c>
      <c r="Y96" s="1945">
        <f>ROUND($U96*(1-Input_TEL!H12)+I96*Input_TEL!G12/Input_TEL!$AG$38,0)</f>
        <v>18</v>
      </c>
      <c r="Z96" s="1751">
        <f>ROUND(Y96*G96,0)</f>
        <v>0</v>
      </c>
      <c r="AA96" s="1757">
        <f>SUM(J96,V96)</f>
        <v>0</v>
      </c>
      <c r="AB96" s="1758">
        <f>L96+P96+X96</f>
        <v>0</v>
      </c>
      <c r="AC96" s="1759">
        <f>N96+P96+Z96</f>
        <v>0</v>
      </c>
      <c r="AD96" s="1760"/>
    </row>
    <row r="97" spans="1:31" s="176" customFormat="1" ht="51.75" customHeight="1" x14ac:dyDescent="0.2">
      <c r="A97" s="858"/>
      <c r="B97" s="977" t="s">
        <v>371</v>
      </c>
      <c r="C97" s="977" t="s">
        <v>1066</v>
      </c>
      <c r="D97" s="1626" t="s">
        <v>95</v>
      </c>
      <c r="E97" s="1946" t="s">
        <v>372</v>
      </c>
      <c r="F97" s="1762"/>
      <c r="G97" s="1628"/>
      <c r="H97" s="1629"/>
      <c r="I97" s="1765"/>
      <c r="J97" s="1630"/>
      <c r="K97" s="1630"/>
      <c r="L97" s="1630"/>
      <c r="M97" s="1767"/>
      <c r="N97" s="1631"/>
      <c r="O97" s="1949"/>
      <c r="P97" s="1730"/>
      <c r="Q97" s="1730"/>
      <c r="R97" s="1730"/>
      <c r="S97" s="1730"/>
      <c r="T97" s="1730"/>
      <c r="U97" s="1950"/>
      <c r="V97" s="1730"/>
      <c r="W97" s="1730"/>
      <c r="X97" s="1730"/>
      <c r="Y97" s="1951"/>
      <c r="Z97" s="1631"/>
      <c r="AA97" s="1940"/>
      <c r="AB97" s="1941"/>
      <c r="AC97" s="1672"/>
      <c r="AD97" s="1768"/>
    </row>
    <row r="98" spans="1:31" s="176" customFormat="1" ht="51.75" customHeight="1" x14ac:dyDescent="0.2">
      <c r="A98" s="858"/>
      <c r="B98" s="882"/>
      <c r="C98" s="882"/>
      <c r="D98" s="1673"/>
      <c r="E98" s="1733" t="s">
        <v>1562</v>
      </c>
      <c r="F98" s="861" t="s">
        <v>138</v>
      </c>
      <c r="G98" s="1744">
        <v>0</v>
      </c>
      <c r="H98" s="1772" t="str">
        <f>Input_TEL!$AI$8</f>
        <v>상</v>
      </c>
      <c r="I98" s="864" cm="1">
        <f t="array" ref="I98">IF(H98="상",산출기준_TEL!G150,IF(H98="중",산출기준_TEL!H150,IF(H98="하",산출기준_TEL!I150,fault)))</f>
        <v>500</v>
      </c>
      <c r="J98" s="1676">
        <f>ROUND(($G98*I98),0)</f>
        <v>0</v>
      </c>
      <c r="K98" s="1676">
        <f>$I98*(1-Input_TEL!F8)</f>
        <v>350</v>
      </c>
      <c r="L98" s="1676">
        <f>ROUND(($G98*K98),0)</f>
        <v>0</v>
      </c>
      <c r="M98" s="1690">
        <f>$I98*(1-Input_TEL!F8-Input_TEL!G8)</f>
        <v>300</v>
      </c>
      <c r="N98" s="1691">
        <f>ROUND(M98*G98,0)</f>
        <v>0</v>
      </c>
      <c r="O98" s="1677">
        <f t="shared" ref="O98:P102" si="33">Q98+S98</f>
        <v>214.28571428571431</v>
      </c>
      <c r="P98" s="1638">
        <f t="shared" si="33"/>
        <v>0</v>
      </c>
      <c r="Q98" s="1773">
        <f>$I98*(Input_TEL!F8)/Input_TEL!$AG$37</f>
        <v>214.28571428571431</v>
      </c>
      <c r="R98" s="1690">
        <f>ROUND(($G98*Q98),0)</f>
        <v>0</v>
      </c>
      <c r="S98" s="1773">
        <f>U98*Input_TEL!H8</f>
        <v>0</v>
      </c>
      <c r="T98" s="1842">
        <f>ROUND(($G98*S98),0)</f>
        <v>0</v>
      </c>
      <c r="U98" s="1735">
        <f>산출기준_TEL!L150</f>
        <v>0</v>
      </c>
      <c r="V98" s="1676">
        <f>ROUND(U98*G98,0)</f>
        <v>0</v>
      </c>
      <c r="W98" s="1676">
        <f>$U98*(1-Input_TEL!H8)</f>
        <v>0</v>
      </c>
      <c r="X98" s="1676">
        <f>ROUND(($G98*W98),0)</f>
        <v>0</v>
      </c>
      <c r="Y98" s="1942">
        <f>ROUND($U98*(1-Input_TEL!H8)+I98*Input_TEL!G8/Input_TEL!$AG$38,0)</f>
        <v>71</v>
      </c>
      <c r="Z98" s="1691">
        <f>ROUND(Y98*G98,0)</f>
        <v>0</v>
      </c>
      <c r="AA98" s="1683">
        <f>SUM(J98,V98)</f>
        <v>0</v>
      </c>
      <c r="AB98" s="1684">
        <f>L98+P98+X98</f>
        <v>0</v>
      </c>
      <c r="AC98" s="1685">
        <f>N98+P98+Z98</f>
        <v>0</v>
      </c>
      <c r="AD98" s="1774"/>
    </row>
    <row r="99" spans="1:31" s="176" customFormat="1" ht="51.75" customHeight="1" x14ac:dyDescent="0.2">
      <c r="A99" s="858"/>
      <c r="B99" s="882"/>
      <c r="C99" s="882"/>
      <c r="D99" s="1673"/>
      <c r="E99" s="1733" t="s">
        <v>1574</v>
      </c>
      <c r="F99" s="861" t="s">
        <v>138</v>
      </c>
      <c r="G99" s="1771">
        <f>Input_TEL!I9</f>
        <v>0</v>
      </c>
      <c r="H99" s="1800" t="s">
        <v>114</v>
      </c>
      <c r="I99" s="1943">
        <f>산출기준_TEL!H151</f>
        <v>300</v>
      </c>
      <c r="J99" s="1676">
        <f>ROUND(($G99*I99),0)</f>
        <v>0</v>
      </c>
      <c r="K99" s="1676">
        <f>$I99*(1-Input_TEL!F9)</f>
        <v>210</v>
      </c>
      <c r="L99" s="1676">
        <f>ROUND(($G99*K99),0)</f>
        <v>0</v>
      </c>
      <c r="M99" s="1690">
        <f>$I99*(1-Input_TEL!F9-Input_TEL!G9)</f>
        <v>180</v>
      </c>
      <c r="N99" s="1691">
        <f>ROUND(M99*G99,0)</f>
        <v>0</v>
      </c>
      <c r="O99" s="1677">
        <f t="shared" si="33"/>
        <v>128.57142857142858</v>
      </c>
      <c r="P99" s="1638">
        <f t="shared" si="33"/>
        <v>0</v>
      </c>
      <c r="Q99" s="1773">
        <f>$I99*(Input_TEL!F9)/Input_TEL!$AG$37</f>
        <v>128.57142857142858</v>
      </c>
      <c r="R99" s="1690">
        <f>ROUND(($G99*Q99),0)</f>
        <v>0</v>
      </c>
      <c r="S99" s="1773">
        <f>U99*Input_TEL!H9</f>
        <v>0</v>
      </c>
      <c r="T99" s="1842">
        <f>ROUND(($G99*S99),0)</f>
        <v>0</v>
      </c>
      <c r="U99" s="1735">
        <f>산출기준_TEL!L151</f>
        <v>0</v>
      </c>
      <c r="V99" s="1676">
        <f>ROUND(U99*G99,0)</f>
        <v>0</v>
      </c>
      <c r="W99" s="1676">
        <f>$U99*(1-Input_TEL!H9)</f>
        <v>0</v>
      </c>
      <c r="X99" s="1676">
        <f>ROUND(($G99*W99),0)</f>
        <v>0</v>
      </c>
      <c r="Y99" s="1942">
        <f>ROUND($U99*(1-Input_TEL!H9)+I99*Input_TEL!G9/Input_TEL!$AG$38,0)</f>
        <v>43</v>
      </c>
      <c r="Z99" s="1691">
        <f>ROUND(Y99*G99,0)</f>
        <v>0</v>
      </c>
      <c r="AA99" s="1683">
        <f>SUM(J99,V99)</f>
        <v>0</v>
      </c>
      <c r="AB99" s="1684">
        <f>L99+P99+X99</f>
        <v>0</v>
      </c>
      <c r="AC99" s="1685">
        <f>N99+P99+Z99</f>
        <v>0</v>
      </c>
      <c r="AD99" s="1774"/>
    </row>
    <row r="100" spans="1:31" s="176" customFormat="1" ht="51.75" customHeight="1" x14ac:dyDescent="0.2">
      <c r="A100" s="858"/>
      <c r="B100" s="882"/>
      <c r="C100" s="882"/>
      <c r="D100" s="1673"/>
      <c r="E100" s="1733" t="s">
        <v>1565</v>
      </c>
      <c r="F100" s="861" t="s">
        <v>138</v>
      </c>
      <c r="G100" s="1744">
        <v>0</v>
      </c>
      <c r="H100" s="1772" t="str">
        <f>Input_TEL!$AI$8</f>
        <v>상</v>
      </c>
      <c r="I100" s="864" cm="1">
        <f t="array" ref="I100">IF(H100="상",산출기준_TEL!G152,IF(H100="중",산출기준_TEL!H152,IF(H100="하",산출기준_TEL!I152,fault)))</f>
        <v>500</v>
      </c>
      <c r="J100" s="1676">
        <f>ROUND(($G100*I100),0)</f>
        <v>0</v>
      </c>
      <c r="K100" s="1676">
        <f>$I100*(1-Input_TEL!F10)</f>
        <v>350</v>
      </c>
      <c r="L100" s="1676">
        <f>ROUND(($G100*K100),0)</f>
        <v>0</v>
      </c>
      <c r="M100" s="1690">
        <f>$I100*(1-Input_TEL!F10-Input_TEL!G10)</f>
        <v>300</v>
      </c>
      <c r="N100" s="1691">
        <f>ROUND(M100*G100,0)</f>
        <v>0</v>
      </c>
      <c r="O100" s="1677">
        <f t="shared" si="33"/>
        <v>214.28571428571431</v>
      </c>
      <c r="P100" s="1638">
        <f t="shared" si="33"/>
        <v>0</v>
      </c>
      <c r="Q100" s="1773">
        <f>$I100*(Input_TEL!F10)/Input_TEL!$AG$37</f>
        <v>214.28571428571431</v>
      </c>
      <c r="R100" s="1690">
        <f>ROUND(($G100*Q100),0)</f>
        <v>0</v>
      </c>
      <c r="S100" s="1773">
        <f>U100*Input_TEL!H10</f>
        <v>0</v>
      </c>
      <c r="T100" s="1842">
        <f>ROUND(($G100*S100),0)</f>
        <v>0</v>
      </c>
      <c r="U100" s="1735">
        <f>산출기준_TEL!L152</f>
        <v>0</v>
      </c>
      <c r="V100" s="1676">
        <f>ROUND(U100*G100,0)</f>
        <v>0</v>
      </c>
      <c r="W100" s="1676">
        <f>$U100*(1-Input_TEL!H10)</f>
        <v>0</v>
      </c>
      <c r="X100" s="1676">
        <f>ROUND(($G100*W100),0)</f>
        <v>0</v>
      </c>
      <c r="Y100" s="1942">
        <f>ROUND($U100*(1-Input_TEL!H10)+I100*Input_TEL!G10/Input_TEL!$AG$38,0)</f>
        <v>71</v>
      </c>
      <c r="Z100" s="1691">
        <f>ROUND(Y100*G100,0)</f>
        <v>0</v>
      </c>
      <c r="AA100" s="1683">
        <f>SUM(J100,V100)</f>
        <v>0</v>
      </c>
      <c r="AB100" s="1684">
        <f>L100+P100+X100</f>
        <v>0</v>
      </c>
      <c r="AC100" s="1685">
        <f>N100+P100+Z100</f>
        <v>0</v>
      </c>
      <c r="AD100" s="1774"/>
    </row>
    <row r="101" spans="1:31" s="176" customFormat="1" ht="51.75" customHeight="1" x14ac:dyDescent="0.2">
      <c r="A101" s="858"/>
      <c r="B101" s="882"/>
      <c r="C101" s="882"/>
      <c r="D101" s="1673"/>
      <c r="E101" s="1733" t="s">
        <v>1571</v>
      </c>
      <c r="F101" s="861" t="s">
        <v>138</v>
      </c>
      <c r="G101" s="1744">
        <v>0</v>
      </c>
      <c r="H101" s="1800" t="s">
        <v>114</v>
      </c>
      <c r="I101" s="1943">
        <f>산출기준_TEL!H145</f>
        <v>90</v>
      </c>
      <c r="J101" s="1676">
        <f>ROUND(($G101*I101),0)</f>
        <v>0</v>
      </c>
      <c r="K101" s="1676">
        <f>$I101*(1-Input_TEL!F11)</f>
        <v>62.999999999999993</v>
      </c>
      <c r="L101" s="1676">
        <f>ROUND(($G101*K101),0)</f>
        <v>0</v>
      </c>
      <c r="M101" s="1690">
        <f>$I101*(1-Input_TEL!F11-Input_TEL!G11)</f>
        <v>54</v>
      </c>
      <c r="N101" s="1691">
        <f>ROUND(M101*G101,0)</f>
        <v>0</v>
      </c>
      <c r="O101" s="1677">
        <f t="shared" si="33"/>
        <v>38.571428571428577</v>
      </c>
      <c r="P101" s="1638">
        <f t="shared" si="33"/>
        <v>0</v>
      </c>
      <c r="Q101" s="1773">
        <f>$I101*(Input_TEL!F11)/Input_TEL!$AG$37</f>
        <v>38.571428571428577</v>
      </c>
      <c r="R101" s="1690">
        <f>ROUND(($G101*Q101),0)</f>
        <v>0</v>
      </c>
      <c r="S101" s="1773">
        <f>U101*Input_TEL!H11</f>
        <v>0</v>
      </c>
      <c r="T101" s="1842">
        <f>ROUND(($G101*S101),0)</f>
        <v>0</v>
      </c>
      <c r="U101" s="1735">
        <f>산출기준_TEL!L153</f>
        <v>0</v>
      </c>
      <c r="V101" s="1676">
        <f>ROUND(U101*G101,0)</f>
        <v>0</v>
      </c>
      <c r="W101" s="1676">
        <f>$U101*(1-Input_TEL!H11)</f>
        <v>0</v>
      </c>
      <c r="X101" s="1676">
        <f>ROUND(($G101*W101),0)</f>
        <v>0</v>
      </c>
      <c r="Y101" s="1942">
        <f>ROUND($U101*(1-Input_TEL!H11)+I101*Input_TEL!G11/Input_TEL!$AG$38,0)</f>
        <v>13</v>
      </c>
      <c r="Z101" s="1691">
        <f>ROUND(Y101*G101,0)</f>
        <v>0</v>
      </c>
      <c r="AA101" s="1683">
        <f>SUM(J101,V101)</f>
        <v>0</v>
      </c>
      <c r="AB101" s="1684">
        <f>L101+P101+X101</f>
        <v>0</v>
      </c>
      <c r="AC101" s="1685">
        <f>N101+P101+Z101</f>
        <v>0</v>
      </c>
      <c r="AD101" s="1774"/>
    </row>
    <row r="102" spans="1:31" s="176" customFormat="1" ht="51.75" customHeight="1" x14ac:dyDescent="0.2">
      <c r="A102" s="858"/>
      <c r="B102" s="882"/>
      <c r="C102" s="882"/>
      <c r="D102" s="1673"/>
      <c r="E102" s="1955" t="s">
        <v>353</v>
      </c>
      <c r="F102" s="861" t="s">
        <v>138</v>
      </c>
      <c r="G102" s="1771">
        <f>Input_TEL!I12</f>
        <v>0</v>
      </c>
      <c r="H102" s="1800" t="s">
        <v>114</v>
      </c>
      <c r="I102" s="1943">
        <f>산출기준_TEL!H146</f>
        <v>90</v>
      </c>
      <c r="J102" s="1676">
        <f>ROUND(($G102*I102),0)</f>
        <v>0</v>
      </c>
      <c r="K102" s="1676">
        <f>$I102*(1-Input_TEL!F12)</f>
        <v>62.999999999999993</v>
      </c>
      <c r="L102" s="1676">
        <f>ROUND(($G102*K102),0)</f>
        <v>0</v>
      </c>
      <c r="M102" s="1690">
        <f>$I102*(1-Input_TEL!F12-Input_TEL!G12)</f>
        <v>54</v>
      </c>
      <c r="N102" s="1691">
        <f>ROUND(M102*G102,0)</f>
        <v>0</v>
      </c>
      <c r="O102" s="1677">
        <f t="shared" si="33"/>
        <v>38.571428571428577</v>
      </c>
      <c r="P102" s="1638">
        <f t="shared" si="33"/>
        <v>0</v>
      </c>
      <c r="Q102" s="1773">
        <f>$I102*(Input_TEL!F12)/Input_TEL!$AG$37</f>
        <v>38.571428571428577</v>
      </c>
      <c r="R102" s="1652">
        <f>ROUND(($G102*Q102),0)</f>
        <v>0</v>
      </c>
      <c r="S102" s="1773">
        <f>U102*Input_TEL!H12</f>
        <v>0</v>
      </c>
      <c r="T102" s="1851">
        <f>ROUND(($G102*S102),0)</f>
        <v>0</v>
      </c>
      <c r="U102" s="1735">
        <f>산출기준_TEL!L154</f>
        <v>0</v>
      </c>
      <c r="V102" s="1676">
        <f>ROUND(U102*G102,0)</f>
        <v>0</v>
      </c>
      <c r="W102" s="1676">
        <f>$U102*(1-Input_TEL!H12)</f>
        <v>0</v>
      </c>
      <c r="X102" s="1676">
        <f>ROUND(($G102*W102),0)</f>
        <v>0</v>
      </c>
      <c r="Y102" s="1942">
        <f>ROUND($U102*(1-Input_TEL!H12)+I102*Input_TEL!G12/Input_TEL!$AG$38,0)</f>
        <v>13</v>
      </c>
      <c r="Z102" s="1691">
        <f>ROUND(Y102*G102,0)</f>
        <v>0</v>
      </c>
      <c r="AA102" s="1683">
        <f>SUM(J102,V102)</f>
        <v>0</v>
      </c>
      <c r="AB102" s="1684">
        <f>L102+P102+X102</f>
        <v>0</v>
      </c>
      <c r="AC102" s="1685">
        <f>N102+P102+Z102</f>
        <v>0</v>
      </c>
      <c r="AD102" s="1774"/>
    </row>
    <row r="103" spans="1:31" s="176" customFormat="1" ht="51.75" customHeight="1" x14ac:dyDescent="0.2">
      <c r="A103" s="858"/>
      <c r="B103" s="977" t="s">
        <v>829</v>
      </c>
      <c r="C103" s="977" t="s">
        <v>1067</v>
      </c>
      <c r="D103" s="1626" t="s">
        <v>95</v>
      </c>
      <c r="E103" s="1946" t="s">
        <v>829</v>
      </c>
      <c r="F103" s="980"/>
      <c r="G103" s="981"/>
      <c r="H103" s="1629"/>
      <c r="I103" s="983"/>
      <c r="J103" s="984"/>
      <c r="K103" s="984"/>
      <c r="L103" s="984"/>
      <c r="M103" s="980"/>
      <c r="N103" s="1631"/>
      <c r="O103" s="1956"/>
      <c r="P103" s="1704"/>
      <c r="Q103" s="1704"/>
      <c r="R103" s="1704"/>
      <c r="S103" s="1704"/>
      <c r="T103" s="1704"/>
      <c r="U103" s="1957"/>
      <c r="V103" s="1704"/>
      <c r="W103" s="1704"/>
      <c r="X103" s="1704"/>
      <c r="Y103" s="1958"/>
      <c r="Z103" s="985"/>
      <c r="AA103" s="1670"/>
      <c r="AB103" s="1671"/>
      <c r="AC103" s="1672"/>
      <c r="AD103" s="1643"/>
    </row>
    <row r="104" spans="1:31" s="176" customFormat="1" ht="51.75" customHeight="1" x14ac:dyDescent="0.2">
      <c r="A104" s="858"/>
      <c r="B104" s="1823"/>
      <c r="C104" s="1823"/>
      <c r="D104" s="1959"/>
      <c r="E104" s="1733" t="s">
        <v>1562</v>
      </c>
      <c r="F104" s="861" t="s">
        <v>97</v>
      </c>
      <c r="G104" s="1744">
        <v>0</v>
      </c>
      <c r="H104" s="1800" t="s">
        <v>114</v>
      </c>
      <c r="I104" s="1960">
        <f>산출기준_TEL!H158</f>
        <v>120</v>
      </c>
      <c r="J104" s="1676">
        <f>ROUND(($G104*I104),0)</f>
        <v>0</v>
      </c>
      <c r="K104" s="1676">
        <f>$I104*(1-Input_TEL!F8)</f>
        <v>84</v>
      </c>
      <c r="L104" s="1676">
        <f>ROUND(($G104*K104),0)</f>
        <v>0</v>
      </c>
      <c r="M104" s="1690">
        <f>$I104*(1-Input_TEL!F8-Input_TEL!G8)</f>
        <v>72</v>
      </c>
      <c r="N104" s="1691">
        <f>ROUND(M104*G104,0)</f>
        <v>0</v>
      </c>
      <c r="O104" s="1677">
        <f t="shared" ref="O104:P107" si="34">Q104+S104</f>
        <v>51.428571428571431</v>
      </c>
      <c r="P104" s="1638">
        <f t="shared" si="34"/>
        <v>0</v>
      </c>
      <c r="Q104" s="1773">
        <f>$I104*(Input_TEL!F8)/Input_TEL!$AG$37</f>
        <v>51.428571428571431</v>
      </c>
      <c r="R104" s="1690">
        <f>ROUND(($G104*Q104),0)</f>
        <v>0</v>
      </c>
      <c r="S104" s="1773">
        <f>U104*Input_TEL!H8</f>
        <v>0</v>
      </c>
      <c r="T104" s="1842">
        <f>ROUND(($G104*S104),0)</f>
        <v>0</v>
      </c>
      <c r="U104" s="1735">
        <f>산출기준_TEL!L158</f>
        <v>0</v>
      </c>
      <c r="V104" s="1676">
        <f>ROUND(U104*G104,0)</f>
        <v>0</v>
      </c>
      <c r="W104" s="1676">
        <f>$U104*(1-Input_TEL!H8)</f>
        <v>0</v>
      </c>
      <c r="X104" s="1676">
        <f>ROUND(($G104*W104),0)</f>
        <v>0</v>
      </c>
      <c r="Y104" s="1942">
        <f>ROUND($U104*(1-Input_TEL!H8)+I104*Input_TEL!G8/Input_TEL!$AG$38,0)</f>
        <v>17</v>
      </c>
      <c r="Z104" s="1691">
        <f>ROUND(Y104*G104,0)</f>
        <v>0</v>
      </c>
      <c r="AA104" s="1683">
        <f t="shared" ref="AA104:AA110" si="35">SUM(J104,V104)</f>
        <v>0</v>
      </c>
      <c r="AB104" s="1684">
        <f t="shared" ref="AB104:AB110" si="36">L104+P104+X104</f>
        <v>0</v>
      </c>
      <c r="AC104" s="1685">
        <f t="shared" ref="AC104:AC110" si="37">N104+P104+Z104</f>
        <v>0</v>
      </c>
      <c r="AD104" s="1961"/>
    </row>
    <row r="105" spans="1:31" s="176" customFormat="1" ht="51.75" customHeight="1" x14ac:dyDescent="0.2">
      <c r="A105" s="858"/>
      <c r="B105" s="1823"/>
      <c r="C105" s="1823"/>
      <c r="D105" s="1959"/>
      <c r="E105" s="1733" t="s">
        <v>1565</v>
      </c>
      <c r="F105" s="861" t="s">
        <v>1291</v>
      </c>
      <c r="G105" s="1744">
        <v>0</v>
      </c>
      <c r="H105" s="1800" t="s">
        <v>114</v>
      </c>
      <c r="I105" s="1960">
        <f>산출기준_TEL!H159</f>
        <v>80</v>
      </c>
      <c r="J105" s="1676">
        <f>ROUND(($G105*I105),0)</f>
        <v>0</v>
      </c>
      <c r="K105" s="1676">
        <f>$I105*(1-Input_TEL!F10)</f>
        <v>56</v>
      </c>
      <c r="L105" s="1676">
        <f>ROUND(($G105*K105),0)</f>
        <v>0</v>
      </c>
      <c r="M105" s="1690">
        <f>$I105*(1-Input_TEL!F10-Input_TEL!G10)</f>
        <v>48</v>
      </c>
      <c r="N105" s="1691">
        <f>ROUND(M105*G105,0)</f>
        <v>0</v>
      </c>
      <c r="O105" s="1677">
        <f t="shared" si="34"/>
        <v>34.285714285714285</v>
      </c>
      <c r="P105" s="1638">
        <f t="shared" si="34"/>
        <v>0</v>
      </c>
      <c r="Q105" s="1773">
        <f>$I105*(Input_TEL!F10)/Input_TEL!$AG$37</f>
        <v>34.285714285714285</v>
      </c>
      <c r="R105" s="1690">
        <f>ROUND(($G105*Q105),0)</f>
        <v>0</v>
      </c>
      <c r="S105" s="1773">
        <f>U105*Input_TEL!H10</f>
        <v>0</v>
      </c>
      <c r="T105" s="1842">
        <f>ROUND(($G105*S105),0)</f>
        <v>0</v>
      </c>
      <c r="U105" s="1735">
        <f>산출기준_TEL!L154</f>
        <v>0</v>
      </c>
      <c r="V105" s="1753">
        <f>ROUND(U105*G105,0)</f>
        <v>0</v>
      </c>
      <c r="W105" s="1676">
        <f>$U105*(1-Input_TEL!H10)</f>
        <v>0</v>
      </c>
      <c r="X105" s="1676">
        <f>ROUND(($G105*W105),0)</f>
        <v>0</v>
      </c>
      <c r="Y105" s="1942">
        <f>ROUND($U105*(1-Input_TEL!H10)+I105*Input_TEL!G10/Input_TEL!$AG$38,0)</f>
        <v>11</v>
      </c>
      <c r="Z105" s="1691">
        <f>ROUND(Y105*G105,0)</f>
        <v>0</v>
      </c>
      <c r="AA105" s="1683">
        <f t="shared" si="35"/>
        <v>0</v>
      </c>
      <c r="AB105" s="1684">
        <f t="shared" si="36"/>
        <v>0</v>
      </c>
      <c r="AC105" s="1759">
        <f t="shared" si="37"/>
        <v>0</v>
      </c>
      <c r="AD105" s="1961"/>
    </row>
    <row r="106" spans="1:31" s="176" customFormat="1" ht="51.75" customHeight="1" x14ac:dyDescent="0.2">
      <c r="A106" s="858"/>
      <c r="B106" s="1823"/>
      <c r="C106" s="1823"/>
      <c r="D106" s="1959"/>
      <c r="E106" s="1733" t="s">
        <v>1571</v>
      </c>
      <c r="F106" s="861" t="s">
        <v>1291</v>
      </c>
      <c r="G106" s="1744">
        <v>0</v>
      </c>
      <c r="H106" s="1800" t="s">
        <v>114</v>
      </c>
      <c r="I106" s="1960">
        <f>산출기준_TEL!H160</f>
        <v>16</v>
      </c>
      <c r="J106" s="1676">
        <f>ROUND(($G106*I106),0)</f>
        <v>0</v>
      </c>
      <c r="K106" s="1676">
        <f>$I106*(1-Input_TEL!F11)</f>
        <v>11.2</v>
      </c>
      <c r="L106" s="1676">
        <f>ROUND(($G106*K106),0)</f>
        <v>0</v>
      </c>
      <c r="M106" s="1690">
        <f>$I106*(1-Input_TEL!F11-Input_TEL!G11)</f>
        <v>9.6</v>
      </c>
      <c r="N106" s="1691">
        <f>ROUND(M106*G106,0)</f>
        <v>0</v>
      </c>
      <c r="O106" s="1677">
        <f t="shared" si="34"/>
        <v>6.8571428571428577</v>
      </c>
      <c r="P106" s="1638">
        <f t="shared" si="34"/>
        <v>0</v>
      </c>
      <c r="Q106" s="1773">
        <f>$I106*(Input_TEL!F11)/Input_TEL!$AG$37</f>
        <v>6.8571428571428577</v>
      </c>
      <c r="R106" s="1690">
        <f>ROUND(($G106*Q106),0)</f>
        <v>0</v>
      </c>
      <c r="S106" s="1773">
        <f>U106*Input_TEL!H11</f>
        <v>0</v>
      </c>
      <c r="T106" s="1842">
        <f>ROUND(($G106*S106),0)</f>
        <v>0</v>
      </c>
      <c r="U106" s="1735">
        <f>산출기준_TEL!L155</f>
        <v>0</v>
      </c>
      <c r="V106" s="1753">
        <f>ROUND(U106*G106,0)</f>
        <v>0</v>
      </c>
      <c r="W106" s="1676">
        <f>$U106*(1-Input_TEL!H11)</f>
        <v>0</v>
      </c>
      <c r="X106" s="1676">
        <f>ROUND(($G106*W106),0)</f>
        <v>0</v>
      </c>
      <c r="Y106" s="1942">
        <f>ROUND($U106*(1-Input_TEL!H11)+I106*Input_TEL!G11/Input_TEL!$AG$38,0)</f>
        <v>2</v>
      </c>
      <c r="Z106" s="1691">
        <f>ROUND(Y106*G106,0)</f>
        <v>0</v>
      </c>
      <c r="AA106" s="1683">
        <f t="shared" si="35"/>
        <v>0</v>
      </c>
      <c r="AB106" s="1684">
        <f t="shared" si="36"/>
        <v>0</v>
      </c>
      <c r="AC106" s="1759">
        <f t="shared" si="37"/>
        <v>0</v>
      </c>
      <c r="AD106" s="1961"/>
    </row>
    <row r="107" spans="1:31" s="176" customFormat="1" ht="51.75" customHeight="1" x14ac:dyDescent="0.2">
      <c r="A107" s="858"/>
      <c r="B107" s="1962"/>
      <c r="C107" s="1962"/>
      <c r="D107" s="1963"/>
      <c r="E107" s="1746" t="s">
        <v>1572</v>
      </c>
      <c r="F107" s="883" t="s">
        <v>1291</v>
      </c>
      <c r="G107" s="1964">
        <f>Input_TEL!I12</f>
        <v>0</v>
      </c>
      <c r="H107" s="1965" t="s">
        <v>114</v>
      </c>
      <c r="I107" s="871">
        <f>산출기준_TEL!H161</f>
        <v>16</v>
      </c>
      <c r="J107" s="1753">
        <f>ROUND(($G107*I107),0)</f>
        <v>0</v>
      </c>
      <c r="K107" s="1753">
        <f>$I107*(1-Input_TEL!F12)</f>
        <v>11.2</v>
      </c>
      <c r="L107" s="1753">
        <f>ROUND(($G107*K107),0)</f>
        <v>0</v>
      </c>
      <c r="M107" s="1863">
        <f>$I107*(1-Input_TEL!F12-Input_TEL!G12)</f>
        <v>9.6</v>
      </c>
      <c r="N107" s="1751">
        <f>ROUND(M107*G107,0)</f>
        <v>0</v>
      </c>
      <c r="O107" s="1677">
        <f t="shared" si="34"/>
        <v>6.8571428571428577</v>
      </c>
      <c r="P107" s="1638">
        <f t="shared" si="34"/>
        <v>0</v>
      </c>
      <c r="Q107" s="1773">
        <f>$I107*(Input_TEL!F12)/Input_TEL!$AG$37</f>
        <v>6.8571428571428577</v>
      </c>
      <c r="R107" s="1690">
        <f>ROUND(($G107*Q107),0)</f>
        <v>0</v>
      </c>
      <c r="S107" s="1773">
        <f>U107*Input_TEL!H12</f>
        <v>0</v>
      </c>
      <c r="T107" s="1842">
        <f>ROUND(($G107*S107),0)</f>
        <v>0</v>
      </c>
      <c r="U107" s="1749">
        <f>산출기준_TEL!L156</f>
        <v>0</v>
      </c>
      <c r="V107" s="1753">
        <f>ROUND(U107*G107,0)</f>
        <v>0</v>
      </c>
      <c r="W107" s="1753">
        <f>$U107*(1-Input_TEL!H12)</f>
        <v>0</v>
      </c>
      <c r="X107" s="1753">
        <f>ROUND(($G107*W107),0)</f>
        <v>0</v>
      </c>
      <c r="Y107" s="1942">
        <f>ROUND($U107*(1-Input_TEL!H12)+I107*Input_TEL!G12/Input_TEL!$AG$38,0)</f>
        <v>2</v>
      </c>
      <c r="Z107" s="1691">
        <f>ROUND(Y107*G107,0)</f>
        <v>0</v>
      </c>
      <c r="AA107" s="1683">
        <f t="shared" si="35"/>
        <v>0</v>
      </c>
      <c r="AB107" s="1684">
        <f t="shared" si="36"/>
        <v>0</v>
      </c>
      <c r="AC107" s="1759">
        <f t="shared" si="37"/>
        <v>0</v>
      </c>
      <c r="AD107" s="1966"/>
    </row>
    <row r="108" spans="1:31" ht="51.75" customHeight="1" x14ac:dyDescent="0.15">
      <c r="A108" s="188"/>
      <c r="B108" s="1967" t="s">
        <v>1071</v>
      </c>
      <c r="C108" s="1967"/>
      <c r="D108" s="1968"/>
      <c r="E108" s="1969"/>
      <c r="F108" s="1430"/>
      <c r="G108" s="1970"/>
      <c r="H108" s="1971"/>
      <c r="I108" s="1972"/>
      <c r="J108" s="1717">
        <f>SUM(J85:J107)</f>
        <v>400</v>
      </c>
      <c r="K108" s="1717"/>
      <c r="L108" s="1717">
        <f>SUM(L85:L107)</f>
        <v>280</v>
      </c>
      <c r="M108" s="1718"/>
      <c r="N108" s="1719">
        <f>SUM(N85:N107)</f>
        <v>240</v>
      </c>
      <c r="O108" s="1720"/>
      <c r="P108" s="1717">
        <f>SUM(P85:P107)</f>
        <v>176</v>
      </c>
      <c r="Q108" s="1973"/>
      <c r="R108" s="1717">
        <f>SUM(R85:R107)</f>
        <v>172</v>
      </c>
      <c r="S108" s="1973"/>
      <c r="T108" s="1721">
        <f>SUM(T85:T107)</f>
        <v>4</v>
      </c>
      <c r="U108" s="1972"/>
      <c r="V108" s="1717">
        <f>SUM(V85:V107)</f>
        <v>16</v>
      </c>
      <c r="W108" s="1721"/>
      <c r="X108" s="1717">
        <f>SUM(X85:X107)</f>
        <v>24</v>
      </c>
      <c r="Y108" s="1974"/>
      <c r="Z108" s="1719">
        <f>SUM(Z85:Z107)</f>
        <v>68</v>
      </c>
      <c r="AA108" s="1975">
        <f t="shared" si="35"/>
        <v>416</v>
      </c>
      <c r="AB108" s="1976">
        <f t="shared" si="36"/>
        <v>480</v>
      </c>
      <c r="AC108" s="1977">
        <f t="shared" si="37"/>
        <v>484</v>
      </c>
      <c r="AD108" s="1978"/>
    </row>
    <row r="109" spans="1:31" s="176" customFormat="1" ht="51.75" customHeight="1" x14ac:dyDescent="0.2">
      <c r="A109" s="1979" t="s">
        <v>1072</v>
      </c>
      <c r="B109" s="1980" t="s">
        <v>1073</v>
      </c>
      <c r="C109" s="1980" t="s">
        <v>1074</v>
      </c>
      <c r="D109" s="1981" t="s">
        <v>95</v>
      </c>
      <c r="E109" s="1982" t="s">
        <v>389</v>
      </c>
      <c r="F109" s="1983" t="s">
        <v>97</v>
      </c>
      <c r="G109" s="1744">
        <v>0</v>
      </c>
      <c r="H109" s="1984" t="s">
        <v>114</v>
      </c>
      <c r="I109" s="1985" t="s">
        <v>1563</v>
      </c>
      <c r="J109" s="1986">
        <v>0</v>
      </c>
      <c r="K109" s="1987" t="s">
        <v>98</v>
      </c>
      <c r="L109" s="1988">
        <f>ROUND(J109*(1-Input_TEL!Q93),0)</f>
        <v>0</v>
      </c>
      <c r="M109" s="1987" t="s">
        <v>98</v>
      </c>
      <c r="N109" s="1989">
        <f>ROUND(J109*(1-Input_TEL!Q93-Input_TEL!R93),0)</f>
        <v>0</v>
      </c>
      <c r="O109" s="1990" t="s">
        <v>98</v>
      </c>
      <c r="P109" s="1988">
        <f>ROUND(J109*Input_TEL!Q93/Input_TEL!$AG$37+V109*Input_TEL!S93,0)</f>
        <v>0</v>
      </c>
      <c r="Q109" s="1991" t="s">
        <v>98</v>
      </c>
      <c r="R109" s="1992">
        <f>ROUND(J109*Input_TEL!Q93/Input_TEL!$AG$37,0)</f>
        <v>0</v>
      </c>
      <c r="S109" s="1991" t="s">
        <v>98</v>
      </c>
      <c r="T109" s="1993">
        <f>ROUND(V109*Input_TEL!S93,0)</f>
        <v>0</v>
      </c>
      <c r="U109" s="1994" t="s">
        <v>98</v>
      </c>
      <c r="V109" s="1995">
        <v>0</v>
      </c>
      <c r="W109" s="1987" t="s">
        <v>98</v>
      </c>
      <c r="X109" s="1996">
        <f>ROUND(V109-Input_TEL!$S93*V109,0)</f>
        <v>0</v>
      </c>
      <c r="Y109" s="1987" t="s">
        <v>98</v>
      </c>
      <c r="Z109" s="1989">
        <f>ROUND(V109-Input_TEL!$S93*V109+J109*Input_TEL!R93/Input_TEL!$AG$38,0)</f>
        <v>0</v>
      </c>
      <c r="AA109" s="1997">
        <f t="shared" si="35"/>
        <v>0</v>
      </c>
      <c r="AB109" s="1998">
        <f t="shared" si="36"/>
        <v>0</v>
      </c>
      <c r="AC109" s="1999">
        <f t="shared" si="37"/>
        <v>0</v>
      </c>
      <c r="AD109" s="2000" t="s">
        <v>1075</v>
      </c>
      <c r="AE109" s="176" t="s">
        <v>1076</v>
      </c>
    </row>
    <row r="110" spans="1:31" ht="51.75" customHeight="1" x14ac:dyDescent="0.15">
      <c r="A110" s="2001"/>
      <c r="B110" s="2002" t="s">
        <v>1077</v>
      </c>
      <c r="C110" s="2002"/>
      <c r="D110" s="2003"/>
      <c r="E110" s="2004"/>
      <c r="F110" s="2005"/>
      <c r="G110" s="2006"/>
      <c r="H110" s="2007"/>
      <c r="I110" s="2008"/>
      <c r="J110" s="2009">
        <f>J109</f>
        <v>0</v>
      </c>
      <c r="K110" s="2009"/>
      <c r="L110" s="2009">
        <f>L109</f>
        <v>0</v>
      </c>
      <c r="M110" s="2010"/>
      <c r="N110" s="2011">
        <f>N109</f>
        <v>0</v>
      </c>
      <c r="O110" s="2012"/>
      <c r="P110" s="2009">
        <f>P109</f>
        <v>0</v>
      </c>
      <c r="Q110" s="2013"/>
      <c r="R110" s="2009">
        <f>R109</f>
        <v>0</v>
      </c>
      <c r="S110" s="2013"/>
      <c r="T110" s="2014">
        <f>T109</f>
        <v>0</v>
      </c>
      <c r="U110" s="2008"/>
      <c r="V110" s="2009">
        <f>V109</f>
        <v>0</v>
      </c>
      <c r="W110" s="2015"/>
      <c r="X110" s="999">
        <f>X109</f>
        <v>0</v>
      </c>
      <c r="Y110" s="999"/>
      <c r="Z110" s="2011">
        <f>Z109</f>
        <v>0</v>
      </c>
      <c r="AA110" s="1975">
        <f t="shared" si="35"/>
        <v>0</v>
      </c>
      <c r="AB110" s="1976">
        <f t="shared" si="36"/>
        <v>0</v>
      </c>
      <c r="AC110" s="1977">
        <f t="shared" si="37"/>
        <v>0</v>
      </c>
      <c r="AD110" s="2016"/>
    </row>
    <row r="111" spans="1:31" ht="55.5" customHeight="1" x14ac:dyDescent="0.15">
      <c r="A111" s="2017"/>
      <c r="B111" s="2018"/>
      <c r="C111" s="2018"/>
      <c r="D111" s="2019"/>
      <c r="E111" s="2020"/>
      <c r="F111" s="2021"/>
      <c r="G111" s="2022"/>
      <c r="H111" s="2023"/>
      <c r="I111" s="613" t="s">
        <v>989</v>
      </c>
      <c r="J111" s="614"/>
      <c r="K111" s="615" t="s">
        <v>990</v>
      </c>
      <c r="L111" s="614"/>
      <c r="M111" s="615" t="s">
        <v>991</v>
      </c>
      <c r="N111" s="616"/>
      <c r="O111" s="101" t="s">
        <v>992</v>
      </c>
      <c r="P111" s="102"/>
      <c r="Q111" s="1033" t="s">
        <v>1078</v>
      </c>
      <c r="R111" s="1034" t="s">
        <v>1079</v>
      </c>
      <c r="S111" s="1033" t="s">
        <v>1080</v>
      </c>
      <c r="T111" s="1034" t="s">
        <v>1081</v>
      </c>
      <c r="U111" s="617" t="s">
        <v>989</v>
      </c>
      <c r="V111" s="618"/>
      <c r="W111" s="619" t="s">
        <v>990</v>
      </c>
      <c r="X111" s="618"/>
      <c r="Y111" s="619" t="s">
        <v>991</v>
      </c>
      <c r="Z111" s="620"/>
      <c r="AA111" s="1616" t="s">
        <v>989</v>
      </c>
      <c r="AB111" s="621" t="s">
        <v>990</v>
      </c>
      <c r="AC111" s="622" t="s">
        <v>991</v>
      </c>
      <c r="AD111" s="2024"/>
    </row>
    <row r="112" spans="1:31" s="2048" customFormat="1" ht="45" customHeight="1" x14ac:dyDescent="0.15">
      <c r="A112" s="2025"/>
      <c r="B112" s="2026"/>
      <c r="C112" s="2026"/>
      <c r="D112" s="2027"/>
      <c r="E112" s="2028"/>
      <c r="F112" s="2029"/>
      <c r="G112" s="2030"/>
      <c r="H112" s="2031"/>
      <c r="I112" s="2032"/>
      <c r="J112" s="2033" t="s">
        <v>1082</v>
      </c>
      <c r="K112" s="2034"/>
      <c r="L112" s="2034" t="s">
        <v>1083</v>
      </c>
      <c r="M112" s="2034"/>
      <c r="N112" s="2035" t="s">
        <v>1084</v>
      </c>
      <c r="O112" s="2036"/>
      <c r="P112" s="2037" t="s">
        <v>1085</v>
      </c>
      <c r="Q112" s="2038">
        <f>(J113-L113)+L83</f>
        <v>2859</v>
      </c>
      <c r="R112" s="2039">
        <f>Q112/R113</f>
        <v>0.69987760097919216</v>
      </c>
      <c r="S112" s="2038">
        <f>(V113-X113)</f>
        <v>1824</v>
      </c>
      <c r="T112" s="2039">
        <f>S112/T113</f>
        <v>0.99400544959128068</v>
      </c>
      <c r="U112" s="2040"/>
      <c r="V112" s="2041" t="s">
        <v>1086</v>
      </c>
      <c r="W112" s="2042"/>
      <c r="X112" s="2042" t="s">
        <v>1087</v>
      </c>
      <c r="Y112" s="2042"/>
      <c r="Z112" s="2043" t="s">
        <v>1088</v>
      </c>
      <c r="AA112" s="2044" t="s">
        <v>1089</v>
      </c>
      <c r="AB112" s="2045" t="s">
        <v>1090</v>
      </c>
      <c r="AC112" s="2046" t="s">
        <v>1091</v>
      </c>
      <c r="AD112" s="2047"/>
    </row>
    <row r="113" spans="1:35" s="176" customFormat="1" ht="30" customHeight="1" x14ac:dyDescent="0.2">
      <c r="A113" s="2049"/>
      <c r="B113" s="1430" t="s">
        <v>1092</v>
      </c>
      <c r="C113" s="1430"/>
      <c r="D113" s="2050"/>
      <c r="E113" s="2051" t="s">
        <v>1093</v>
      </c>
      <c r="F113" s="1067">
        <f>Input_TEL!AG39</f>
        <v>161</v>
      </c>
      <c r="G113" s="2052" t="s">
        <v>59</v>
      </c>
      <c r="H113" s="1065" t="s">
        <v>1094</v>
      </c>
      <c r="I113" s="1066"/>
      <c r="J113" s="1067">
        <f>SUM(J34,J84,J108,J110)</f>
        <v>9538</v>
      </c>
      <c r="K113" s="1067"/>
      <c r="L113" s="1067">
        <f>SUM(L34,L84,L108,L110)</f>
        <v>7645</v>
      </c>
      <c r="M113" s="1067"/>
      <c r="N113" s="1068">
        <f>SUM(N34,N84,N108,N110)</f>
        <v>6686</v>
      </c>
      <c r="O113" s="2053"/>
      <c r="P113" s="1067">
        <f>SUM(P34,P84,P108,P110)</f>
        <v>5920</v>
      </c>
      <c r="Q113" s="1067"/>
      <c r="R113" s="1067">
        <f>SUM(R34,R84,R108,R110)</f>
        <v>4085</v>
      </c>
      <c r="S113" s="1067"/>
      <c r="T113" s="1008">
        <f>SUM(T34,T84,T108,T110)</f>
        <v>1835</v>
      </c>
      <c r="U113" s="2054"/>
      <c r="V113" s="1067">
        <f>SUM(V34,V84,V108,V110)</f>
        <v>6121</v>
      </c>
      <c r="W113" s="1067"/>
      <c r="X113" s="1067">
        <f>SUM(X34,X84,X108,X110)</f>
        <v>4297</v>
      </c>
      <c r="Y113" s="1067"/>
      <c r="Z113" s="1068">
        <f>SUM(Z34,Z84,Z108,Z110)</f>
        <v>5644</v>
      </c>
      <c r="AA113" s="1069">
        <f>SUM(AA34,AA84,AA108,AA110)</f>
        <v>15659</v>
      </c>
      <c r="AB113" s="1067">
        <f>SUM(AB34,AB84,AB108,AB110)</f>
        <v>17862</v>
      </c>
      <c r="AC113" s="1068">
        <f>SUM(AC34,AC84,AC108,AC110)</f>
        <v>18250</v>
      </c>
      <c r="AD113" s="2055" t="s">
        <v>59</v>
      </c>
    </row>
    <row r="114" spans="1:35" s="176" customFormat="1" ht="30" customHeight="1" x14ac:dyDescent="0.2">
      <c r="A114" s="2049"/>
      <c r="B114" s="229"/>
      <c r="C114" s="229"/>
      <c r="D114" s="2056"/>
      <c r="E114" s="2057" t="s">
        <v>1095</v>
      </c>
      <c r="F114" s="1079">
        <f>Input_TEL!AG40</f>
        <v>6</v>
      </c>
      <c r="G114" s="2058" t="s">
        <v>1096</v>
      </c>
      <c r="H114" s="1076" t="s">
        <v>1097</v>
      </c>
      <c r="I114" s="1077"/>
      <c r="J114" s="1078">
        <f>J113/$F$113</f>
        <v>59.242236024844722</v>
      </c>
      <c r="K114" s="1078"/>
      <c r="L114" s="1078">
        <f>L113/$F$113</f>
        <v>47.484472049689444</v>
      </c>
      <c r="M114" s="1079"/>
      <c r="N114" s="1080">
        <f>N113/$F$113</f>
        <v>41.527950310559007</v>
      </c>
      <c r="O114" s="2059"/>
      <c r="P114" s="1078">
        <f>P113/$F$113</f>
        <v>36.770186335403729</v>
      </c>
      <c r="Q114" s="1078"/>
      <c r="R114" s="1078"/>
      <c r="S114" s="1078"/>
      <c r="T114" s="2060"/>
      <c r="U114" s="2061"/>
      <c r="V114" s="1082">
        <f>V113/$F$113</f>
        <v>38.018633540372669</v>
      </c>
      <c r="W114" s="1082"/>
      <c r="X114" s="1078">
        <f>X113/$F$113</f>
        <v>26.689440993788821</v>
      </c>
      <c r="Y114" s="1082"/>
      <c r="Z114" s="1080">
        <f>Z113/$F$113</f>
        <v>35.055900621118013</v>
      </c>
      <c r="AA114" s="1081">
        <f>AA113/$F$113</f>
        <v>97.260869565217391</v>
      </c>
      <c r="AB114" s="1078">
        <f>AB113/$F$113</f>
        <v>110.94409937888199</v>
      </c>
      <c r="AC114" s="1080">
        <f>AC113/$F$113</f>
        <v>113.35403726708074</v>
      </c>
      <c r="AD114" s="2062" t="s">
        <v>60</v>
      </c>
    </row>
    <row r="115" spans="1:35" s="176" customFormat="1" ht="30" customHeight="1" x14ac:dyDescent="0.2">
      <c r="A115" s="2049"/>
      <c r="B115" s="229"/>
      <c r="C115" s="229"/>
      <c r="D115" s="2056"/>
      <c r="E115" s="2057" t="s">
        <v>1098</v>
      </c>
      <c r="F115" s="1079">
        <f>Input_TEL!AG41</f>
        <v>32000</v>
      </c>
      <c r="G115" s="2058" t="s">
        <v>1099</v>
      </c>
      <c r="H115" s="1076" t="s">
        <v>1100</v>
      </c>
      <c r="I115" s="1077"/>
      <c r="J115" s="1078">
        <f>J114/$F$114</f>
        <v>9.8737060041407876</v>
      </c>
      <c r="K115" s="1078"/>
      <c r="L115" s="1078">
        <f>L114/$F$114</f>
        <v>7.9140786749482404</v>
      </c>
      <c r="M115" s="1078"/>
      <c r="N115" s="1085">
        <f>N114/$F$114</f>
        <v>6.9213250517598341</v>
      </c>
      <c r="O115" s="2063"/>
      <c r="P115" s="1078">
        <f>P114/$F$114</f>
        <v>6.1283643892339548</v>
      </c>
      <c r="Q115" s="1078"/>
      <c r="R115" s="1078"/>
      <c r="S115" s="1078"/>
      <c r="T115" s="2060"/>
      <c r="U115" s="2064"/>
      <c r="V115" s="1078">
        <f>V114/$F$114</f>
        <v>6.3364389233954448</v>
      </c>
      <c r="W115" s="1078"/>
      <c r="X115" s="1078">
        <f>X114/$F$114</f>
        <v>4.4482401656314705</v>
      </c>
      <c r="Y115" s="2065"/>
      <c r="Z115" s="1085">
        <f>Z114/$F$114</f>
        <v>5.8426501035196692</v>
      </c>
      <c r="AA115" s="1086">
        <f>AA114/$F$114</f>
        <v>16.210144927536231</v>
      </c>
      <c r="AB115" s="1078">
        <f>AB114/$F$114</f>
        <v>18.490683229813666</v>
      </c>
      <c r="AC115" s="1085">
        <f>AC114/$F$114</f>
        <v>18.892339544513458</v>
      </c>
      <c r="AD115" s="2062" t="s">
        <v>1101</v>
      </c>
    </row>
    <row r="116" spans="1:35" s="176" customFormat="1" ht="30" customHeight="1" x14ac:dyDescent="0.2">
      <c r="A116" s="2066"/>
      <c r="B116" s="211"/>
      <c r="C116" s="211"/>
      <c r="D116" s="2067"/>
      <c r="E116" s="2068" t="s">
        <v>1102</v>
      </c>
      <c r="F116" s="1079">
        <f>Input_TEL!AG42</f>
        <v>39000</v>
      </c>
      <c r="G116" s="2069" t="s">
        <v>1099</v>
      </c>
      <c r="H116" s="1089"/>
      <c r="I116" s="1090"/>
      <c r="J116" s="1091"/>
      <c r="K116" s="1092"/>
      <c r="L116" s="1092"/>
      <c r="M116" s="1092"/>
      <c r="N116" s="1092"/>
      <c r="O116" s="1096" t="s">
        <v>1103</v>
      </c>
      <c r="P116" s="1097"/>
      <c r="Q116" s="1095"/>
      <c r="R116" s="1095"/>
      <c r="S116" s="1095"/>
      <c r="T116" s="1095"/>
      <c r="U116" s="1096" t="s">
        <v>1104</v>
      </c>
      <c r="V116" s="1097"/>
      <c r="W116" s="1096" t="s">
        <v>1105</v>
      </c>
      <c r="X116" s="1097"/>
      <c r="Y116" s="1096" t="s">
        <v>1106</v>
      </c>
      <c r="Z116" s="1097"/>
      <c r="AA116" s="1091"/>
      <c r="AB116" s="1091"/>
      <c r="AC116" s="1091"/>
      <c r="AD116" s="2070"/>
    </row>
    <row r="117" spans="1:35" s="176" customFormat="1" ht="30" customHeight="1" thickBot="1" x14ac:dyDescent="0.25">
      <c r="A117" s="2071"/>
      <c r="B117" s="1475"/>
      <c r="C117" s="1475"/>
      <c r="D117" s="2072"/>
      <c r="E117" s="2073" t="s">
        <v>1107</v>
      </c>
      <c r="F117" s="1476">
        <f>Input_TEL!AG43</f>
        <v>57000</v>
      </c>
      <c r="G117" s="2074" t="s">
        <v>1099</v>
      </c>
      <c r="H117" s="1105" t="s">
        <v>1108</v>
      </c>
      <c r="I117" s="1106"/>
      <c r="J117" s="1107"/>
      <c r="K117" s="1108"/>
      <c r="L117" s="1108"/>
      <c r="M117" s="1108"/>
      <c r="N117" s="1108"/>
      <c r="O117" s="1109">
        <f>P113*F117</f>
        <v>337440000</v>
      </c>
      <c r="P117" s="1110">
        <f>P113*F117</f>
        <v>337440000</v>
      </c>
      <c r="Q117" s="1111"/>
      <c r="R117" s="1111"/>
      <c r="S117" s="1111"/>
      <c r="T117" s="1111"/>
      <c r="U117" s="1109">
        <f>V113*F115</f>
        <v>195872000</v>
      </c>
      <c r="V117" s="1110"/>
      <c r="W117" s="1109">
        <f>X113*F115</f>
        <v>137504000</v>
      </c>
      <c r="X117" s="1110"/>
      <c r="Y117" s="1112">
        <f>Z113*F116</f>
        <v>220116000</v>
      </c>
      <c r="Z117" s="1110"/>
      <c r="AA117" s="1113" t="s">
        <v>1099</v>
      </c>
      <c r="AB117" s="2075"/>
      <c r="AC117" s="2075"/>
      <c r="AD117" s="2076"/>
    </row>
    <row r="118" spans="1:35" ht="27.75" customHeight="1" x14ac:dyDescent="0.2">
      <c r="AF118" s="176"/>
      <c r="AG118" s="176"/>
      <c r="AH118" s="176"/>
      <c r="AI118" s="176"/>
    </row>
    <row r="119" spans="1:35" ht="84" customHeight="1" x14ac:dyDescent="0.2">
      <c r="AF119" s="176"/>
      <c r="AG119" s="176"/>
      <c r="AH119" s="176"/>
      <c r="AI119" s="176"/>
    </row>
  </sheetData>
  <autoFilter ref="A20:AD117" xr:uid="{F4AFCAFC-6923-4157-B3B4-16DA2AED2F62}"/>
  <mergeCells count="64">
    <mergeCell ref="Y111:Z111"/>
    <mergeCell ref="O116:P116"/>
    <mergeCell ref="U116:V116"/>
    <mergeCell ref="W116:X116"/>
    <mergeCell ref="Y116:Z116"/>
    <mergeCell ref="H117:I117"/>
    <mergeCell ref="O117:P117"/>
    <mergeCell ref="U117:V117"/>
    <mergeCell ref="W117:X117"/>
    <mergeCell ref="Y117:Z117"/>
    <mergeCell ref="I111:J111"/>
    <mergeCell ref="K111:L111"/>
    <mergeCell ref="M111:N111"/>
    <mergeCell ref="O111:P111"/>
    <mergeCell ref="U111:V111"/>
    <mergeCell ref="W111:X111"/>
    <mergeCell ref="B69:B71"/>
    <mergeCell ref="D72:E72"/>
    <mergeCell ref="D75:E75"/>
    <mergeCell ref="D78:E78"/>
    <mergeCell ref="D83:E83"/>
    <mergeCell ref="A109:A110"/>
    <mergeCell ref="O19:P19"/>
    <mergeCell ref="Q19:R19"/>
    <mergeCell ref="S19:T19"/>
    <mergeCell ref="U19:V19"/>
    <mergeCell ref="W19:X19"/>
    <mergeCell ref="Y19:Z19"/>
    <mergeCell ref="AA17:AC17"/>
    <mergeCell ref="AD17:AD19"/>
    <mergeCell ref="I18:J18"/>
    <mergeCell ref="K18:L18"/>
    <mergeCell ref="M18:N18"/>
    <mergeCell ref="O18:P18"/>
    <mergeCell ref="Q18:R18"/>
    <mergeCell ref="S18:T18"/>
    <mergeCell ref="U18:V18"/>
    <mergeCell ref="W18:X18"/>
    <mergeCell ref="H17:H19"/>
    <mergeCell ref="I17:N17"/>
    <mergeCell ref="O17:P17"/>
    <mergeCell ref="Q17:R17"/>
    <mergeCell ref="S17:T17"/>
    <mergeCell ref="U17:Z17"/>
    <mergeCell ref="Y18:Z18"/>
    <mergeCell ref="I19:J19"/>
    <mergeCell ref="K19:L19"/>
    <mergeCell ref="M19:N19"/>
    <mergeCell ref="E10:F10"/>
    <mergeCell ref="E11:F11"/>
    <mergeCell ref="E12:F12"/>
    <mergeCell ref="A16:AD16"/>
    <mergeCell ref="A17:A19"/>
    <mergeCell ref="B17:B19"/>
    <mergeCell ref="C17:C19"/>
    <mergeCell ref="D17:E19"/>
    <mergeCell ref="F17:F19"/>
    <mergeCell ref="G17:G19"/>
    <mergeCell ref="E4:F4"/>
    <mergeCell ref="E5:F5"/>
    <mergeCell ref="E6:F6"/>
    <mergeCell ref="E7:F7"/>
    <mergeCell ref="E8:F8"/>
    <mergeCell ref="E9:F9"/>
  </mergeCells>
  <printOptions horizontalCentered="1"/>
  <pageMargins left="0.39370078740157483" right="0.39370078740157483" top="0.39370078740157483" bottom="0.39370078740157483" header="0" footer="0"/>
  <pageSetup paperSize="8" scale="45" fitToHeight="0" orientation="landscape" r:id="rId1"/>
  <headerFooter alignWithMargins="0">
    <oddFooter>&amp;L&amp;9&amp;F&amp;C&amp;9&amp;P of &amp;N</oddFooter>
  </headerFooter>
  <rowBreaks count="1" manualBreakCount="1">
    <brk id="68" max="30"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887E-8D59-48A9-9938-C48654412AB4}">
  <sheetPr>
    <tabColor rgb="FFFFC000"/>
    <pageSetUpPr fitToPage="1"/>
  </sheetPr>
  <dimension ref="B1:N144"/>
  <sheetViews>
    <sheetView showGridLines="0" showZeros="0" view="pageBreakPreview" zoomScale="85" zoomScaleNormal="85" zoomScaleSheetLayoutView="85" workbookViewId="0">
      <pane xSplit="2" ySplit="5" topLeftCell="C24" activePane="bottomRight" state="frozen"/>
      <selection activeCell="J114" sqref="J114"/>
      <selection pane="topRight" activeCell="J114" sqref="J114"/>
      <selection pane="bottomLeft" activeCell="J114" sqref="J114"/>
      <selection pane="bottomRight" activeCell="J114" sqref="J114"/>
    </sheetView>
  </sheetViews>
  <sheetFormatPr defaultColWidth="8" defaultRowHeight="14.4" x14ac:dyDescent="0.25"/>
  <cols>
    <col min="1" max="1" width="1.796875" style="1120" customWidth="1"/>
    <col min="2" max="2" width="8.796875" style="1120" customWidth="1"/>
    <col min="3" max="3" width="40.796875" style="1120" customWidth="1"/>
    <col min="4" max="4" width="6.796875" style="1120" customWidth="1"/>
    <col min="5" max="6" width="9.796875" style="1120" customWidth="1"/>
    <col min="7" max="7" width="10.59765625" style="1285" customWidth="1"/>
    <col min="8" max="8" width="9.796875" style="1285" customWidth="1"/>
    <col min="9" max="9" width="9.796875" style="1286" customWidth="1"/>
    <col min="10" max="10" width="10.59765625" style="1286" customWidth="1"/>
    <col min="11" max="11" width="16.69921875" style="1286" customWidth="1"/>
    <col min="12" max="12" width="30.796875" style="1285" customWidth="1"/>
    <col min="13" max="13" width="1.796875" style="1120" customWidth="1"/>
    <col min="14" max="14" width="71" style="1120" customWidth="1"/>
    <col min="15" max="16384" width="8" style="1120"/>
  </cols>
  <sheetData>
    <row r="1" spans="2:14" ht="35.1" customHeight="1" x14ac:dyDescent="0.25">
      <c r="B1" s="1115" t="s">
        <v>1575</v>
      </c>
      <c r="C1" s="1116"/>
      <c r="D1" s="1116"/>
      <c r="E1" s="1117"/>
      <c r="F1" s="1117"/>
      <c r="G1" s="1117"/>
      <c r="H1" s="1117"/>
      <c r="I1" s="1117"/>
      <c r="J1" s="1117"/>
      <c r="K1" s="1116"/>
      <c r="L1" s="1116"/>
      <c r="M1" s="1118"/>
      <c r="N1" s="1119" t="s">
        <v>1110</v>
      </c>
    </row>
    <row r="2" spans="2:14" ht="35.1" customHeight="1" x14ac:dyDescent="0.25">
      <c r="B2" s="1121" t="str">
        <f>CONCATENATE("외주-단종 Case [",산출기준_TEL!A5,"]")</f>
        <v>외주-단종 Case [일반 Ver.]</v>
      </c>
      <c r="C2" s="1116"/>
      <c r="D2" s="1116"/>
      <c r="E2" s="1117"/>
      <c r="F2" s="1117"/>
      <c r="G2" s="1117"/>
      <c r="H2" s="1117"/>
      <c r="I2" s="1117"/>
      <c r="J2" s="1117"/>
      <c r="K2" s="1116"/>
      <c r="L2" s="1116"/>
      <c r="M2" s="1118"/>
    </row>
    <row r="3" spans="2:14" s="1128" customFormat="1" ht="20.100000000000001" customHeight="1" thickBot="1" x14ac:dyDescent="0.25">
      <c r="B3" s="1274" t="str">
        <f>Input_TEL!$B$5</f>
        <v xml:space="preserve">PROJECT: </v>
      </c>
      <c r="C3" s="1124"/>
      <c r="D3" s="1125"/>
      <c r="E3" s="1126"/>
      <c r="F3" s="1126"/>
      <c r="G3" s="1126"/>
      <c r="H3" s="1126"/>
      <c r="I3" s="1126"/>
      <c r="J3" s="1126"/>
      <c r="K3" s="1125"/>
      <c r="L3" s="1127">
        <f>Input_TEL!AJ5</f>
        <v>45838</v>
      </c>
      <c r="M3" s="1123"/>
      <c r="N3" s="176" t="s">
        <v>1111</v>
      </c>
    </row>
    <row r="4" spans="2:14" s="1139" customFormat="1" ht="21.9" customHeight="1" x14ac:dyDescent="0.2">
      <c r="B4" s="1129" t="s">
        <v>1112</v>
      </c>
      <c r="C4" s="1130" t="s">
        <v>1113</v>
      </c>
      <c r="D4" s="1131" t="s">
        <v>1114</v>
      </c>
      <c r="E4" s="1132" t="s">
        <v>1115</v>
      </c>
      <c r="F4" s="1133"/>
      <c r="G4" s="1134"/>
      <c r="H4" s="1135" t="s">
        <v>1116</v>
      </c>
      <c r="I4" s="1135"/>
      <c r="J4" s="1134"/>
      <c r="K4" s="1136" t="s">
        <v>987</v>
      </c>
      <c r="L4" s="1137" t="s">
        <v>1117</v>
      </c>
      <c r="M4" s="1138"/>
      <c r="N4" s="176"/>
    </row>
    <row r="5" spans="2:14" s="1139" customFormat="1" ht="21.9" customHeight="1" thickBot="1" x14ac:dyDescent="0.3">
      <c r="B5" s="1140" t="s">
        <v>1118</v>
      </c>
      <c r="C5" s="1141"/>
      <c r="D5" s="1142"/>
      <c r="E5" s="1143" t="s">
        <v>1003</v>
      </c>
      <c r="F5" s="1144" t="s">
        <v>1119</v>
      </c>
      <c r="G5" s="1145" t="s">
        <v>1120</v>
      </c>
      <c r="H5" s="1143" t="s">
        <v>1003</v>
      </c>
      <c r="I5" s="1144" t="s">
        <v>1119</v>
      </c>
      <c r="J5" s="1145" t="s">
        <v>1120</v>
      </c>
      <c r="K5" s="1146"/>
      <c r="L5" s="1147"/>
      <c r="M5" s="1138"/>
    </row>
    <row r="6" spans="2:14" s="1123" customFormat="1" ht="21.9" customHeight="1" thickTop="1" x14ac:dyDescent="0.25">
      <c r="B6" s="1148"/>
      <c r="C6" s="1149"/>
      <c r="D6" s="1150"/>
      <c r="E6" s="1151"/>
      <c r="F6" s="1353"/>
      <c r="G6" s="1153"/>
      <c r="H6" s="2077"/>
      <c r="I6" s="1353"/>
      <c r="J6" s="1153"/>
      <c r="K6" s="1155"/>
      <c r="L6" s="1156"/>
    </row>
    <row r="7" spans="2:14" s="1138" customFormat="1" ht="21.9" customHeight="1" x14ac:dyDescent="0.25">
      <c r="B7" s="1157" t="s">
        <v>1121</v>
      </c>
      <c r="C7" s="1158" t="s">
        <v>1122</v>
      </c>
      <c r="D7" s="1159"/>
      <c r="E7" s="2078"/>
      <c r="F7" s="1358"/>
      <c r="G7" s="1162"/>
      <c r="H7" s="2078"/>
      <c r="I7" s="1358"/>
      <c r="J7" s="1162"/>
      <c r="K7" s="1164"/>
      <c r="L7" s="1165"/>
    </row>
    <row r="8" spans="2:14" s="1138" customFormat="1" ht="21.9" customHeight="1" x14ac:dyDescent="0.25">
      <c r="B8" s="1157">
        <v>1</v>
      </c>
      <c r="C8" s="1166" t="s">
        <v>672</v>
      </c>
      <c r="D8" s="1159"/>
      <c r="E8" s="2078"/>
      <c r="F8" s="1358"/>
      <c r="G8" s="1167"/>
      <c r="H8" s="2078"/>
      <c r="I8" s="1363"/>
      <c r="J8" s="1167"/>
      <c r="K8" s="1169"/>
      <c r="L8" s="1165"/>
    </row>
    <row r="9" spans="2:14" s="1123" customFormat="1" ht="21.9" customHeight="1" x14ac:dyDescent="0.25">
      <c r="B9" s="1170">
        <v>1.1000000000000001</v>
      </c>
      <c r="C9" s="1171" t="s">
        <v>1123</v>
      </c>
      <c r="D9" s="1172" t="s">
        <v>1124</v>
      </c>
      <c r="E9" s="2079">
        <f>OP1_TEL!I21</f>
        <v>40</v>
      </c>
      <c r="F9" s="2080">
        <f>OP1_TEL!G21</f>
        <v>1</v>
      </c>
      <c r="G9" s="1175">
        <f>OP1_TEL!J21</f>
        <v>40</v>
      </c>
      <c r="H9" s="2079"/>
      <c r="I9" s="2080"/>
      <c r="J9" s="1175">
        <f>OP1_TEL!V21</f>
        <v>0</v>
      </c>
      <c r="K9" s="1177">
        <f>G9+J9</f>
        <v>40</v>
      </c>
      <c r="L9" s="1178"/>
    </row>
    <row r="10" spans="2:14" s="1123" customFormat="1" ht="21.9" customHeight="1" x14ac:dyDescent="0.25">
      <c r="B10" s="1170">
        <v>1.2</v>
      </c>
      <c r="C10" s="1171" t="s">
        <v>103</v>
      </c>
      <c r="D10" s="1172" t="s">
        <v>1124</v>
      </c>
      <c r="E10" s="2079">
        <f>OP1_TEL!I22</f>
        <v>60</v>
      </c>
      <c r="F10" s="2080">
        <f>OP1_TEL!G22</f>
        <v>1</v>
      </c>
      <c r="G10" s="1175">
        <f>OP1_TEL!J22</f>
        <v>60</v>
      </c>
      <c r="H10" s="2079"/>
      <c r="I10" s="2080"/>
      <c r="J10" s="1175">
        <f>OP1_TEL!V22</f>
        <v>0</v>
      </c>
      <c r="K10" s="1177">
        <f>G10+J10</f>
        <v>60</v>
      </c>
      <c r="L10" s="1178"/>
    </row>
    <row r="11" spans="2:14" s="1123" customFormat="1" ht="21.9" customHeight="1" x14ac:dyDescent="0.25">
      <c r="B11" s="1170"/>
      <c r="C11" s="1171"/>
      <c r="D11" s="1172"/>
      <c r="E11" s="2079"/>
      <c r="F11" s="2080"/>
      <c r="G11" s="1175"/>
      <c r="H11" s="2079"/>
      <c r="I11" s="2080">
        <f>F11</f>
        <v>0</v>
      </c>
      <c r="J11" s="1175"/>
      <c r="K11" s="1177"/>
      <c r="L11" s="1178"/>
    </row>
    <row r="12" spans="2:14" s="1123" customFormat="1" ht="21.9" customHeight="1" x14ac:dyDescent="0.25">
      <c r="B12" s="1157">
        <v>2</v>
      </c>
      <c r="C12" s="1166" t="str">
        <f>OP1_TEL!B23</f>
        <v>인허가 지원 업무</v>
      </c>
      <c r="D12" s="1179"/>
      <c r="E12" s="2081"/>
      <c r="F12" s="2082"/>
      <c r="G12" s="1182"/>
      <c r="H12" s="2081"/>
      <c r="I12" s="2082">
        <f>F12</f>
        <v>0</v>
      </c>
      <c r="J12" s="1182"/>
      <c r="K12" s="1184"/>
      <c r="L12" s="1185"/>
    </row>
    <row r="13" spans="2:14" s="1123" customFormat="1" ht="21.9" customHeight="1" x14ac:dyDescent="0.25">
      <c r="B13" s="1170">
        <v>2.1</v>
      </c>
      <c r="C13" s="1171" t="str">
        <f>OP1_TEL!E23</f>
        <v>Radio Frequency/장비 License 관련 인허가 Support</v>
      </c>
      <c r="D13" s="1172" t="s">
        <v>1124</v>
      </c>
      <c r="E13" s="2079">
        <f>OP1_TEL!I23</f>
        <v>40</v>
      </c>
      <c r="F13" s="2080">
        <f>OP1_TEL!G23</f>
        <v>1</v>
      </c>
      <c r="G13" s="1175">
        <f>OP1_TEL!J23</f>
        <v>40</v>
      </c>
      <c r="H13" s="2079"/>
      <c r="I13" s="2080"/>
      <c r="J13" s="1175">
        <f>OP1_TEL!V23</f>
        <v>0</v>
      </c>
      <c r="K13" s="1177">
        <f t="shared" ref="K13:K18" si="0">G13+J13</f>
        <v>40</v>
      </c>
      <c r="L13" s="1178"/>
    </row>
    <row r="14" spans="2:14" s="1123" customFormat="1" ht="21.9" customHeight="1" x14ac:dyDescent="0.25">
      <c r="B14" s="1170">
        <v>2.2000000000000002</v>
      </c>
      <c r="C14" s="1171" t="str">
        <f>OP1_TEL!E24</f>
        <v>Security Plan (Marine)</v>
      </c>
      <c r="D14" s="1172" t="s">
        <v>1124</v>
      </c>
      <c r="E14" s="2079">
        <f>OP1_TEL!I24</f>
        <v>240</v>
      </c>
      <c r="F14" s="2080">
        <f>OP1_TEL!G24</f>
        <v>0</v>
      </c>
      <c r="G14" s="1175">
        <f>OP1_TEL!J24</f>
        <v>0</v>
      </c>
      <c r="H14" s="2079"/>
      <c r="I14" s="2080"/>
      <c r="J14" s="1175">
        <f>OP1_TEL!V24</f>
        <v>0</v>
      </c>
      <c r="K14" s="1177">
        <f t="shared" si="0"/>
        <v>0</v>
      </c>
      <c r="L14" s="1178"/>
    </row>
    <row r="15" spans="2:14" s="1123" customFormat="1" ht="21.75" customHeight="1" x14ac:dyDescent="0.25">
      <c r="B15" s="1170">
        <v>2.2999999999999998</v>
      </c>
      <c r="C15" s="2083" t="str">
        <f>OP1_TEL!E25</f>
        <v xml:space="preserve">Global/Local Regulation </v>
      </c>
      <c r="D15" s="1172" t="s">
        <v>1124</v>
      </c>
      <c r="E15" s="2079">
        <f>OP1_TEL!I25</f>
        <v>240</v>
      </c>
      <c r="F15" s="2080">
        <f>OP1_TEL!G25</f>
        <v>0</v>
      </c>
      <c r="G15" s="1175">
        <f>OP1_TEL!J25</f>
        <v>0</v>
      </c>
      <c r="H15" s="2079"/>
      <c r="I15" s="2080"/>
      <c r="J15" s="1175">
        <f>OP1_TEL!V25</f>
        <v>0</v>
      </c>
      <c r="K15" s="1177">
        <f t="shared" si="0"/>
        <v>0</v>
      </c>
      <c r="L15" s="1178"/>
    </row>
    <row r="16" spans="2:14" s="1123" customFormat="1" ht="21.9" customHeight="1" x14ac:dyDescent="0.25">
      <c r="B16" s="1170">
        <v>2.4</v>
      </c>
      <c r="C16" s="1171" t="str">
        <f>OP1_TEL!E27</f>
        <v>GSM</v>
      </c>
      <c r="D16" s="1172" t="s">
        <v>1124</v>
      </c>
      <c r="E16" s="2079">
        <f>OP1_TEL!I27</f>
        <v>120</v>
      </c>
      <c r="F16" s="2080">
        <f>OP1_TEL!G27</f>
        <v>0</v>
      </c>
      <c r="G16" s="1175">
        <f>OP1_TEL!J27</f>
        <v>0</v>
      </c>
      <c r="H16" s="2079"/>
      <c r="I16" s="2080"/>
      <c r="J16" s="1175">
        <f>OP1_TEL!V27</f>
        <v>0</v>
      </c>
      <c r="K16" s="1177">
        <f t="shared" si="0"/>
        <v>0</v>
      </c>
      <c r="L16" s="1178"/>
    </row>
    <row r="17" spans="2:14" s="1123" customFormat="1" ht="21.9" customHeight="1" x14ac:dyDescent="0.25">
      <c r="B17" s="1170">
        <v>2.5</v>
      </c>
      <c r="C17" s="1171" t="str">
        <f>OP1_TEL!E28</f>
        <v>국내 - 통신설비 건축인허가</v>
      </c>
      <c r="D17" s="1172" t="s">
        <v>1124</v>
      </c>
      <c r="E17" s="2079">
        <f>OP1_TEL!I28</f>
        <v>120</v>
      </c>
      <c r="F17" s="2080">
        <f>OP1_TEL!G28</f>
        <v>0</v>
      </c>
      <c r="G17" s="1175">
        <f>OP1_TEL!J28</f>
        <v>0</v>
      </c>
      <c r="H17" s="2079">
        <f>OP1_TEL!U28</f>
        <v>100</v>
      </c>
      <c r="I17" s="2080">
        <f>F17</f>
        <v>0</v>
      </c>
      <c r="J17" s="1175">
        <f>OP1_TEL!V28</f>
        <v>0</v>
      </c>
      <c r="K17" s="1177">
        <f t="shared" si="0"/>
        <v>0</v>
      </c>
      <c r="L17" s="1178"/>
    </row>
    <row r="18" spans="2:14" s="1123" customFormat="1" ht="21.9" customHeight="1" x14ac:dyDescent="0.25">
      <c r="B18" s="1170">
        <v>2.6</v>
      </c>
      <c r="C18" s="1171" t="str">
        <f>OP1_TEL!E29</f>
        <v>국내 - 비상방송설비 소방인허가</v>
      </c>
      <c r="D18" s="1172" t="s">
        <v>1124</v>
      </c>
      <c r="E18" s="2079">
        <f>OP1_TEL!I29</f>
        <v>120</v>
      </c>
      <c r="F18" s="2080">
        <f>OP1_TEL!G29</f>
        <v>0</v>
      </c>
      <c r="G18" s="1175">
        <f>OP1_TEL!J29</f>
        <v>0</v>
      </c>
      <c r="H18" s="2079">
        <f>OP1_TEL!U29</f>
        <v>100</v>
      </c>
      <c r="I18" s="2080">
        <f>F18</f>
        <v>0</v>
      </c>
      <c r="J18" s="1175">
        <f>OP1_TEL!V29</f>
        <v>0</v>
      </c>
      <c r="K18" s="1177">
        <f t="shared" si="0"/>
        <v>0</v>
      </c>
      <c r="L18" s="1178"/>
    </row>
    <row r="19" spans="2:14" s="1123" customFormat="1" ht="21.9" customHeight="1" x14ac:dyDescent="0.25">
      <c r="B19" s="1170"/>
      <c r="C19" s="1171"/>
      <c r="D19" s="1172"/>
      <c r="E19" s="2079"/>
      <c r="F19" s="2080"/>
      <c r="G19" s="1175"/>
      <c r="H19" s="2079"/>
      <c r="I19" s="2080">
        <f>F19</f>
        <v>0</v>
      </c>
      <c r="J19" s="1175"/>
      <c r="K19" s="1189"/>
      <c r="L19" s="1178"/>
    </row>
    <row r="20" spans="2:14" s="1123" customFormat="1" ht="21.9" customHeight="1" x14ac:dyDescent="0.25">
      <c r="B20" s="1157">
        <v>3</v>
      </c>
      <c r="C20" s="1166" t="str">
        <f>OP1_TEL!B30</f>
        <v>ITB Review / FEED Verification</v>
      </c>
      <c r="D20" s="1172"/>
      <c r="E20" s="2079"/>
      <c r="F20" s="2080"/>
      <c r="G20" s="1175"/>
      <c r="H20" s="2079"/>
      <c r="I20" s="2080">
        <f>F20</f>
        <v>0</v>
      </c>
      <c r="J20" s="1175"/>
      <c r="K20" s="1189"/>
      <c r="L20" s="1178"/>
    </row>
    <row r="21" spans="2:14" s="1123" customFormat="1" ht="21.9" customHeight="1" x14ac:dyDescent="0.25">
      <c r="B21" s="1170">
        <v>3.1</v>
      </c>
      <c r="C21" s="1171" t="str">
        <f>OP1_TEL!E30</f>
        <v>ITB Review &amp; Interface work.</v>
      </c>
      <c r="D21" s="1172" t="s">
        <v>1124</v>
      </c>
      <c r="E21" s="2079">
        <f>OP1_TEL!I30</f>
        <v>120</v>
      </c>
      <c r="F21" s="2080">
        <f>OP1_TEL!G30</f>
        <v>1</v>
      </c>
      <c r="G21" s="1175">
        <f>OP1_TEL!J30</f>
        <v>120</v>
      </c>
      <c r="H21" s="2079"/>
      <c r="I21" s="2080"/>
      <c r="J21" s="1175">
        <f>OP1_TEL!V30</f>
        <v>0</v>
      </c>
      <c r="K21" s="1177">
        <f>G21+J21</f>
        <v>120</v>
      </c>
      <c r="L21" s="1178"/>
    </row>
    <row r="22" spans="2:14" s="1123" customFormat="1" ht="21.9" customHeight="1" x14ac:dyDescent="0.25">
      <c r="B22" s="1170">
        <v>3.2</v>
      </c>
      <c r="C22" s="1171" t="str">
        <f>OP1_TEL!E31</f>
        <v>발주처 협의</v>
      </c>
      <c r="D22" s="1172" t="s">
        <v>1126</v>
      </c>
      <c r="E22" s="2079">
        <f>OP1_TEL!I31</f>
        <v>80</v>
      </c>
      <c r="F22" s="2080">
        <f>OP1_TEL!G31</f>
        <v>3</v>
      </c>
      <c r="G22" s="1175">
        <f>OP1_TEL!J31</f>
        <v>240</v>
      </c>
      <c r="H22" s="2079"/>
      <c r="I22" s="2080"/>
      <c r="J22" s="1175">
        <f>OP1_TEL!V31</f>
        <v>0</v>
      </c>
      <c r="K22" s="1177">
        <f>G22+J22</f>
        <v>240</v>
      </c>
      <c r="L22" s="1178"/>
    </row>
    <row r="23" spans="2:14" s="1123" customFormat="1" ht="21.9" customHeight="1" x14ac:dyDescent="0.25">
      <c r="B23" s="1170">
        <v>3.3</v>
      </c>
      <c r="C23" s="1171" t="str">
        <f>OP1_TEL!E32</f>
        <v>Feed Verification</v>
      </c>
      <c r="D23" s="1172" t="s">
        <v>1126</v>
      </c>
      <c r="E23" s="2079">
        <f>OP1_TEL!I32</f>
        <v>80</v>
      </c>
      <c r="F23" s="2080">
        <f>OP1_TEL!G32</f>
        <v>3</v>
      </c>
      <c r="G23" s="1175">
        <f>OP1_TEL!J32</f>
        <v>240</v>
      </c>
      <c r="H23" s="2079"/>
      <c r="I23" s="2080"/>
      <c r="J23" s="1175">
        <f>OP1_TEL!V32</f>
        <v>0</v>
      </c>
      <c r="K23" s="1177">
        <f>G23+J23</f>
        <v>240</v>
      </c>
      <c r="L23" s="1178"/>
    </row>
    <row r="24" spans="2:14" s="1123" customFormat="1" ht="21.9" customHeight="1" x14ac:dyDescent="0.25">
      <c r="B24" s="1170">
        <v>3.4</v>
      </c>
      <c r="C24" s="1171" t="str">
        <f>OP1_TEL!E33</f>
        <v>Early Work</v>
      </c>
      <c r="D24" s="1172" t="s">
        <v>1126</v>
      </c>
      <c r="E24" s="2079">
        <f>OP1_TEL!I33</f>
        <v>200</v>
      </c>
      <c r="F24" s="2080">
        <f>OP1_TEL!G33</f>
        <v>0</v>
      </c>
      <c r="G24" s="1175">
        <f>OP1_TEL!J33</f>
        <v>0</v>
      </c>
      <c r="H24" s="2079"/>
      <c r="I24" s="2080"/>
      <c r="J24" s="1175">
        <f>OP1_TEL!V33</f>
        <v>0</v>
      </c>
      <c r="K24" s="1177">
        <f>G24+J24</f>
        <v>0</v>
      </c>
      <c r="L24" s="1178"/>
    </row>
    <row r="25" spans="2:14" s="1123" customFormat="1" ht="21.9" customHeight="1" x14ac:dyDescent="0.25">
      <c r="B25" s="1186"/>
      <c r="C25" s="1187"/>
      <c r="D25" s="1172"/>
      <c r="E25" s="2079"/>
      <c r="F25" s="2084"/>
      <c r="G25" s="1175"/>
      <c r="H25" s="2079"/>
      <c r="I25" s="2084">
        <f t="shared" ref="I25:I43" si="1">F25</f>
        <v>0</v>
      </c>
      <c r="J25" s="1175"/>
      <c r="K25" s="1189"/>
      <c r="L25" s="1178"/>
    </row>
    <row r="26" spans="2:14" s="1139" customFormat="1" ht="21.9" customHeight="1" thickBot="1" x14ac:dyDescent="0.3">
      <c r="B26" s="1190" t="s">
        <v>1129</v>
      </c>
      <c r="C26" s="1191"/>
      <c r="D26" s="1192"/>
      <c r="E26" s="2085"/>
      <c r="F26" s="2086"/>
      <c r="G26" s="1195">
        <f>SUM(G7:G25)</f>
        <v>740</v>
      </c>
      <c r="H26" s="2085"/>
      <c r="I26" s="2086">
        <f t="shared" si="1"/>
        <v>0</v>
      </c>
      <c r="J26" s="1195">
        <f>SUM(J7:J25)</f>
        <v>0</v>
      </c>
      <c r="K26" s="1195">
        <f>SUM(K7:K25)</f>
        <v>740</v>
      </c>
      <c r="L26" s="1198"/>
      <c r="M26" s="1138"/>
    </row>
    <row r="27" spans="2:14" s="1139" customFormat="1" ht="21.9" customHeight="1" x14ac:dyDescent="0.25">
      <c r="B27" s="1170"/>
      <c r="C27" s="1199"/>
      <c r="D27" s="1172"/>
      <c r="E27" s="2079"/>
      <c r="F27" s="2084"/>
      <c r="G27" s="1175"/>
      <c r="H27" s="2079"/>
      <c r="I27" s="2084">
        <f t="shared" si="1"/>
        <v>0</v>
      </c>
      <c r="J27" s="1175"/>
      <c r="K27" s="1177"/>
      <c r="L27" s="1178"/>
      <c r="M27" s="1138"/>
    </row>
    <row r="28" spans="2:14" s="1139" customFormat="1" ht="21.9" customHeight="1" x14ac:dyDescent="0.25">
      <c r="B28" s="1157" t="s">
        <v>1130</v>
      </c>
      <c r="C28" s="1158" t="s">
        <v>1131</v>
      </c>
      <c r="D28" s="1172"/>
      <c r="E28" s="2079"/>
      <c r="F28" s="2084"/>
      <c r="G28" s="1175"/>
      <c r="H28" s="2079"/>
      <c r="I28" s="2084">
        <f t="shared" si="1"/>
        <v>0</v>
      </c>
      <c r="J28" s="1175"/>
      <c r="K28" s="1189"/>
      <c r="L28" s="1178"/>
      <c r="M28" s="1138"/>
    </row>
    <row r="29" spans="2:14" s="1138" customFormat="1" ht="21.9" customHeight="1" x14ac:dyDescent="0.25">
      <c r="B29" s="1157">
        <v>1</v>
      </c>
      <c r="C29" s="1166" t="str">
        <f>OP1_TEL!B35</f>
        <v>Design Basis / Specification</v>
      </c>
      <c r="D29" s="1159"/>
      <c r="E29" s="2087"/>
      <c r="F29" s="2088"/>
      <c r="G29" s="1202"/>
      <c r="H29" s="2087"/>
      <c r="I29" s="2088">
        <f t="shared" si="1"/>
        <v>0</v>
      </c>
      <c r="J29" s="1202"/>
      <c r="K29" s="1205"/>
      <c r="L29" s="1165"/>
    </row>
    <row r="30" spans="2:14" s="1123" customFormat="1" ht="21.9" customHeight="1" x14ac:dyDescent="0.25">
      <c r="B30" s="1170">
        <v>1.1000000000000001</v>
      </c>
      <c r="C30" s="1199" t="str">
        <f>OP1_TEL!E35</f>
        <v>Technical Specification</v>
      </c>
      <c r="D30" s="1172"/>
      <c r="E30" s="2079"/>
      <c r="F30" s="2084"/>
      <c r="G30" s="1175"/>
      <c r="H30" s="2079"/>
      <c r="I30" s="2084">
        <f t="shared" si="1"/>
        <v>0</v>
      </c>
      <c r="J30" s="1175"/>
      <c r="K30" s="1177"/>
      <c r="L30" s="1178"/>
    </row>
    <row r="31" spans="2:14" s="1123" customFormat="1" ht="21.9" customHeight="1" x14ac:dyDescent="0.25">
      <c r="B31" s="1170"/>
      <c r="C31" s="1206" t="str">
        <f>OP1_TEL!E36</f>
        <v>- Telecommunication System</v>
      </c>
      <c r="D31" s="1172" t="s">
        <v>1134</v>
      </c>
      <c r="E31" s="2079" t="str">
        <f>OP1_TEL!I36</f>
        <v>산출기준참조</v>
      </c>
      <c r="F31" s="2080">
        <f>OP1_TEL!G36</f>
        <v>9</v>
      </c>
      <c r="G31" s="1175">
        <f>OP1_TEL!J36</f>
        <v>1440</v>
      </c>
      <c r="H31" s="2079">
        <f>OP1_TEL!U36</f>
        <v>0</v>
      </c>
      <c r="I31" s="2080">
        <f t="shared" si="1"/>
        <v>9</v>
      </c>
      <c r="J31" s="1175">
        <f>OP1_TEL!V36</f>
        <v>0</v>
      </c>
      <c r="K31" s="1177">
        <f>G31+J31</f>
        <v>1440</v>
      </c>
      <c r="L31" s="2089" t="s">
        <v>1576</v>
      </c>
      <c r="N31" s="2090" t="s">
        <v>1577</v>
      </c>
    </row>
    <row r="32" spans="2:14" s="1123" customFormat="1" ht="21.9" customHeight="1" x14ac:dyDescent="0.25">
      <c r="B32" s="1170"/>
      <c r="C32" s="1206" t="str">
        <f>OP1_TEL!E37</f>
        <v>- Security System</v>
      </c>
      <c r="D32" s="1172" t="s">
        <v>1134</v>
      </c>
      <c r="E32" s="2079" t="str">
        <f>OP1_TEL!I37</f>
        <v>산출기준참조</v>
      </c>
      <c r="F32" s="2080">
        <f>OP1_TEL!G37</f>
        <v>3</v>
      </c>
      <c r="G32" s="1175">
        <f>OP1_TEL!J37</f>
        <v>1570</v>
      </c>
      <c r="H32" s="2079">
        <f>OP1_TEL!U37</f>
        <v>0</v>
      </c>
      <c r="I32" s="2080">
        <f t="shared" si="1"/>
        <v>3</v>
      </c>
      <c r="J32" s="1175">
        <f>OP1_TEL!V37</f>
        <v>0</v>
      </c>
      <c r="K32" s="1177">
        <f>G32+J32</f>
        <v>1570</v>
      </c>
      <c r="L32" s="2089" t="s">
        <v>1576</v>
      </c>
      <c r="N32" s="2090" t="s">
        <v>1577</v>
      </c>
    </row>
    <row r="33" spans="2:14" s="1123" customFormat="1" ht="21.9" customHeight="1" x14ac:dyDescent="0.25">
      <c r="B33" s="1170">
        <v>1.2</v>
      </c>
      <c r="C33" s="1206" t="str">
        <f>OP1_TEL!E38</f>
        <v>Block Diagram</v>
      </c>
      <c r="D33" s="1172"/>
      <c r="E33" s="2079">
        <f>OP1_TEL!I38</f>
        <v>0</v>
      </c>
      <c r="F33" s="2080"/>
      <c r="G33" s="1175"/>
      <c r="H33" s="2079">
        <f>OP1_TEL!U38</f>
        <v>0</v>
      </c>
      <c r="I33" s="2080">
        <f t="shared" si="1"/>
        <v>0</v>
      </c>
      <c r="J33" s="1175"/>
      <c r="K33" s="1177"/>
      <c r="L33" s="1178"/>
    </row>
    <row r="34" spans="2:14" s="1123" customFormat="1" ht="21.9" customHeight="1" x14ac:dyDescent="0.25">
      <c r="B34" s="1170"/>
      <c r="C34" s="1206" t="str">
        <f>OP1_TEL!E39</f>
        <v>- Telecommunication System</v>
      </c>
      <c r="D34" s="1172" t="s">
        <v>1134</v>
      </c>
      <c r="E34" s="2079" t="str">
        <f>OP1_TEL!I39</f>
        <v>산출기준참조</v>
      </c>
      <c r="F34" s="2080">
        <f>OP1_TEL!G39</f>
        <v>10</v>
      </c>
      <c r="G34" s="1175">
        <f>OP1_TEL!J39</f>
        <v>1510</v>
      </c>
      <c r="H34" s="2079">
        <f>OP1_TEL!U39</f>
        <v>20</v>
      </c>
      <c r="I34" s="2080">
        <f t="shared" si="1"/>
        <v>10</v>
      </c>
      <c r="J34" s="1175">
        <f>OP1_TEL!V39</f>
        <v>200</v>
      </c>
      <c r="K34" s="1177">
        <f>G34+J34</f>
        <v>1710</v>
      </c>
      <c r="L34" s="2089" t="s">
        <v>1576</v>
      </c>
      <c r="N34" s="2090" t="s">
        <v>1577</v>
      </c>
    </row>
    <row r="35" spans="2:14" s="1123" customFormat="1" ht="21.9" customHeight="1" x14ac:dyDescent="0.25">
      <c r="B35" s="1170"/>
      <c r="C35" s="1206" t="str">
        <f>OP1_TEL!E40</f>
        <v>- Security System</v>
      </c>
      <c r="D35" s="1172" t="s">
        <v>97</v>
      </c>
      <c r="E35" s="2079" t="str">
        <f>OP1_TEL!I40</f>
        <v>산출기준참조</v>
      </c>
      <c r="F35" s="2080">
        <f>OP1_TEL!G40</f>
        <v>3</v>
      </c>
      <c r="G35" s="1175">
        <f>OP1_TEL!J40</f>
        <v>1640</v>
      </c>
      <c r="H35" s="2079">
        <f>OP1_TEL!U40</f>
        <v>20</v>
      </c>
      <c r="I35" s="2080">
        <f t="shared" si="1"/>
        <v>3</v>
      </c>
      <c r="J35" s="1175">
        <f>OP1_TEL!V40</f>
        <v>60</v>
      </c>
      <c r="K35" s="1177">
        <f>G35+J35</f>
        <v>1700</v>
      </c>
      <c r="L35" s="2089" t="s">
        <v>1576</v>
      </c>
      <c r="N35" s="2090" t="s">
        <v>1577</v>
      </c>
    </row>
    <row r="36" spans="2:14" s="1123" customFormat="1" ht="21.9" customHeight="1" x14ac:dyDescent="0.25">
      <c r="B36" s="1170"/>
      <c r="C36" s="1206"/>
      <c r="D36" s="1172"/>
      <c r="E36" s="2079"/>
      <c r="F36" s="2080"/>
      <c r="G36" s="1175"/>
      <c r="H36" s="2079"/>
      <c r="I36" s="2080">
        <f t="shared" si="1"/>
        <v>0</v>
      </c>
      <c r="J36" s="1175"/>
      <c r="K36" s="1189"/>
      <c r="L36" s="1178"/>
    </row>
    <row r="37" spans="2:14" s="1123" customFormat="1" ht="21.9" customHeight="1" x14ac:dyDescent="0.25">
      <c r="B37" s="1157">
        <v>2</v>
      </c>
      <c r="C37" s="1166" t="s">
        <v>1135</v>
      </c>
      <c r="D37" s="1172"/>
      <c r="E37" s="2079"/>
      <c r="F37" s="2080"/>
      <c r="G37" s="1175"/>
      <c r="H37" s="2079"/>
      <c r="I37" s="2080">
        <f t="shared" si="1"/>
        <v>0</v>
      </c>
      <c r="J37" s="1175"/>
      <c r="K37" s="1189"/>
      <c r="L37" s="1178"/>
    </row>
    <row r="38" spans="2:14" s="1128" customFormat="1" ht="21.9" customHeight="1" x14ac:dyDescent="0.25">
      <c r="B38" s="1170">
        <v>2.1</v>
      </c>
      <c r="C38" s="1199" t="s">
        <v>1452</v>
      </c>
      <c r="D38" s="1172" t="s">
        <v>97</v>
      </c>
      <c r="E38" s="2079">
        <f>OP1_TEL!I41</f>
        <v>50</v>
      </c>
      <c r="F38" s="1188">
        <f>OP1_TEL!G41</f>
        <v>1</v>
      </c>
      <c r="G38" s="1175">
        <f>OP1_TEL!J41</f>
        <v>50</v>
      </c>
      <c r="H38" s="2079">
        <f>OP1_TEL!U41</f>
        <v>150</v>
      </c>
      <c r="I38" s="1188">
        <f t="shared" si="1"/>
        <v>1</v>
      </c>
      <c r="J38" s="1175">
        <f>OP1_TEL!V41</f>
        <v>150</v>
      </c>
      <c r="K38" s="1207">
        <f t="shared" ref="K38:K48" si="2">G38+J38</f>
        <v>200</v>
      </c>
      <c r="L38" s="1208"/>
      <c r="M38" s="1123"/>
    </row>
    <row r="39" spans="2:14" s="1128" customFormat="1" ht="21.9" customHeight="1" x14ac:dyDescent="0.25">
      <c r="B39" s="1170">
        <v>2.2000000000000002</v>
      </c>
      <c r="C39" s="1209" t="s">
        <v>1453</v>
      </c>
      <c r="D39" s="1172" t="s">
        <v>97</v>
      </c>
      <c r="E39" s="2079">
        <f>OP1_TEL!I42</f>
        <v>50</v>
      </c>
      <c r="F39" s="1188">
        <f>OP1_TEL!G42</f>
        <v>1</v>
      </c>
      <c r="G39" s="1175">
        <f>OP1_TEL!J42</f>
        <v>50</v>
      </c>
      <c r="H39" s="2079">
        <f>OP1_TEL!U42</f>
        <v>150</v>
      </c>
      <c r="I39" s="1188">
        <f t="shared" si="1"/>
        <v>1</v>
      </c>
      <c r="J39" s="1175">
        <f>OP1_TEL!V42</f>
        <v>150</v>
      </c>
      <c r="K39" s="1207">
        <f t="shared" si="2"/>
        <v>200</v>
      </c>
      <c r="L39" s="1208"/>
      <c r="M39" s="1123"/>
    </row>
    <row r="40" spans="2:14" s="1128" customFormat="1" ht="21.9" customHeight="1" x14ac:dyDescent="0.25">
      <c r="B40" s="1170">
        <v>2.2999999999999998</v>
      </c>
      <c r="C40" s="1199" t="s">
        <v>1454</v>
      </c>
      <c r="D40" s="1172" t="s">
        <v>97</v>
      </c>
      <c r="E40" s="2079">
        <f>OP1_TEL!I43</f>
        <v>24</v>
      </c>
      <c r="F40" s="1188">
        <f>OP1_TEL!G43</f>
        <v>1</v>
      </c>
      <c r="G40" s="1175">
        <f>OP1_TEL!J43</f>
        <v>24</v>
      </c>
      <c r="H40" s="2079">
        <f>OP1_TEL!U43</f>
        <v>150</v>
      </c>
      <c r="I40" s="1188">
        <f t="shared" si="1"/>
        <v>1</v>
      </c>
      <c r="J40" s="1175">
        <f>OP1_TEL!V43</f>
        <v>150</v>
      </c>
      <c r="K40" s="1207">
        <f t="shared" si="2"/>
        <v>174</v>
      </c>
      <c r="L40" s="1208"/>
      <c r="M40" s="1123"/>
    </row>
    <row r="41" spans="2:14" s="1128" customFormat="1" ht="21.9" customHeight="1" x14ac:dyDescent="0.25">
      <c r="B41" s="1170">
        <v>2.4</v>
      </c>
      <c r="C41" s="1199" t="s">
        <v>1455</v>
      </c>
      <c r="D41" s="1172" t="s">
        <v>97</v>
      </c>
      <c r="E41" s="2079">
        <f>OP1_TEL!I44</f>
        <v>100</v>
      </c>
      <c r="F41" s="1188">
        <f>OP1_TEL!G44</f>
        <v>1</v>
      </c>
      <c r="G41" s="1175">
        <f>OP1_TEL!J44</f>
        <v>100</v>
      </c>
      <c r="H41" s="2079">
        <f>OP1_TEL!U44</f>
        <v>100</v>
      </c>
      <c r="I41" s="1188">
        <f t="shared" si="1"/>
        <v>1</v>
      </c>
      <c r="J41" s="1175">
        <f>OP1_TEL!V44</f>
        <v>100</v>
      </c>
      <c r="K41" s="1207">
        <f t="shared" si="2"/>
        <v>200</v>
      </c>
      <c r="L41" s="1208"/>
      <c r="M41" s="1123"/>
    </row>
    <row r="42" spans="2:14" s="1128" customFormat="1" ht="21.9" customHeight="1" x14ac:dyDescent="0.25">
      <c r="B42" s="1170">
        <v>2.5</v>
      </c>
      <c r="C42" s="1199" t="s">
        <v>1456</v>
      </c>
      <c r="D42" s="1172" t="s">
        <v>97</v>
      </c>
      <c r="E42" s="2079">
        <f>OP1_TEL!I45</f>
        <v>50</v>
      </c>
      <c r="F42" s="1188">
        <f>OP1_TEL!G45</f>
        <v>1</v>
      </c>
      <c r="G42" s="1175">
        <f>OP1_TEL!J45</f>
        <v>50</v>
      </c>
      <c r="H42" s="2079">
        <f>OP1_TEL!U45</f>
        <v>100</v>
      </c>
      <c r="I42" s="1188">
        <f t="shared" si="1"/>
        <v>1</v>
      </c>
      <c r="J42" s="1175">
        <f>OP1_TEL!V45</f>
        <v>100</v>
      </c>
      <c r="K42" s="1207">
        <f t="shared" si="2"/>
        <v>150</v>
      </c>
      <c r="L42" s="1208"/>
      <c r="M42" s="1123"/>
    </row>
    <row r="43" spans="2:14" s="1128" customFormat="1" ht="21.9" customHeight="1" x14ac:dyDescent="0.25">
      <c r="B43" s="1170">
        <v>2.6</v>
      </c>
      <c r="C43" s="1199" t="s">
        <v>1457</v>
      </c>
      <c r="D43" s="1172" t="s">
        <v>97</v>
      </c>
      <c r="E43" s="2079">
        <f>OP1_TEL!I46</f>
        <v>40</v>
      </c>
      <c r="F43" s="1188">
        <f>OP1_TEL!G46</f>
        <v>1</v>
      </c>
      <c r="G43" s="1175">
        <f>OP1_TEL!J46</f>
        <v>40</v>
      </c>
      <c r="H43" s="2079">
        <f>OP1_TEL!U46</f>
        <v>100</v>
      </c>
      <c r="I43" s="1188">
        <f t="shared" si="1"/>
        <v>1</v>
      </c>
      <c r="J43" s="1175">
        <f>OP1_TEL!V46</f>
        <v>100</v>
      </c>
      <c r="K43" s="1207">
        <f t="shared" si="2"/>
        <v>140</v>
      </c>
      <c r="L43" s="1208"/>
      <c r="M43" s="1123"/>
    </row>
    <row r="44" spans="2:14" s="1128" customFormat="1" ht="21.9" customHeight="1" x14ac:dyDescent="0.25">
      <c r="B44" s="1170">
        <v>2.7</v>
      </c>
      <c r="C44" s="1199" t="s">
        <v>1019</v>
      </c>
      <c r="D44" s="1172" t="s">
        <v>97</v>
      </c>
      <c r="E44" s="2079">
        <f>OP1_TEL!I47</f>
        <v>40</v>
      </c>
      <c r="F44" s="1188">
        <f>OP1_TEL!G47</f>
        <v>1</v>
      </c>
      <c r="G44" s="1175">
        <f>OP1_TEL!J47</f>
        <v>40</v>
      </c>
      <c r="H44" s="2079"/>
      <c r="I44" s="1188"/>
      <c r="J44" s="1175">
        <f>OP1_TEL!V47</f>
        <v>0</v>
      </c>
      <c r="K44" s="1177">
        <f t="shared" si="2"/>
        <v>40</v>
      </c>
      <c r="L44" s="1208"/>
      <c r="M44" s="1123"/>
    </row>
    <row r="45" spans="2:14" s="1128" customFormat="1" ht="21.9" customHeight="1" x14ac:dyDescent="0.25">
      <c r="B45" s="1170">
        <v>2.8</v>
      </c>
      <c r="C45" s="1199" t="s">
        <v>1458</v>
      </c>
      <c r="D45" s="1172" t="s">
        <v>97</v>
      </c>
      <c r="E45" s="2079">
        <f>OP1_TEL!I48</f>
        <v>40</v>
      </c>
      <c r="F45" s="1188">
        <f>OP1_TEL!G48</f>
        <v>1</v>
      </c>
      <c r="G45" s="1175">
        <f>OP1_TEL!J48</f>
        <v>40</v>
      </c>
      <c r="H45" s="2079"/>
      <c r="I45" s="1188"/>
      <c r="J45" s="1175">
        <f>OP1_TEL!V48</f>
        <v>0</v>
      </c>
      <c r="K45" s="1177">
        <f t="shared" si="2"/>
        <v>40</v>
      </c>
      <c r="L45" s="1208"/>
      <c r="M45" s="1123"/>
    </row>
    <row r="46" spans="2:14" s="1128" customFormat="1" ht="21.9" customHeight="1" x14ac:dyDescent="0.25">
      <c r="B46" s="1170">
        <v>2.9</v>
      </c>
      <c r="C46" s="1199" t="s">
        <v>1459</v>
      </c>
      <c r="D46" s="1172" t="s">
        <v>97</v>
      </c>
      <c r="E46" s="2079">
        <f>OP1_TEL!I49</f>
        <v>40</v>
      </c>
      <c r="F46" s="1188">
        <f>OP1_TEL!G49</f>
        <v>1</v>
      </c>
      <c r="G46" s="1175">
        <f>OP1_TEL!J49</f>
        <v>40</v>
      </c>
      <c r="H46" s="2079"/>
      <c r="I46" s="1188"/>
      <c r="J46" s="1175">
        <f>OP1_TEL!V49</f>
        <v>0</v>
      </c>
      <c r="K46" s="1177">
        <f t="shared" si="2"/>
        <v>40</v>
      </c>
      <c r="L46" s="1208"/>
      <c r="M46" s="1123"/>
    </row>
    <row r="47" spans="2:14" s="1128" customFormat="1" ht="21.9" customHeight="1" x14ac:dyDescent="0.25">
      <c r="B47" s="2091" t="s">
        <v>1578</v>
      </c>
      <c r="C47" s="1199" t="s">
        <v>1579</v>
      </c>
      <c r="D47" s="1172" t="s">
        <v>97</v>
      </c>
      <c r="E47" s="2079">
        <f>OP1_TEL!I50</f>
        <v>100</v>
      </c>
      <c r="F47" s="1188">
        <f>OP1_TEL!G50</f>
        <v>1</v>
      </c>
      <c r="G47" s="1175">
        <f>OP1_TEL!J50</f>
        <v>100</v>
      </c>
      <c r="H47" s="2079"/>
      <c r="I47" s="1188"/>
      <c r="J47" s="1175">
        <f>OP1_TEL!V50</f>
        <v>0</v>
      </c>
      <c r="K47" s="1177">
        <f t="shared" si="2"/>
        <v>100</v>
      </c>
      <c r="L47" s="1208"/>
      <c r="M47" s="1123"/>
    </row>
    <row r="48" spans="2:14" s="1128" customFormat="1" ht="21.9" customHeight="1" x14ac:dyDescent="0.25">
      <c r="B48" s="1170">
        <v>2.11</v>
      </c>
      <c r="C48" s="1199" t="s">
        <v>1580</v>
      </c>
      <c r="D48" s="1172" t="s">
        <v>97</v>
      </c>
      <c r="E48" s="1173">
        <f>OP1_TEL!I51</f>
        <v>360</v>
      </c>
      <c r="F48" s="1188">
        <f>OP1_TEL!G51</f>
        <v>1</v>
      </c>
      <c r="G48" s="1175">
        <f>OP1_TEL!J51</f>
        <v>360</v>
      </c>
      <c r="H48" s="1173">
        <f>OP1_TEL!U51</f>
        <v>2000</v>
      </c>
      <c r="I48" s="1188">
        <f>F48</f>
        <v>1</v>
      </c>
      <c r="J48" s="1175">
        <f>OP1_TEL!V51</f>
        <v>2000</v>
      </c>
      <c r="K48" s="1177">
        <f t="shared" si="2"/>
        <v>2360</v>
      </c>
      <c r="L48" s="1208"/>
      <c r="M48" s="1123"/>
    </row>
    <row r="49" spans="2:14" s="1128" customFormat="1" ht="21.9" customHeight="1" x14ac:dyDescent="0.25">
      <c r="B49" s="1170"/>
      <c r="C49" s="1199"/>
      <c r="D49" s="1172"/>
      <c r="E49" s="1176"/>
      <c r="F49" s="2084"/>
      <c r="G49" s="1175"/>
      <c r="H49" s="2079"/>
      <c r="I49" s="2084">
        <f>F49</f>
        <v>0</v>
      </c>
      <c r="J49" s="1175"/>
      <c r="K49" s="1189"/>
      <c r="L49" s="1178"/>
      <c r="M49" s="1123"/>
    </row>
    <row r="50" spans="2:14" s="1139" customFormat="1" ht="21.9" customHeight="1" x14ac:dyDescent="0.25">
      <c r="B50" s="1157">
        <v>3</v>
      </c>
      <c r="C50" s="1166" t="s">
        <v>1144</v>
      </c>
      <c r="D50" s="1159"/>
      <c r="E50" s="1203"/>
      <c r="F50" s="2088"/>
      <c r="G50" s="1202"/>
      <c r="H50" s="2087"/>
      <c r="I50" s="2088">
        <f>F50</f>
        <v>0</v>
      </c>
      <c r="J50" s="1202"/>
      <c r="K50" s="1205"/>
      <c r="L50" s="1165"/>
      <c r="M50" s="1138"/>
    </row>
    <row r="51" spans="2:14" s="1128" customFormat="1" ht="21.9" customHeight="1" x14ac:dyDescent="0.25">
      <c r="B51" s="1170">
        <v>3.1</v>
      </c>
      <c r="C51" s="1199" t="s">
        <v>1460</v>
      </c>
      <c r="D51" s="1172" t="s">
        <v>97</v>
      </c>
      <c r="E51" s="2079">
        <f>OP1_TEL!I52</f>
        <v>24</v>
      </c>
      <c r="F51" s="2084">
        <f>OP1_TEL!G52</f>
        <v>1</v>
      </c>
      <c r="G51" s="1175">
        <f>OP1_TEL!J52</f>
        <v>24</v>
      </c>
      <c r="H51" s="2079"/>
      <c r="I51" s="2084"/>
      <c r="J51" s="1175">
        <f>OP1_TEL!V52</f>
        <v>0</v>
      </c>
      <c r="K51" s="1177">
        <f t="shared" ref="K51:K56" si="3">G51+J51</f>
        <v>24</v>
      </c>
      <c r="L51" s="2089" t="s">
        <v>1581</v>
      </c>
      <c r="M51" s="1123"/>
      <c r="N51" s="2092" t="s">
        <v>1582</v>
      </c>
    </row>
    <row r="52" spans="2:14" s="1128" customFormat="1" ht="21.9" customHeight="1" x14ac:dyDescent="0.25">
      <c r="B52" s="1170">
        <v>3.2</v>
      </c>
      <c r="C52" s="1199" t="s">
        <v>1462</v>
      </c>
      <c r="D52" s="1172" t="s">
        <v>97</v>
      </c>
      <c r="E52" s="2079">
        <f>OP1_TEL!I53</f>
        <v>24</v>
      </c>
      <c r="F52" s="2084">
        <f>OP1_TEL!G53</f>
        <v>1</v>
      </c>
      <c r="G52" s="1175">
        <f>OP1_TEL!J53</f>
        <v>24</v>
      </c>
      <c r="H52" s="2079"/>
      <c r="I52" s="2084"/>
      <c r="J52" s="1175">
        <f>OP1_TEL!V53</f>
        <v>0</v>
      </c>
      <c r="K52" s="1177">
        <f t="shared" si="3"/>
        <v>24</v>
      </c>
      <c r="L52" s="2089" t="s">
        <v>1581</v>
      </c>
      <c r="M52" s="1123"/>
      <c r="N52" s="2092" t="s">
        <v>1582</v>
      </c>
    </row>
    <row r="53" spans="2:14" s="1128" customFormat="1" ht="21.9" customHeight="1" x14ac:dyDescent="0.25">
      <c r="B53" s="1170">
        <v>3.3</v>
      </c>
      <c r="C53" s="1199" t="s">
        <v>1463</v>
      </c>
      <c r="D53" s="1172" t="s">
        <v>97</v>
      </c>
      <c r="E53" s="2079">
        <f>OP1_TEL!I54</f>
        <v>24</v>
      </c>
      <c r="F53" s="2084">
        <f>OP1_TEL!G54</f>
        <v>0</v>
      </c>
      <c r="G53" s="1175">
        <f>OP1_TEL!J54</f>
        <v>0</v>
      </c>
      <c r="H53" s="2079"/>
      <c r="I53" s="2084"/>
      <c r="J53" s="1175">
        <f>OP1_TEL!V54</f>
        <v>0</v>
      </c>
      <c r="K53" s="1177">
        <f t="shared" si="3"/>
        <v>0</v>
      </c>
      <c r="L53" s="1178"/>
      <c r="M53" s="1123"/>
    </row>
    <row r="54" spans="2:14" s="1128" customFormat="1" ht="21.9" customHeight="1" x14ac:dyDescent="0.25">
      <c r="B54" s="1170">
        <v>3.4</v>
      </c>
      <c r="C54" s="1199" t="s">
        <v>1464</v>
      </c>
      <c r="D54" s="1172" t="s">
        <v>97</v>
      </c>
      <c r="E54" s="2079">
        <f>OP1_TEL!I55</f>
        <v>24</v>
      </c>
      <c r="F54" s="2084">
        <f>OP1_TEL!G55</f>
        <v>1</v>
      </c>
      <c r="G54" s="1175">
        <f>OP1_TEL!J55</f>
        <v>24</v>
      </c>
      <c r="H54" s="2079"/>
      <c r="I54" s="2084"/>
      <c r="J54" s="1175">
        <f>OP1_TEL!V55</f>
        <v>0</v>
      </c>
      <c r="K54" s="1177">
        <f t="shared" si="3"/>
        <v>24</v>
      </c>
      <c r="L54" s="2089" t="s">
        <v>1581</v>
      </c>
      <c r="M54" s="1123"/>
      <c r="N54" s="2092" t="s">
        <v>1582</v>
      </c>
    </row>
    <row r="55" spans="2:14" s="1128" customFormat="1" ht="21.9" customHeight="1" x14ac:dyDescent="0.25">
      <c r="B55" s="1170">
        <v>3.5</v>
      </c>
      <c r="C55" s="1199" t="s">
        <v>1465</v>
      </c>
      <c r="D55" s="1172" t="s">
        <v>97</v>
      </c>
      <c r="E55" s="2079">
        <f>OP1_TEL!I56</f>
        <v>24</v>
      </c>
      <c r="F55" s="2084">
        <f>OP1_TEL!G56</f>
        <v>1</v>
      </c>
      <c r="G55" s="1175">
        <f>OP1_TEL!J56</f>
        <v>24</v>
      </c>
      <c r="H55" s="2079"/>
      <c r="I55" s="2084"/>
      <c r="J55" s="1175">
        <f>OP1_TEL!V56</f>
        <v>0</v>
      </c>
      <c r="K55" s="1177">
        <f t="shared" si="3"/>
        <v>24</v>
      </c>
      <c r="L55" s="2089" t="s">
        <v>1581</v>
      </c>
      <c r="M55" s="1123"/>
      <c r="N55" s="2092" t="s">
        <v>1582</v>
      </c>
    </row>
    <row r="56" spans="2:14" s="1128" customFormat="1" ht="21.9" customHeight="1" x14ac:dyDescent="0.25">
      <c r="B56" s="1170">
        <v>3.6</v>
      </c>
      <c r="C56" s="1199" t="s">
        <v>1466</v>
      </c>
      <c r="D56" s="1172" t="s">
        <v>97</v>
      </c>
      <c r="E56" s="2079">
        <f>OP1_TEL!I57</f>
        <v>24</v>
      </c>
      <c r="F56" s="2084">
        <f>OP1_TEL!G57</f>
        <v>1</v>
      </c>
      <c r="G56" s="1175">
        <f>OP1_TEL!J57</f>
        <v>24</v>
      </c>
      <c r="H56" s="2079"/>
      <c r="I56" s="2084"/>
      <c r="J56" s="1175">
        <f>OP1_TEL!V57</f>
        <v>0</v>
      </c>
      <c r="K56" s="1177">
        <f t="shared" si="3"/>
        <v>24</v>
      </c>
      <c r="L56" s="2089" t="s">
        <v>1581</v>
      </c>
      <c r="M56" s="1123"/>
      <c r="N56" s="2092" t="s">
        <v>1582</v>
      </c>
    </row>
    <row r="57" spans="2:14" s="1128" customFormat="1" ht="21.9" customHeight="1" x14ac:dyDescent="0.25">
      <c r="B57" s="1210"/>
      <c r="C57" s="1199"/>
      <c r="D57" s="1211"/>
      <c r="E57" s="2079"/>
      <c r="F57" s="2084"/>
      <c r="G57" s="1175"/>
      <c r="H57" s="2079"/>
      <c r="I57" s="2084">
        <f t="shared" ref="I57:I76" si="4">F57</f>
        <v>0</v>
      </c>
      <c r="J57" s="1175"/>
      <c r="K57" s="1212"/>
      <c r="L57" s="1178"/>
      <c r="M57" s="1123"/>
    </row>
    <row r="58" spans="2:14" s="1139" customFormat="1" ht="21.9" customHeight="1" x14ac:dyDescent="0.25">
      <c r="B58" s="1157">
        <v>4</v>
      </c>
      <c r="C58" s="1166" t="s">
        <v>1145</v>
      </c>
      <c r="D58" s="1159"/>
      <c r="E58" s="2087"/>
      <c r="F58" s="2088"/>
      <c r="G58" s="1202"/>
      <c r="H58" s="2087"/>
      <c r="I58" s="2088">
        <f t="shared" si="4"/>
        <v>0</v>
      </c>
      <c r="J58" s="1202"/>
      <c r="K58" s="1213"/>
      <c r="L58" s="1165"/>
      <c r="M58" s="1138"/>
    </row>
    <row r="59" spans="2:14" s="1128" customFormat="1" ht="21.9" customHeight="1" x14ac:dyDescent="0.25">
      <c r="B59" s="1170">
        <v>4.0999999999999996</v>
      </c>
      <c r="C59" s="1199" t="s">
        <v>1467</v>
      </c>
      <c r="D59" s="1172" t="s">
        <v>1147</v>
      </c>
      <c r="E59" s="2079">
        <f>OP1_TEL!I58</f>
        <v>5</v>
      </c>
      <c r="F59" s="2084">
        <f>OP1_TEL!G58</f>
        <v>1</v>
      </c>
      <c r="G59" s="1175">
        <f>OP1_TEL!J58</f>
        <v>5</v>
      </c>
      <c r="H59" s="2079">
        <f>OP1_TEL!U58</f>
        <v>40</v>
      </c>
      <c r="I59" s="2084">
        <f t="shared" si="4"/>
        <v>1</v>
      </c>
      <c r="J59" s="1175">
        <f>OP1_TEL!V58</f>
        <v>40</v>
      </c>
      <c r="K59" s="1214">
        <f t="shared" ref="K59:K69" si="5">G59+J59</f>
        <v>45</v>
      </c>
      <c r="L59" s="1215"/>
      <c r="M59" s="1123"/>
    </row>
    <row r="60" spans="2:14" s="1128" customFormat="1" ht="21.9" customHeight="1" x14ac:dyDescent="0.25">
      <c r="B60" s="1170">
        <v>4.2</v>
      </c>
      <c r="C60" s="1199" t="s">
        <v>1468</v>
      </c>
      <c r="D60" s="1172" t="s">
        <v>1149</v>
      </c>
      <c r="E60" s="2079">
        <f>OP1_TEL!I59</f>
        <v>4</v>
      </c>
      <c r="F60" s="2084">
        <f>OP1_TEL!G59</f>
        <v>5.8368000000000002</v>
      </c>
      <c r="G60" s="1175">
        <f>OP1_TEL!J59</f>
        <v>23</v>
      </c>
      <c r="H60" s="2079">
        <f>OP1_TEL!U59</f>
        <v>50</v>
      </c>
      <c r="I60" s="2084">
        <f t="shared" si="4"/>
        <v>5.8368000000000002</v>
      </c>
      <c r="J60" s="1175">
        <f>OP1_TEL!V59</f>
        <v>292</v>
      </c>
      <c r="K60" s="1214">
        <f t="shared" si="5"/>
        <v>315</v>
      </c>
      <c r="L60" s="1215"/>
      <c r="M60" s="1123"/>
    </row>
    <row r="61" spans="2:14" s="1128" customFormat="1" ht="21.9" customHeight="1" x14ac:dyDescent="0.25">
      <c r="B61" s="1170">
        <v>4.3</v>
      </c>
      <c r="C61" s="1199" t="s">
        <v>1469</v>
      </c>
      <c r="D61" s="1172" t="s">
        <v>1149</v>
      </c>
      <c r="E61" s="2079">
        <f>OP1_TEL!I60</f>
        <v>4</v>
      </c>
      <c r="F61" s="2084">
        <f>OP1_TEL!G60</f>
        <v>5.8368000000000002</v>
      </c>
      <c r="G61" s="1175">
        <f>OP1_TEL!J60</f>
        <v>23</v>
      </c>
      <c r="H61" s="2079">
        <f>OP1_TEL!U60</f>
        <v>50</v>
      </c>
      <c r="I61" s="2084">
        <f t="shared" si="4"/>
        <v>5.8368000000000002</v>
      </c>
      <c r="J61" s="1175">
        <f>OP1_TEL!V60</f>
        <v>292</v>
      </c>
      <c r="K61" s="1207">
        <f t="shared" si="5"/>
        <v>315</v>
      </c>
      <c r="L61" s="1208"/>
      <c r="M61" s="1123"/>
    </row>
    <row r="62" spans="2:14" s="1128" customFormat="1" ht="21.9" customHeight="1" x14ac:dyDescent="0.25">
      <c r="B62" s="1170">
        <v>4.4000000000000004</v>
      </c>
      <c r="C62" s="1199" t="s">
        <v>1470</v>
      </c>
      <c r="D62" s="1172" t="s">
        <v>1147</v>
      </c>
      <c r="E62" s="2079">
        <f>OP1_TEL!I61</f>
        <v>4</v>
      </c>
      <c r="F62" s="2084">
        <f>OP1_TEL!G61</f>
        <v>1</v>
      </c>
      <c r="G62" s="1175">
        <f>OP1_TEL!J61</f>
        <v>4</v>
      </c>
      <c r="H62" s="2079">
        <f>OP1_TEL!U61</f>
        <v>50</v>
      </c>
      <c r="I62" s="2084">
        <f t="shared" si="4"/>
        <v>1</v>
      </c>
      <c r="J62" s="1175">
        <f>OP1_TEL!V61</f>
        <v>50</v>
      </c>
      <c r="K62" s="1207">
        <f t="shared" si="5"/>
        <v>54</v>
      </c>
      <c r="L62" s="1208"/>
      <c r="M62" s="1123"/>
    </row>
    <row r="63" spans="2:14" s="1128" customFormat="1" ht="21.9" customHeight="1" x14ac:dyDescent="0.25">
      <c r="B63" s="1170">
        <v>4.5</v>
      </c>
      <c r="C63" s="1199" t="s">
        <v>1471</v>
      </c>
      <c r="D63" s="1172" t="s">
        <v>1149</v>
      </c>
      <c r="E63" s="2079">
        <f>OP1_TEL!I62</f>
        <v>4</v>
      </c>
      <c r="F63" s="2084">
        <f>OP1_TEL!G62</f>
        <v>1</v>
      </c>
      <c r="G63" s="1175">
        <f>OP1_TEL!J62</f>
        <v>4</v>
      </c>
      <c r="H63" s="2079">
        <f>OP1_TEL!U62</f>
        <v>50</v>
      </c>
      <c r="I63" s="2084">
        <f t="shared" si="4"/>
        <v>1</v>
      </c>
      <c r="J63" s="1175">
        <f>OP1_TEL!V62</f>
        <v>50</v>
      </c>
      <c r="K63" s="1207">
        <f t="shared" si="5"/>
        <v>54</v>
      </c>
      <c r="L63" s="1208"/>
      <c r="M63" s="1123"/>
    </row>
    <row r="64" spans="2:14" s="1128" customFormat="1" ht="21.9" customHeight="1" x14ac:dyDescent="0.25">
      <c r="B64" s="1170">
        <v>4.5999999999999996</v>
      </c>
      <c r="C64" s="1199" t="s">
        <v>1472</v>
      </c>
      <c r="D64" s="1172" t="s">
        <v>1149</v>
      </c>
      <c r="E64" s="2079">
        <f>OP1_TEL!I63</f>
        <v>4</v>
      </c>
      <c r="F64" s="2084">
        <f>OP1_TEL!G63</f>
        <v>5.8368000000000002</v>
      </c>
      <c r="G64" s="1175">
        <f>OP1_TEL!J63</f>
        <v>23</v>
      </c>
      <c r="H64" s="2079">
        <f>OP1_TEL!U63</f>
        <v>67</v>
      </c>
      <c r="I64" s="2084">
        <f t="shared" si="4"/>
        <v>5.8368000000000002</v>
      </c>
      <c r="J64" s="1175">
        <f>OP1_TEL!V63</f>
        <v>391</v>
      </c>
      <c r="K64" s="1207">
        <f t="shared" si="5"/>
        <v>414</v>
      </c>
      <c r="L64" s="1208"/>
      <c r="M64" s="1123"/>
    </row>
    <row r="65" spans="2:13" s="1128" customFormat="1" ht="21.9" customHeight="1" x14ac:dyDescent="0.25">
      <c r="B65" s="1170">
        <v>4.7</v>
      </c>
      <c r="C65" s="1199" t="s">
        <v>1473</v>
      </c>
      <c r="D65" s="1172" t="s">
        <v>1149</v>
      </c>
      <c r="E65" s="2079">
        <f>OP1_TEL!I64</f>
        <v>5</v>
      </c>
      <c r="F65" s="2084">
        <f>OP1_TEL!G64</f>
        <v>2.3368000000000002</v>
      </c>
      <c r="G65" s="1175">
        <f>OP1_TEL!J64</f>
        <v>12</v>
      </c>
      <c r="H65" s="2079">
        <f>OP1_TEL!U64</f>
        <v>67</v>
      </c>
      <c r="I65" s="2084">
        <f t="shared" si="4"/>
        <v>2.3368000000000002</v>
      </c>
      <c r="J65" s="1175">
        <f>OP1_TEL!V64</f>
        <v>157</v>
      </c>
      <c r="K65" s="1207">
        <f t="shared" si="5"/>
        <v>169</v>
      </c>
      <c r="L65" s="1208"/>
      <c r="M65" s="1123"/>
    </row>
    <row r="66" spans="2:13" s="1128" customFormat="1" ht="21.9" customHeight="1" x14ac:dyDescent="0.25">
      <c r="B66" s="1170">
        <v>4.8</v>
      </c>
      <c r="C66" s="1199" t="s">
        <v>1474</v>
      </c>
      <c r="D66" s="1172" t="s">
        <v>1149</v>
      </c>
      <c r="E66" s="2079">
        <f>OP1_TEL!I65</f>
        <v>4</v>
      </c>
      <c r="F66" s="2084">
        <f>OP1_TEL!G65</f>
        <v>3.5</v>
      </c>
      <c r="G66" s="1175">
        <f>OP1_TEL!J65</f>
        <v>14</v>
      </c>
      <c r="H66" s="2079">
        <f>OP1_TEL!U65</f>
        <v>67</v>
      </c>
      <c r="I66" s="2084">
        <f t="shared" si="4"/>
        <v>3.5</v>
      </c>
      <c r="J66" s="1175">
        <f>OP1_TEL!V65</f>
        <v>235</v>
      </c>
      <c r="K66" s="1207">
        <f t="shared" si="5"/>
        <v>249</v>
      </c>
      <c r="L66" s="1208"/>
      <c r="M66" s="1123"/>
    </row>
    <row r="67" spans="2:13" s="1128" customFormat="1" ht="21.9" customHeight="1" x14ac:dyDescent="0.25">
      <c r="B67" s="1170">
        <v>4.9000000000000004</v>
      </c>
      <c r="C67" s="1199" t="s">
        <v>1475</v>
      </c>
      <c r="D67" s="1172" t="s">
        <v>1149</v>
      </c>
      <c r="E67" s="2079">
        <f>OP1_TEL!I66</f>
        <v>3</v>
      </c>
      <c r="F67" s="2084">
        <f>OP1_TEL!G66</f>
        <v>7</v>
      </c>
      <c r="G67" s="1175">
        <f>OP1_TEL!J66</f>
        <v>21</v>
      </c>
      <c r="H67" s="2079">
        <f>OP1_TEL!U66</f>
        <v>34</v>
      </c>
      <c r="I67" s="2084">
        <f t="shared" si="4"/>
        <v>7</v>
      </c>
      <c r="J67" s="1175">
        <f>OP1_TEL!V66</f>
        <v>238</v>
      </c>
      <c r="K67" s="1207">
        <f t="shared" si="5"/>
        <v>259</v>
      </c>
      <c r="L67" s="1208"/>
      <c r="M67" s="1123"/>
    </row>
    <row r="68" spans="2:13" s="1128" customFormat="1" ht="21.9" customHeight="1" x14ac:dyDescent="0.25">
      <c r="B68" s="1216">
        <v>4.0999999999999996</v>
      </c>
      <c r="C68" s="1199" t="s">
        <v>1157</v>
      </c>
      <c r="D68" s="1172" t="s">
        <v>1147</v>
      </c>
      <c r="E68" s="1173">
        <f>OP1_TEL!I67</f>
        <v>0.5</v>
      </c>
      <c r="F68" s="2084">
        <f>OP1_TEL!G67</f>
        <v>50</v>
      </c>
      <c r="G68" s="1175">
        <f>OP1_TEL!J67</f>
        <v>25</v>
      </c>
      <c r="H68" s="2079">
        <f>OP1_TEL!U67</f>
        <v>2</v>
      </c>
      <c r="I68" s="2084">
        <f t="shared" si="4"/>
        <v>50</v>
      </c>
      <c r="J68" s="1175">
        <f>OP1_TEL!V67</f>
        <v>100</v>
      </c>
      <c r="K68" s="1207">
        <f t="shared" si="5"/>
        <v>125</v>
      </c>
      <c r="L68" s="1208"/>
      <c r="M68" s="1123"/>
    </row>
    <row r="69" spans="2:13" s="1128" customFormat="1" ht="21.9" customHeight="1" x14ac:dyDescent="0.25">
      <c r="B69" s="1216">
        <v>4.1100000000000003</v>
      </c>
      <c r="C69" s="1199" t="s">
        <v>1583</v>
      </c>
      <c r="D69" s="1172" t="s">
        <v>1147</v>
      </c>
      <c r="E69" s="2079">
        <f>OP1_TEL!I68</f>
        <v>4</v>
      </c>
      <c r="F69" s="2084">
        <f>OP1_TEL!G68</f>
        <v>0</v>
      </c>
      <c r="G69" s="1175">
        <f>OP1_TEL!J68</f>
        <v>0</v>
      </c>
      <c r="H69" s="2079">
        <f>OP1_TEL!U68</f>
        <v>4</v>
      </c>
      <c r="I69" s="2084">
        <f t="shared" si="4"/>
        <v>0</v>
      </c>
      <c r="J69" s="1175">
        <f>OP1_TEL!V68</f>
        <v>0</v>
      </c>
      <c r="K69" s="1207">
        <f t="shared" si="5"/>
        <v>0</v>
      </c>
      <c r="L69" s="1208"/>
      <c r="M69" s="1123"/>
    </row>
    <row r="70" spans="2:13" s="1128" customFormat="1" ht="21.9" customHeight="1" x14ac:dyDescent="0.25">
      <c r="B70" s="1170"/>
      <c r="C70" s="1199"/>
      <c r="D70" s="1172"/>
      <c r="E70" s="2079"/>
      <c r="F70" s="2084"/>
      <c r="G70" s="1175"/>
      <c r="H70" s="2079"/>
      <c r="I70" s="2084">
        <f t="shared" si="4"/>
        <v>0</v>
      </c>
      <c r="J70" s="1175"/>
      <c r="K70" s="1207"/>
      <c r="L70" s="1215"/>
      <c r="M70" s="1123"/>
    </row>
    <row r="71" spans="2:13" s="1139" customFormat="1" ht="21.9" customHeight="1" x14ac:dyDescent="0.25">
      <c r="B71" s="1157">
        <v>5</v>
      </c>
      <c r="C71" s="1166" t="s">
        <v>1159</v>
      </c>
      <c r="D71" s="1159"/>
      <c r="E71" s="2087"/>
      <c r="F71" s="2088"/>
      <c r="G71" s="1202"/>
      <c r="H71" s="2087"/>
      <c r="I71" s="2088">
        <f t="shared" si="4"/>
        <v>0</v>
      </c>
      <c r="J71" s="1202"/>
      <c r="K71" s="1213"/>
      <c r="L71" s="1165"/>
      <c r="M71" s="1138"/>
    </row>
    <row r="72" spans="2:13" s="1128" customFormat="1" ht="21.9" customHeight="1" x14ac:dyDescent="0.25">
      <c r="B72" s="1170">
        <v>5.0999999999999996</v>
      </c>
      <c r="C72" s="1199" t="s">
        <v>1159</v>
      </c>
      <c r="D72" s="1172" t="s">
        <v>1124</v>
      </c>
      <c r="E72" s="2087" t="s">
        <v>1566</v>
      </c>
      <c r="F72" s="2084">
        <f>OP1_TEL!G70+OP1_TEL!G71</f>
        <v>2</v>
      </c>
      <c r="G72" s="1175">
        <f>OP1_TEL!J70+OP1_TEL!J71</f>
        <v>800</v>
      </c>
      <c r="H72" s="2087" t="s">
        <v>1566</v>
      </c>
      <c r="I72" s="2084">
        <f t="shared" si="4"/>
        <v>2</v>
      </c>
      <c r="J72" s="1175">
        <f>OP1_TEL!V70+OP1_TEL!V71</f>
        <v>800</v>
      </c>
      <c r="K72" s="1207">
        <f>G72+J72</f>
        <v>1600</v>
      </c>
      <c r="L72" s="1215"/>
      <c r="M72" s="1123"/>
    </row>
    <row r="73" spans="2:13" s="1128" customFormat="1" ht="21.9" customHeight="1" x14ac:dyDescent="0.25">
      <c r="B73" s="1170"/>
      <c r="C73" s="1199"/>
      <c r="D73" s="1172"/>
      <c r="E73" s="2079"/>
      <c r="F73" s="2084"/>
      <c r="G73" s="1175"/>
      <c r="H73" s="2079"/>
      <c r="I73" s="2084">
        <f t="shared" si="4"/>
        <v>0</v>
      </c>
      <c r="J73" s="1175"/>
      <c r="K73" s="1207"/>
      <c r="L73" s="1215"/>
      <c r="M73" s="1123"/>
    </row>
    <row r="74" spans="2:13" s="1128" customFormat="1" ht="21.9" customHeight="1" x14ac:dyDescent="0.25">
      <c r="B74" s="1157">
        <v>6</v>
      </c>
      <c r="C74" s="1166" t="s">
        <v>1160</v>
      </c>
      <c r="D74" s="1172"/>
      <c r="E74" s="2079"/>
      <c r="F74" s="2084"/>
      <c r="G74" s="1175"/>
      <c r="H74" s="2079"/>
      <c r="I74" s="2084">
        <f t="shared" si="4"/>
        <v>0</v>
      </c>
      <c r="J74" s="1175"/>
      <c r="K74" s="1207"/>
      <c r="L74" s="1178"/>
      <c r="M74" s="1123"/>
    </row>
    <row r="75" spans="2:13" s="1139" customFormat="1" ht="21.9" customHeight="1" x14ac:dyDescent="0.25">
      <c r="B75" s="1219">
        <v>6.1</v>
      </c>
      <c r="C75" s="1187" t="s">
        <v>1169</v>
      </c>
      <c r="D75" s="1159"/>
      <c r="E75" s="2087"/>
      <c r="F75" s="2088"/>
      <c r="G75" s="1202"/>
      <c r="H75" s="2087"/>
      <c r="I75" s="2088">
        <f t="shared" si="4"/>
        <v>0</v>
      </c>
      <c r="J75" s="1202"/>
      <c r="K75" s="1213"/>
      <c r="L75" s="1165"/>
      <c r="M75" s="1138"/>
    </row>
    <row r="76" spans="2:13" s="1128" customFormat="1" ht="21.9" customHeight="1" x14ac:dyDescent="0.25">
      <c r="B76" s="1170" t="s">
        <v>1584</v>
      </c>
      <c r="C76" s="1209" t="s">
        <v>1171</v>
      </c>
      <c r="D76" s="1172" t="s">
        <v>97</v>
      </c>
      <c r="E76" s="2079">
        <f>OP1_TEL!I73</f>
        <v>270</v>
      </c>
      <c r="F76" s="2084">
        <f>OP1_TEL!G73</f>
        <v>1</v>
      </c>
      <c r="G76" s="1175">
        <f>OP1_TEL!J73</f>
        <v>270</v>
      </c>
      <c r="H76" s="2093">
        <f>OP1_TEL!U73</f>
        <v>450</v>
      </c>
      <c r="I76" s="2088">
        <f t="shared" si="4"/>
        <v>1</v>
      </c>
      <c r="J76" s="1202">
        <f>OP1_TEL!V73</f>
        <v>450</v>
      </c>
      <c r="K76" s="1207">
        <f>G76+J76</f>
        <v>720</v>
      </c>
      <c r="L76" s="1215"/>
      <c r="M76" s="1123"/>
    </row>
    <row r="77" spans="2:13" s="1128" customFormat="1" ht="21.9" customHeight="1" x14ac:dyDescent="0.25">
      <c r="B77" s="1170" t="s">
        <v>1585</v>
      </c>
      <c r="C77" s="1221" t="s">
        <v>767</v>
      </c>
      <c r="D77" s="1172" t="s">
        <v>147</v>
      </c>
      <c r="E77" s="2079"/>
      <c r="F77" s="2084"/>
      <c r="G77" s="1175"/>
      <c r="H77" s="2087">
        <f>OP1_TEL!U74</f>
        <v>638</v>
      </c>
      <c r="I77" s="2088">
        <f>OP1_TEL!G74</f>
        <v>0</v>
      </c>
      <c r="J77" s="1202">
        <f>OP1_TEL!V74</f>
        <v>0</v>
      </c>
      <c r="K77" s="1207">
        <f>G77+J77</f>
        <v>0</v>
      </c>
      <c r="L77" s="1215"/>
      <c r="M77" s="1123"/>
    </row>
    <row r="78" spans="2:13" s="1128" customFormat="1" ht="21.9" customHeight="1" x14ac:dyDescent="0.25">
      <c r="B78" s="1219">
        <v>6.2</v>
      </c>
      <c r="C78" s="1187" t="s">
        <v>1221</v>
      </c>
      <c r="D78" s="1172" t="s">
        <v>1124</v>
      </c>
      <c r="E78" s="2079" t="s">
        <v>1566</v>
      </c>
      <c r="F78" s="2084">
        <f>OP1_TEL!G76+OP1_TEL!G77</f>
        <v>0</v>
      </c>
      <c r="G78" s="1175">
        <f>OP1_TEL!J76+OP1_TEL!J77</f>
        <v>0</v>
      </c>
      <c r="H78" s="2079" t="s">
        <v>1566</v>
      </c>
      <c r="I78" s="2088">
        <f>F78</f>
        <v>0</v>
      </c>
      <c r="J78" s="1202">
        <f>OP1_TEL!V76+OP1_TEL!V77</f>
        <v>0</v>
      </c>
      <c r="K78" s="1207">
        <f>G78+J78</f>
        <v>0</v>
      </c>
      <c r="L78" s="1215"/>
      <c r="M78" s="1123"/>
    </row>
    <row r="79" spans="2:13" s="1123" customFormat="1" ht="21.9" customHeight="1" x14ac:dyDescent="0.25">
      <c r="B79" s="1186"/>
      <c r="C79" s="1187"/>
      <c r="D79" s="1172"/>
      <c r="E79" s="2079"/>
      <c r="F79" s="2084"/>
      <c r="G79" s="1175"/>
      <c r="H79" s="2079"/>
      <c r="I79" s="2084">
        <f t="shared" ref="I79:I118" si="6">F79</f>
        <v>0</v>
      </c>
      <c r="J79" s="1175"/>
      <c r="K79" s="1189"/>
      <c r="L79" s="1178"/>
    </row>
    <row r="80" spans="2:13" s="1139" customFormat="1" ht="21.9" customHeight="1" thickBot="1" x14ac:dyDescent="0.3">
      <c r="B80" s="1190" t="s">
        <v>1175</v>
      </c>
      <c r="C80" s="1191"/>
      <c r="D80" s="1192"/>
      <c r="E80" s="2094"/>
      <c r="F80" s="2095"/>
      <c r="G80" s="1195">
        <f>SUM(G28:G79)</f>
        <v>8398</v>
      </c>
      <c r="H80" s="2094"/>
      <c r="I80" s="2095">
        <f t="shared" si="6"/>
        <v>0</v>
      </c>
      <c r="J80" s="1195">
        <f>SUM(J28:J79)</f>
        <v>6105</v>
      </c>
      <c r="K80" s="1195">
        <f>SUM(K28:K79)</f>
        <v>14503</v>
      </c>
      <c r="L80" s="1198"/>
      <c r="M80" s="1138"/>
    </row>
    <row r="81" spans="2:13" s="1139" customFormat="1" ht="21.9" customHeight="1" x14ac:dyDescent="0.25">
      <c r="B81" s="1170"/>
      <c r="C81" s="1199"/>
      <c r="D81" s="1172"/>
      <c r="E81" s="2079"/>
      <c r="F81" s="2084"/>
      <c r="G81" s="1175"/>
      <c r="H81" s="2079"/>
      <c r="I81" s="2084">
        <f t="shared" si="6"/>
        <v>0</v>
      </c>
      <c r="J81" s="1175"/>
      <c r="K81" s="1177"/>
      <c r="L81" s="1178"/>
      <c r="M81" s="1138"/>
    </row>
    <row r="82" spans="2:13" s="1128" customFormat="1" ht="21.9" customHeight="1" x14ac:dyDescent="0.25">
      <c r="B82" s="1157" t="s">
        <v>1176</v>
      </c>
      <c r="C82" s="1158" t="s">
        <v>1177</v>
      </c>
      <c r="D82" s="1172"/>
      <c r="E82" s="2079"/>
      <c r="F82" s="2084"/>
      <c r="G82" s="1175"/>
      <c r="H82" s="2079"/>
      <c r="I82" s="2084">
        <f t="shared" si="6"/>
        <v>0</v>
      </c>
      <c r="J82" s="1175"/>
      <c r="K82" s="1207"/>
      <c r="L82" s="1178"/>
      <c r="M82" s="1123"/>
    </row>
    <row r="83" spans="2:13" s="1138" customFormat="1" ht="21.9" customHeight="1" x14ac:dyDescent="0.25">
      <c r="B83" s="1157">
        <v>1</v>
      </c>
      <c r="C83" s="1166" t="s">
        <v>1182</v>
      </c>
      <c r="D83" s="1159"/>
      <c r="E83" s="2087"/>
      <c r="F83" s="2088"/>
      <c r="G83" s="1202"/>
      <c r="H83" s="2087"/>
      <c r="I83" s="2088">
        <f t="shared" si="6"/>
        <v>0</v>
      </c>
      <c r="J83" s="1202"/>
      <c r="K83" s="1205"/>
      <c r="L83" s="1165"/>
    </row>
    <row r="84" spans="2:13" s="1123" customFormat="1" ht="21.9" customHeight="1" x14ac:dyDescent="0.25">
      <c r="B84" s="1170">
        <v>1.1000000000000001</v>
      </c>
      <c r="C84" s="1199" t="s">
        <v>347</v>
      </c>
      <c r="D84" s="1172"/>
      <c r="E84" s="2079"/>
      <c r="F84" s="2084"/>
      <c r="G84" s="1175"/>
      <c r="H84" s="2079"/>
      <c r="I84" s="2084">
        <f t="shared" si="6"/>
        <v>0</v>
      </c>
      <c r="J84" s="1175"/>
      <c r="K84" s="1177"/>
      <c r="L84" s="1178"/>
    </row>
    <row r="85" spans="2:13" s="1123" customFormat="1" ht="21.9" customHeight="1" x14ac:dyDescent="0.25">
      <c r="B85" s="1170"/>
      <c r="C85" s="1206" t="s">
        <v>1562</v>
      </c>
      <c r="D85" s="1172" t="s">
        <v>1134</v>
      </c>
      <c r="E85" s="2096">
        <f>OP1_TEL!I86</f>
        <v>200</v>
      </c>
      <c r="F85" s="2084">
        <f>OP1_TEL!G86</f>
        <v>1</v>
      </c>
      <c r="G85" s="1175">
        <f>OP1_TEL!J86</f>
        <v>200</v>
      </c>
      <c r="H85" s="2096">
        <f>OP1_TEL!U86</f>
        <v>8</v>
      </c>
      <c r="I85" s="2084">
        <f t="shared" si="6"/>
        <v>1</v>
      </c>
      <c r="J85" s="1175">
        <f>OP1_TEL!V86</f>
        <v>8</v>
      </c>
      <c r="K85" s="1177">
        <f>G85+J85</f>
        <v>208</v>
      </c>
      <c r="L85" s="1178"/>
    </row>
    <row r="86" spans="2:13" s="1123" customFormat="1" ht="21.9" customHeight="1" x14ac:dyDescent="0.25">
      <c r="B86" s="1170"/>
      <c r="C86" s="1221" t="s">
        <v>1574</v>
      </c>
      <c r="D86" s="1172" t="s">
        <v>1134</v>
      </c>
      <c r="E86" s="2096">
        <f>OP1_TEL!I87</f>
        <v>300</v>
      </c>
      <c r="F86" s="2084">
        <f>OP1_TEL!G87</f>
        <v>0</v>
      </c>
      <c r="G86" s="1175">
        <f>OP1_TEL!J87</f>
        <v>0</v>
      </c>
      <c r="H86" s="2096">
        <f>OP1_TEL!U87</f>
        <v>8</v>
      </c>
      <c r="I86" s="2084">
        <f t="shared" si="6"/>
        <v>0</v>
      </c>
      <c r="J86" s="1175">
        <f>OP1_TEL!V87</f>
        <v>0</v>
      </c>
      <c r="K86" s="1177">
        <f>G86+J86</f>
        <v>0</v>
      </c>
      <c r="L86" s="1178"/>
    </row>
    <row r="87" spans="2:13" s="1123" customFormat="1" ht="21.9" customHeight="1" x14ac:dyDescent="0.25">
      <c r="B87" s="1170"/>
      <c r="C87" s="1206" t="s">
        <v>1565</v>
      </c>
      <c r="D87" s="1172" t="s">
        <v>1134</v>
      </c>
      <c r="E87" s="2096">
        <f>OP1_TEL!I88</f>
        <v>200</v>
      </c>
      <c r="F87" s="2084">
        <f>OP1_TEL!G88</f>
        <v>1</v>
      </c>
      <c r="G87" s="1175">
        <f>OP1_TEL!J88</f>
        <v>200</v>
      </c>
      <c r="H87" s="2096">
        <f>OP1_TEL!U88</f>
        <v>8</v>
      </c>
      <c r="I87" s="2084">
        <f t="shared" si="6"/>
        <v>1</v>
      </c>
      <c r="J87" s="1175">
        <f>OP1_TEL!V88</f>
        <v>8</v>
      </c>
      <c r="K87" s="1177">
        <f>G87+J87</f>
        <v>208</v>
      </c>
      <c r="L87" s="1178"/>
    </row>
    <row r="88" spans="2:13" s="1123" customFormat="1" ht="21.9" customHeight="1" x14ac:dyDescent="0.25">
      <c r="B88" s="1170"/>
      <c r="C88" s="1206" t="s">
        <v>1571</v>
      </c>
      <c r="D88" s="1172" t="s">
        <v>1134</v>
      </c>
      <c r="E88" s="2096">
        <f>OP1_TEL!I89</f>
        <v>60</v>
      </c>
      <c r="F88" s="2084">
        <f>OP1_TEL!G89</f>
        <v>0</v>
      </c>
      <c r="G88" s="1175">
        <f>OP1_TEL!J89</f>
        <v>0</v>
      </c>
      <c r="H88" s="2096">
        <f>OP1_TEL!U89</f>
        <v>8</v>
      </c>
      <c r="I88" s="2084">
        <f t="shared" si="6"/>
        <v>0</v>
      </c>
      <c r="J88" s="1175">
        <f>OP1_TEL!V89</f>
        <v>0</v>
      </c>
      <c r="K88" s="1177">
        <f>G88+J88</f>
        <v>0</v>
      </c>
      <c r="L88" s="1178"/>
    </row>
    <row r="89" spans="2:13" s="1123" customFormat="1" ht="21.9" customHeight="1" x14ac:dyDescent="0.25">
      <c r="B89" s="1170"/>
      <c r="C89" s="1206" t="s">
        <v>1572</v>
      </c>
      <c r="D89" s="1172" t="s">
        <v>1134</v>
      </c>
      <c r="E89" s="2096">
        <f>OP1_TEL!I90</f>
        <v>60</v>
      </c>
      <c r="F89" s="2084">
        <f>OP1_TEL!G90</f>
        <v>0</v>
      </c>
      <c r="G89" s="1175">
        <f>OP1_TEL!J90</f>
        <v>0</v>
      </c>
      <c r="H89" s="2096">
        <f>OP1_TEL!U90</f>
        <v>8</v>
      </c>
      <c r="I89" s="2084">
        <f t="shared" si="6"/>
        <v>0</v>
      </c>
      <c r="J89" s="1175">
        <f>OP1_TEL!V90</f>
        <v>0</v>
      </c>
      <c r="K89" s="1177">
        <f>G89+J89</f>
        <v>0</v>
      </c>
      <c r="L89" s="1178"/>
    </row>
    <row r="90" spans="2:13" s="1123" customFormat="1" ht="21.9" customHeight="1" x14ac:dyDescent="0.25">
      <c r="B90" s="1170"/>
      <c r="C90" s="1206"/>
      <c r="D90" s="1172"/>
      <c r="E90" s="2079"/>
      <c r="F90" s="2084"/>
      <c r="G90" s="1175"/>
      <c r="H90" s="2079"/>
      <c r="I90" s="2084">
        <f t="shared" si="6"/>
        <v>0</v>
      </c>
      <c r="J90" s="1175"/>
      <c r="K90" s="1177"/>
      <c r="L90" s="1178"/>
    </row>
    <row r="91" spans="2:13" s="1123" customFormat="1" ht="21.9" customHeight="1" x14ac:dyDescent="0.25">
      <c r="B91" s="1157">
        <v>2</v>
      </c>
      <c r="C91" s="1166" t="s">
        <v>1183</v>
      </c>
      <c r="D91" s="1172"/>
      <c r="E91" s="2079"/>
      <c r="F91" s="2084"/>
      <c r="G91" s="1175"/>
      <c r="H91" s="2079"/>
      <c r="I91" s="2084">
        <f t="shared" si="6"/>
        <v>0</v>
      </c>
      <c r="J91" s="1175"/>
      <c r="K91" s="1177"/>
      <c r="L91" s="1178"/>
    </row>
    <row r="92" spans="2:13" s="1123" customFormat="1" ht="21.9" customHeight="1" x14ac:dyDescent="0.25">
      <c r="B92" s="1170">
        <v>2.1</v>
      </c>
      <c r="C92" s="1199" t="s">
        <v>355</v>
      </c>
      <c r="D92" s="1172"/>
      <c r="E92" s="2079"/>
      <c r="F92" s="2088"/>
      <c r="G92" s="1175"/>
      <c r="H92" s="2079"/>
      <c r="I92" s="2088">
        <f t="shared" si="6"/>
        <v>0</v>
      </c>
      <c r="J92" s="1175"/>
      <c r="K92" s="1177"/>
      <c r="L92" s="1178"/>
    </row>
    <row r="93" spans="2:13" s="1123" customFormat="1" ht="21.9" customHeight="1" x14ac:dyDescent="0.25">
      <c r="B93" s="1170"/>
      <c r="C93" s="1206" t="s">
        <v>1562</v>
      </c>
      <c r="D93" s="1172" t="s">
        <v>1134</v>
      </c>
      <c r="E93" s="2096">
        <f>OP1_TEL!I92</f>
        <v>500</v>
      </c>
      <c r="F93" s="2084">
        <f>OP1_TEL!G92</f>
        <v>0</v>
      </c>
      <c r="G93" s="1175">
        <f>OP1_TEL!J92</f>
        <v>0</v>
      </c>
      <c r="H93" s="2096">
        <f>OP1_TEL!U92</f>
        <v>8</v>
      </c>
      <c r="I93" s="2084">
        <f t="shared" si="6"/>
        <v>0</v>
      </c>
      <c r="J93" s="1175">
        <f>OP1_TEL!V92</f>
        <v>0</v>
      </c>
      <c r="K93" s="1177">
        <f>G93+J93</f>
        <v>0</v>
      </c>
      <c r="L93" s="1178"/>
    </row>
    <row r="94" spans="2:13" s="1123" customFormat="1" ht="21.9" customHeight="1" x14ac:dyDescent="0.25">
      <c r="B94" s="1170"/>
      <c r="C94" s="1221" t="s">
        <v>1574</v>
      </c>
      <c r="D94" s="1172" t="s">
        <v>1134</v>
      </c>
      <c r="E94" s="2096">
        <f>OP1_TEL!I93</f>
        <v>300</v>
      </c>
      <c r="F94" s="2084">
        <f>OP1_TEL!G93</f>
        <v>0</v>
      </c>
      <c r="G94" s="1175">
        <f>OP1_TEL!J93</f>
        <v>0</v>
      </c>
      <c r="H94" s="2096">
        <f>OP1_TEL!U93</f>
        <v>8</v>
      </c>
      <c r="I94" s="2084">
        <f t="shared" si="6"/>
        <v>0</v>
      </c>
      <c r="J94" s="1175">
        <f>OP1_TEL!V93</f>
        <v>0</v>
      </c>
      <c r="K94" s="1177">
        <f>G94+J94</f>
        <v>0</v>
      </c>
      <c r="L94" s="1178"/>
    </row>
    <row r="95" spans="2:13" s="1123" customFormat="1" ht="21.9" customHeight="1" x14ac:dyDescent="0.25">
      <c r="B95" s="1170"/>
      <c r="C95" s="1206" t="s">
        <v>1565</v>
      </c>
      <c r="D95" s="1172" t="s">
        <v>1134</v>
      </c>
      <c r="E95" s="2096">
        <f>OP1_TEL!I94</f>
        <v>500</v>
      </c>
      <c r="F95" s="2084">
        <f>OP1_TEL!G94</f>
        <v>0</v>
      </c>
      <c r="G95" s="1175">
        <f>OP1_TEL!J94</f>
        <v>0</v>
      </c>
      <c r="H95" s="2096">
        <f>OP1_TEL!U94</f>
        <v>8</v>
      </c>
      <c r="I95" s="2084">
        <f t="shared" si="6"/>
        <v>0</v>
      </c>
      <c r="J95" s="1175">
        <f>OP1_TEL!V94</f>
        <v>0</v>
      </c>
      <c r="K95" s="1177">
        <f>G95+J95</f>
        <v>0</v>
      </c>
      <c r="L95" s="1178"/>
    </row>
    <row r="96" spans="2:13" s="1123" customFormat="1" ht="21.9" customHeight="1" x14ac:dyDescent="0.25">
      <c r="B96" s="1170"/>
      <c r="C96" s="1206" t="s">
        <v>1571</v>
      </c>
      <c r="D96" s="1172" t="s">
        <v>1134</v>
      </c>
      <c r="E96" s="2096">
        <f>OP1_TEL!I95</f>
        <v>90</v>
      </c>
      <c r="F96" s="2084">
        <f>OP1_TEL!G95</f>
        <v>0</v>
      </c>
      <c r="G96" s="1175">
        <f>OP1_TEL!J95</f>
        <v>0</v>
      </c>
      <c r="H96" s="2096">
        <f>OP1_TEL!U95</f>
        <v>8</v>
      </c>
      <c r="I96" s="2084">
        <f t="shared" si="6"/>
        <v>0</v>
      </c>
      <c r="J96" s="1175">
        <f>OP1_TEL!V95</f>
        <v>0</v>
      </c>
      <c r="K96" s="1177">
        <f>G96+J96</f>
        <v>0</v>
      </c>
      <c r="L96" s="1178"/>
    </row>
    <row r="97" spans="2:13" s="1123" customFormat="1" ht="21.9" customHeight="1" x14ac:dyDescent="0.25">
      <c r="B97" s="1170"/>
      <c r="C97" s="1206" t="s">
        <v>1572</v>
      </c>
      <c r="D97" s="1172" t="s">
        <v>1134</v>
      </c>
      <c r="E97" s="2096">
        <f>OP1_TEL!I96</f>
        <v>90</v>
      </c>
      <c r="F97" s="2084">
        <f>OP1_TEL!G96</f>
        <v>0</v>
      </c>
      <c r="G97" s="1175">
        <f>OP1_TEL!J96</f>
        <v>0</v>
      </c>
      <c r="H97" s="2096">
        <f>OP1_TEL!U96</f>
        <v>8</v>
      </c>
      <c r="I97" s="2084">
        <f t="shared" si="6"/>
        <v>0</v>
      </c>
      <c r="J97" s="1175">
        <f>OP1_TEL!V96</f>
        <v>0</v>
      </c>
      <c r="K97" s="1177">
        <f>G97+J97</f>
        <v>0</v>
      </c>
      <c r="L97" s="1178"/>
    </row>
    <row r="98" spans="2:13" s="1128" customFormat="1" ht="21.9" customHeight="1" x14ac:dyDescent="0.25">
      <c r="B98" s="1170"/>
      <c r="C98" s="1199"/>
      <c r="D98" s="1172"/>
      <c r="E98" s="2079"/>
      <c r="F98" s="2084"/>
      <c r="G98" s="1175"/>
      <c r="H98" s="2079"/>
      <c r="I98" s="2084">
        <f t="shared" si="6"/>
        <v>0</v>
      </c>
      <c r="J98" s="1175"/>
      <c r="K98" s="1177"/>
      <c r="L98" s="1178"/>
      <c r="M98" s="1123"/>
    </row>
    <row r="99" spans="2:13" s="1123" customFormat="1" ht="21.9" customHeight="1" x14ac:dyDescent="0.25">
      <c r="B99" s="1157">
        <v>3</v>
      </c>
      <c r="C99" s="1166" t="s">
        <v>1186</v>
      </c>
      <c r="D99" s="1172"/>
      <c r="E99" s="2079"/>
      <c r="F99" s="2084"/>
      <c r="G99" s="1175"/>
      <c r="H99" s="2079"/>
      <c r="I99" s="2084">
        <f t="shared" si="6"/>
        <v>0</v>
      </c>
      <c r="J99" s="1175"/>
      <c r="K99" s="1177"/>
      <c r="L99" s="1178"/>
    </row>
    <row r="100" spans="2:13" s="1123" customFormat="1" ht="21.9" customHeight="1" x14ac:dyDescent="0.25">
      <c r="B100" s="1170">
        <v>3.1</v>
      </c>
      <c r="C100" s="1199" t="s">
        <v>372</v>
      </c>
      <c r="D100" s="1172"/>
      <c r="E100" s="2079"/>
      <c r="F100" s="2088"/>
      <c r="G100" s="1175"/>
      <c r="H100" s="2079"/>
      <c r="I100" s="2088">
        <f t="shared" si="6"/>
        <v>0</v>
      </c>
      <c r="J100" s="1175"/>
      <c r="K100" s="1177"/>
      <c r="L100" s="1178"/>
    </row>
    <row r="101" spans="2:13" s="1123" customFormat="1" ht="21.9" customHeight="1" x14ac:dyDescent="0.25">
      <c r="B101" s="1170"/>
      <c r="C101" s="1206" t="s">
        <v>1562</v>
      </c>
      <c r="D101" s="1172" t="s">
        <v>1134</v>
      </c>
      <c r="E101" s="2096">
        <f>OP1_TEL!I98</f>
        <v>500</v>
      </c>
      <c r="F101" s="2084">
        <f>OP1_TEL!G98</f>
        <v>0</v>
      </c>
      <c r="G101" s="1175">
        <f>OP1_TEL!J98</f>
        <v>0</v>
      </c>
      <c r="H101" s="2096">
        <f>OP1_TEL!U98</f>
        <v>0</v>
      </c>
      <c r="I101" s="2084">
        <f t="shared" si="6"/>
        <v>0</v>
      </c>
      <c r="J101" s="1175">
        <f>OP1_TEL!V98</f>
        <v>0</v>
      </c>
      <c r="K101" s="1177">
        <f>G101+J101</f>
        <v>0</v>
      </c>
      <c r="L101" s="1178"/>
    </row>
    <row r="102" spans="2:13" s="1123" customFormat="1" ht="21.9" customHeight="1" x14ac:dyDescent="0.25">
      <c r="B102" s="1170"/>
      <c r="C102" s="1221" t="s">
        <v>1574</v>
      </c>
      <c r="D102" s="1172" t="s">
        <v>1134</v>
      </c>
      <c r="E102" s="2096">
        <f>OP1_TEL!I99</f>
        <v>300</v>
      </c>
      <c r="F102" s="2084">
        <f>OP1_TEL!G99</f>
        <v>0</v>
      </c>
      <c r="G102" s="1175">
        <f>OP1_TEL!J99</f>
        <v>0</v>
      </c>
      <c r="H102" s="2096">
        <f>OP1_TEL!U99</f>
        <v>0</v>
      </c>
      <c r="I102" s="2084">
        <f t="shared" si="6"/>
        <v>0</v>
      </c>
      <c r="J102" s="1175">
        <f>OP1_TEL!V99</f>
        <v>0</v>
      </c>
      <c r="K102" s="1177">
        <f>G102+J102</f>
        <v>0</v>
      </c>
      <c r="L102" s="1178"/>
    </row>
    <row r="103" spans="2:13" s="1123" customFormat="1" ht="21.9" customHeight="1" x14ac:dyDescent="0.25">
      <c r="B103" s="1170"/>
      <c r="C103" s="1206" t="s">
        <v>1565</v>
      </c>
      <c r="D103" s="1172" t="s">
        <v>1134</v>
      </c>
      <c r="E103" s="2096">
        <f>OP1_TEL!I100</f>
        <v>500</v>
      </c>
      <c r="F103" s="2084">
        <f>OP1_TEL!G100</f>
        <v>0</v>
      </c>
      <c r="G103" s="1175">
        <f>OP1_TEL!J100</f>
        <v>0</v>
      </c>
      <c r="H103" s="2096">
        <f>OP1_TEL!U100</f>
        <v>0</v>
      </c>
      <c r="I103" s="2084">
        <f t="shared" si="6"/>
        <v>0</v>
      </c>
      <c r="J103" s="1175">
        <f>OP1_TEL!V100</f>
        <v>0</v>
      </c>
      <c r="K103" s="1177">
        <f>G103+J103</f>
        <v>0</v>
      </c>
      <c r="L103" s="1178"/>
    </row>
    <row r="104" spans="2:13" s="1123" customFormat="1" ht="21.9" customHeight="1" x14ac:dyDescent="0.25">
      <c r="B104" s="1170"/>
      <c r="C104" s="1206" t="s">
        <v>1571</v>
      </c>
      <c r="D104" s="1172" t="s">
        <v>1134</v>
      </c>
      <c r="E104" s="2096">
        <f>OP1_TEL!I101</f>
        <v>90</v>
      </c>
      <c r="F104" s="2084">
        <f>OP1_TEL!G101</f>
        <v>0</v>
      </c>
      <c r="G104" s="1175">
        <f>OP1_TEL!J101</f>
        <v>0</v>
      </c>
      <c r="H104" s="2096">
        <f>OP1_TEL!U101</f>
        <v>0</v>
      </c>
      <c r="I104" s="2084">
        <f t="shared" si="6"/>
        <v>0</v>
      </c>
      <c r="J104" s="1175">
        <f>OP1_TEL!V101</f>
        <v>0</v>
      </c>
      <c r="K104" s="1177">
        <f>G104+J104</f>
        <v>0</v>
      </c>
      <c r="L104" s="1178"/>
    </row>
    <row r="105" spans="2:13" s="1123" customFormat="1" ht="21.9" customHeight="1" x14ac:dyDescent="0.25">
      <c r="B105" s="1170"/>
      <c r="C105" s="1206" t="s">
        <v>1572</v>
      </c>
      <c r="D105" s="1172" t="s">
        <v>1134</v>
      </c>
      <c r="E105" s="2096">
        <f>OP1_TEL!I102</f>
        <v>90</v>
      </c>
      <c r="F105" s="2084">
        <f>OP1_TEL!G102</f>
        <v>0</v>
      </c>
      <c r="G105" s="1175">
        <f>OP1_TEL!J102</f>
        <v>0</v>
      </c>
      <c r="H105" s="2096">
        <f>OP1_TEL!U102</f>
        <v>0</v>
      </c>
      <c r="I105" s="2084">
        <f t="shared" si="6"/>
        <v>0</v>
      </c>
      <c r="J105" s="1175">
        <f>OP1_TEL!V102</f>
        <v>0</v>
      </c>
      <c r="K105" s="1177">
        <f>G105+J105</f>
        <v>0</v>
      </c>
      <c r="L105" s="1178"/>
    </row>
    <row r="106" spans="2:13" s="1128" customFormat="1" ht="21.9" customHeight="1" x14ac:dyDescent="0.25">
      <c r="B106" s="1170"/>
      <c r="C106" s="1199"/>
      <c r="D106" s="1172"/>
      <c r="E106" s="2079"/>
      <c r="F106" s="2084"/>
      <c r="G106" s="1175"/>
      <c r="H106" s="2079"/>
      <c r="I106" s="2084">
        <f t="shared" si="6"/>
        <v>0</v>
      </c>
      <c r="J106" s="1175"/>
      <c r="K106" s="1189"/>
      <c r="L106" s="1178"/>
      <c r="M106" s="1123"/>
    </row>
    <row r="107" spans="2:13" s="1128" customFormat="1" ht="21.9" customHeight="1" x14ac:dyDescent="0.25">
      <c r="B107" s="1157">
        <v>4</v>
      </c>
      <c r="C107" s="1166" t="s">
        <v>1188</v>
      </c>
      <c r="D107" s="1172"/>
      <c r="E107" s="2079"/>
      <c r="F107" s="2084"/>
      <c r="G107" s="1175"/>
      <c r="H107" s="2079"/>
      <c r="I107" s="2084">
        <f t="shared" si="6"/>
        <v>0</v>
      </c>
      <c r="J107" s="1175"/>
      <c r="K107" s="1207"/>
      <c r="L107" s="1215"/>
      <c r="M107" s="1123"/>
    </row>
    <row r="108" spans="2:13" s="1128" customFormat="1" ht="21.9" customHeight="1" x14ac:dyDescent="0.25">
      <c r="B108" s="1170">
        <v>4.0999999999999996</v>
      </c>
      <c r="C108" s="1206" t="s">
        <v>1189</v>
      </c>
      <c r="D108" s="1172"/>
      <c r="E108" s="2079"/>
      <c r="F108" s="2084"/>
      <c r="G108" s="1175"/>
      <c r="H108" s="2079"/>
      <c r="I108" s="2084">
        <f t="shared" si="6"/>
        <v>0</v>
      </c>
      <c r="J108" s="1175"/>
      <c r="K108" s="1207"/>
      <c r="L108" s="1215"/>
      <c r="M108" s="1123"/>
    </row>
    <row r="109" spans="2:13" s="1128" customFormat="1" ht="21.9" customHeight="1" x14ac:dyDescent="0.25">
      <c r="B109" s="1170">
        <v>4.2</v>
      </c>
      <c r="C109" s="1206" t="s">
        <v>1562</v>
      </c>
      <c r="D109" s="1172" t="s">
        <v>1291</v>
      </c>
      <c r="E109" s="2079">
        <f>OP1_TEL!I104</f>
        <v>120</v>
      </c>
      <c r="F109" s="2084">
        <f>OP1_TEL!G104</f>
        <v>0</v>
      </c>
      <c r="G109" s="1175">
        <f>OP1_TEL!J104</f>
        <v>0</v>
      </c>
      <c r="H109" s="2079">
        <f>OP1_TEL!U104</f>
        <v>0</v>
      </c>
      <c r="I109" s="2084">
        <f t="shared" si="6"/>
        <v>0</v>
      </c>
      <c r="J109" s="1175">
        <f>OP1_TEL!V104</f>
        <v>0</v>
      </c>
      <c r="K109" s="1177">
        <f>G109+J109</f>
        <v>0</v>
      </c>
      <c r="L109" s="1215"/>
      <c r="M109" s="1123"/>
    </row>
    <row r="110" spans="2:13" s="1128" customFormat="1" ht="21.9" customHeight="1" x14ac:dyDescent="0.25">
      <c r="B110" s="1170">
        <v>4.3</v>
      </c>
      <c r="C110" s="1206" t="s">
        <v>1565</v>
      </c>
      <c r="D110" s="1172" t="s">
        <v>1291</v>
      </c>
      <c r="E110" s="2079">
        <f>OP1_TEL!I105</f>
        <v>80</v>
      </c>
      <c r="F110" s="2084">
        <f>OP1_TEL!G105</f>
        <v>0</v>
      </c>
      <c r="G110" s="1175">
        <f>OP1_TEL!J105</f>
        <v>0</v>
      </c>
      <c r="H110" s="2079">
        <f>OP1_TEL!U105</f>
        <v>0</v>
      </c>
      <c r="I110" s="2084">
        <f t="shared" si="6"/>
        <v>0</v>
      </c>
      <c r="J110" s="1175">
        <f>OP1_TEL!V105</f>
        <v>0</v>
      </c>
      <c r="K110" s="1177">
        <f>G110+J110</f>
        <v>0</v>
      </c>
      <c r="L110" s="1215"/>
      <c r="M110" s="1123"/>
    </row>
    <row r="111" spans="2:13" s="1128" customFormat="1" ht="21.9" customHeight="1" x14ac:dyDescent="0.25">
      <c r="B111" s="1170">
        <v>4.4000000000000004</v>
      </c>
      <c r="C111" s="1206" t="s">
        <v>1571</v>
      </c>
      <c r="D111" s="1172" t="s">
        <v>1291</v>
      </c>
      <c r="E111" s="2079">
        <f>OP1_TEL!I106</f>
        <v>16</v>
      </c>
      <c r="F111" s="2084">
        <f>OP1_TEL!G106</f>
        <v>0</v>
      </c>
      <c r="G111" s="1175">
        <f>OP1_TEL!J106</f>
        <v>0</v>
      </c>
      <c r="H111" s="2079">
        <f>OP1_TEL!U106</f>
        <v>0</v>
      </c>
      <c r="I111" s="2084">
        <f t="shared" si="6"/>
        <v>0</v>
      </c>
      <c r="J111" s="1175">
        <f>OP1_TEL!V106</f>
        <v>0</v>
      </c>
      <c r="K111" s="1177">
        <f>G111+J111</f>
        <v>0</v>
      </c>
      <c r="L111" s="1215"/>
      <c r="M111" s="1123"/>
    </row>
    <row r="112" spans="2:13" s="1128" customFormat="1" ht="21.9" customHeight="1" x14ac:dyDescent="0.25">
      <c r="B112" s="1170">
        <v>4.5</v>
      </c>
      <c r="C112" s="1206" t="s">
        <v>1586</v>
      </c>
      <c r="D112" s="1172" t="s">
        <v>1291</v>
      </c>
      <c r="E112" s="2079">
        <f>OP1_TEL!I107</f>
        <v>16</v>
      </c>
      <c r="F112" s="2084">
        <f>OP1_TEL!G107</f>
        <v>0</v>
      </c>
      <c r="G112" s="1175">
        <f>OP1_TEL!J107</f>
        <v>0</v>
      </c>
      <c r="H112" s="2079">
        <f>OP1_TEL!U107</f>
        <v>0</v>
      </c>
      <c r="I112" s="2084">
        <f t="shared" si="6"/>
        <v>0</v>
      </c>
      <c r="J112" s="1175">
        <f>OP1_TEL!V107</f>
        <v>0</v>
      </c>
      <c r="K112" s="1177">
        <f>G112+J112</f>
        <v>0</v>
      </c>
      <c r="L112" s="1215"/>
      <c r="M112" s="1123"/>
    </row>
    <row r="113" spans="2:14" s="1128" customFormat="1" ht="21.9" customHeight="1" x14ac:dyDescent="0.25">
      <c r="B113" s="1170"/>
      <c r="C113" s="1199"/>
      <c r="D113" s="1172"/>
      <c r="E113" s="2079"/>
      <c r="F113" s="2084"/>
      <c r="G113" s="1175"/>
      <c r="H113" s="2079"/>
      <c r="I113" s="2084">
        <f t="shared" si="6"/>
        <v>0</v>
      </c>
      <c r="J113" s="1175"/>
      <c r="K113" s="1189"/>
      <c r="L113" s="1178"/>
      <c r="M113" s="1123"/>
    </row>
    <row r="114" spans="2:14" s="1139" customFormat="1" ht="21.9" customHeight="1" thickBot="1" x14ac:dyDescent="0.3">
      <c r="B114" s="1190" t="s">
        <v>1190</v>
      </c>
      <c r="C114" s="1191"/>
      <c r="D114" s="1192"/>
      <c r="E114" s="2094"/>
      <c r="F114" s="2095"/>
      <c r="G114" s="1195">
        <f>SUM(G82:G113)</f>
        <v>400</v>
      </c>
      <c r="H114" s="2094"/>
      <c r="I114" s="2095">
        <f t="shared" si="6"/>
        <v>0</v>
      </c>
      <c r="J114" s="1195">
        <f>SUM(J82:J113)</f>
        <v>16</v>
      </c>
      <c r="K114" s="1195">
        <f>SUM(K82:K113)</f>
        <v>416</v>
      </c>
      <c r="L114" s="1198"/>
      <c r="M114" s="1138"/>
    </row>
    <row r="115" spans="2:14" s="1128" customFormat="1" ht="21.9" customHeight="1" x14ac:dyDescent="0.25">
      <c r="B115" s="1210"/>
      <c r="C115" s="1199"/>
      <c r="D115" s="1172"/>
      <c r="E115" s="2079"/>
      <c r="F115" s="2084"/>
      <c r="G115" s="1175"/>
      <c r="H115" s="2079"/>
      <c r="I115" s="2084">
        <f t="shared" si="6"/>
        <v>0</v>
      </c>
      <c r="J115" s="1175"/>
      <c r="K115" s="1207"/>
      <c r="L115" s="1178"/>
      <c r="M115" s="1123"/>
    </row>
    <row r="116" spans="2:14" s="1139" customFormat="1" ht="21.9" customHeight="1" x14ac:dyDescent="0.25">
      <c r="B116" s="1157" t="s">
        <v>1191</v>
      </c>
      <c r="C116" s="1158" t="s">
        <v>1192</v>
      </c>
      <c r="D116" s="1159"/>
      <c r="E116" s="2087"/>
      <c r="F116" s="2088"/>
      <c r="G116" s="1202"/>
      <c r="H116" s="2087"/>
      <c r="I116" s="2088">
        <f t="shared" si="6"/>
        <v>0</v>
      </c>
      <c r="J116" s="1202"/>
      <c r="K116" s="1213"/>
      <c r="L116" s="1165"/>
      <c r="M116" s="1138"/>
    </row>
    <row r="117" spans="2:14" s="1139" customFormat="1" ht="21.9" customHeight="1" x14ac:dyDescent="0.25">
      <c r="B117" s="1157">
        <v>1</v>
      </c>
      <c r="C117" s="1166" t="s">
        <v>1193</v>
      </c>
      <c r="D117" s="1159"/>
      <c r="E117" s="2087"/>
      <c r="F117" s="2088"/>
      <c r="G117" s="1202"/>
      <c r="H117" s="2087"/>
      <c r="I117" s="2088">
        <f t="shared" si="6"/>
        <v>0</v>
      </c>
      <c r="J117" s="1202"/>
      <c r="K117" s="1213"/>
      <c r="L117" s="1165"/>
      <c r="M117" s="1138"/>
    </row>
    <row r="118" spans="2:14" s="1128" customFormat="1" ht="21.9" customHeight="1" x14ac:dyDescent="0.25">
      <c r="B118" s="1170">
        <v>1.1000000000000001</v>
      </c>
      <c r="C118" s="1199" t="s">
        <v>1194</v>
      </c>
      <c r="D118" s="1172" t="s">
        <v>1124</v>
      </c>
      <c r="E118" s="2079" t="str">
        <f>OP1_TEL!I109</f>
        <v>산출기준참조</v>
      </c>
      <c r="F118" s="2084">
        <f>OP1_TEL!G109</f>
        <v>0</v>
      </c>
      <c r="G118" s="2097">
        <f>OP1_TEL!J109</f>
        <v>0</v>
      </c>
      <c r="H118" s="2079" t="str">
        <f>OP1_TEL!U109</f>
        <v>-</v>
      </c>
      <c r="I118" s="2084">
        <f t="shared" si="6"/>
        <v>0</v>
      </c>
      <c r="J118" s="2097">
        <f>OP1_TEL!V109</f>
        <v>0</v>
      </c>
      <c r="K118" s="2098">
        <f>G118+J118</f>
        <v>0</v>
      </c>
      <c r="L118" s="2089" t="s">
        <v>1587</v>
      </c>
      <c r="M118" s="1123"/>
      <c r="N118" s="2099" t="s">
        <v>1588</v>
      </c>
    </row>
    <row r="119" spans="2:14" s="1128" customFormat="1" ht="21.9" customHeight="1" x14ac:dyDescent="0.25">
      <c r="B119" s="1228"/>
      <c r="C119" s="1229"/>
      <c r="D119" s="1230"/>
      <c r="E119" s="2100"/>
      <c r="F119" s="2101"/>
      <c r="G119" s="1175"/>
      <c r="H119" s="2102"/>
      <c r="I119" s="2103"/>
      <c r="J119" s="1175"/>
      <c r="K119" s="1214"/>
      <c r="L119" s="1235"/>
      <c r="M119" s="1123"/>
    </row>
    <row r="120" spans="2:14" s="1139" customFormat="1" ht="21.9" customHeight="1" thickBot="1" x14ac:dyDescent="0.3">
      <c r="B120" s="1190" t="s">
        <v>1195</v>
      </c>
      <c r="C120" s="1191"/>
      <c r="D120" s="1192"/>
      <c r="E120" s="2094"/>
      <c r="F120" s="2104"/>
      <c r="G120" s="1195">
        <f>SUM(G116:G119)</f>
        <v>0</v>
      </c>
      <c r="H120" s="2085"/>
      <c r="I120" s="1345"/>
      <c r="J120" s="1195">
        <f>SUM(J116:J119)</f>
        <v>0</v>
      </c>
      <c r="K120" s="1195">
        <f>SUM(K116:K119)</f>
        <v>0</v>
      </c>
      <c r="L120" s="1238"/>
      <c r="M120" s="1138"/>
    </row>
    <row r="121" spans="2:14" s="1139" customFormat="1" ht="21.9" customHeight="1" thickBot="1" x14ac:dyDescent="0.3">
      <c r="B121" s="1239" t="s">
        <v>1196</v>
      </c>
      <c r="C121" s="1240"/>
      <c r="D121" s="1241"/>
      <c r="E121" s="1242"/>
      <c r="F121" s="1243"/>
      <c r="G121" s="1244">
        <f>G26+G80+G114+G120</f>
        <v>9538</v>
      </c>
      <c r="H121" s="2105"/>
      <c r="I121" s="1245"/>
      <c r="J121" s="1244">
        <f>J26+J80+J114+J120</f>
        <v>6121</v>
      </c>
      <c r="K121" s="1244">
        <f>K26+K80+K114+K120</f>
        <v>15659</v>
      </c>
      <c r="L121" s="1246"/>
      <c r="M121" s="1247"/>
    </row>
    <row r="122" spans="2:14" s="1128" customFormat="1" ht="21.9" customHeight="1" x14ac:dyDescent="0.25">
      <c r="B122" s="1248" t="s">
        <v>1197</v>
      </c>
      <c r="C122" s="1249"/>
      <c r="D122" s="1249"/>
      <c r="E122" s="1250"/>
      <c r="F122" s="1250"/>
      <c r="G122" s="1250"/>
      <c r="H122" s="1250"/>
      <c r="I122" s="1250"/>
      <c r="J122" s="1250"/>
      <c r="K122" s="1249"/>
      <c r="L122" s="1251"/>
      <c r="M122" s="1123"/>
    </row>
    <row r="123" spans="2:14" s="1128" customFormat="1" ht="21.9" customHeight="1" x14ac:dyDescent="0.25">
      <c r="B123" s="1252" t="s">
        <v>1198</v>
      </c>
      <c r="D123" s="1123"/>
      <c r="E123" s="1253"/>
      <c r="F123" s="1123"/>
      <c r="G123" s="1253"/>
      <c r="H123" s="1254"/>
      <c r="I123" s="1123"/>
      <c r="J123" s="1123"/>
      <c r="K123" s="1123"/>
      <c r="L123" s="1255"/>
      <c r="M123" s="1123"/>
    </row>
    <row r="124" spans="2:14" s="1128" customFormat="1" ht="21.9" customHeight="1" x14ac:dyDescent="0.25">
      <c r="B124" s="1252"/>
      <c r="D124" s="1123"/>
      <c r="E124" s="1253"/>
      <c r="F124" s="1253"/>
      <c r="G124" s="1253"/>
      <c r="H124" s="1253"/>
      <c r="I124" s="1253"/>
      <c r="J124" s="1253"/>
      <c r="K124" s="1123"/>
      <c r="L124" s="1255"/>
      <c r="M124" s="1123"/>
    </row>
    <row r="125" spans="2:14" s="1128" customFormat="1" ht="21.9" customHeight="1" thickBot="1" x14ac:dyDescent="0.3">
      <c r="B125" s="1256"/>
      <c r="C125" s="1257"/>
      <c r="D125" s="1257"/>
      <c r="E125" s="1258"/>
      <c r="F125" s="1258"/>
      <c r="G125" s="1258"/>
      <c r="H125" s="1258"/>
      <c r="I125" s="1258"/>
      <c r="J125" s="1258"/>
      <c r="K125" s="1257"/>
      <c r="L125" s="1259"/>
      <c r="M125" s="1123"/>
    </row>
    <row r="126" spans="2:14" s="1128" customFormat="1" ht="9.9" customHeight="1" x14ac:dyDescent="0.25">
      <c r="B126" s="1123"/>
      <c r="C126" s="1124"/>
      <c r="D126" s="1124"/>
      <c r="E126" s="1253"/>
      <c r="F126" s="1253"/>
      <c r="G126" s="1253"/>
      <c r="H126" s="1253"/>
      <c r="I126" s="1253"/>
      <c r="J126" s="1253"/>
      <c r="K126" s="1123"/>
      <c r="L126" s="1123"/>
      <c r="M126" s="1123"/>
    </row>
    <row r="127" spans="2:14" s="1128" customFormat="1" ht="21.9" customHeight="1" x14ac:dyDescent="0.25">
      <c r="B127" s="1123"/>
      <c r="C127" s="1123"/>
      <c r="D127" s="2106" t="s">
        <v>1199</v>
      </c>
      <c r="E127" s="2106"/>
      <c r="F127" s="2107">
        <f>OP1_TEL!F113</f>
        <v>161</v>
      </c>
      <c r="G127" s="2107"/>
      <c r="H127" s="2108"/>
      <c r="I127" s="1254"/>
      <c r="J127" s="2107"/>
      <c r="K127" s="2109"/>
      <c r="L127" s="1123"/>
      <c r="M127" s="1123"/>
    </row>
    <row r="128" spans="2:14" s="1128" customFormat="1" ht="21.9" customHeight="1" x14ac:dyDescent="0.25">
      <c r="B128" s="1123"/>
      <c r="C128" s="1123"/>
      <c r="D128" s="2106" t="s">
        <v>1200</v>
      </c>
      <c r="E128" s="2106"/>
      <c r="F128" s="2107">
        <f>OP1_TEL!J114</f>
        <v>59.242236024844722</v>
      </c>
      <c r="G128" s="1275"/>
      <c r="H128" s="2108"/>
      <c r="I128" s="2106" t="s">
        <v>1201</v>
      </c>
      <c r="J128" s="2110"/>
      <c r="K128" s="2106">
        <f>OP1_TEL!V114</f>
        <v>38.018633540372669</v>
      </c>
      <c r="L128" s="2106">
        <f>SUM(F128,K128)</f>
        <v>97.260869565217391</v>
      </c>
      <c r="M128" s="1123"/>
    </row>
    <row r="129" spans="2:13" s="1128" customFormat="1" ht="21.9" customHeight="1" x14ac:dyDescent="0.25">
      <c r="B129" s="1123"/>
      <c r="C129" s="1123"/>
      <c r="D129" s="2106" t="s">
        <v>1202</v>
      </c>
      <c r="E129" s="2106"/>
      <c r="F129" s="1275">
        <f>OP1_TEL!F114</f>
        <v>6</v>
      </c>
      <c r="G129" s="2111" t="s">
        <v>1203</v>
      </c>
      <c r="H129" s="1254"/>
      <c r="I129" s="2106" t="s">
        <v>1204</v>
      </c>
      <c r="J129" s="2110"/>
      <c r="K129" s="2110">
        <f>OP1_TEL!F115</f>
        <v>32000</v>
      </c>
      <c r="L129" s="1274" t="s">
        <v>1099</v>
      </c>
      <c r="M129" s="1123"/>
    </row>
    <row r="130" spans="2:13" s="1128" customFormat="1" ht="21.9" customHeight="1" x14ac:dyDescent="0.25">
      <c r="B130" s="1123"/>
      <c r="C130" s="1123"/>
      <c r="D130" s="2106" t="s">
        <v>1205</v>
      </c>
      <c r="E130" s="2106"/>
      <c r="F130" s="1275">
        <f>OP1_TEL!J115</f>
        <v>9.8737060041407876</v>
      </c>
      <c r="G130" s="2111" t="s">
        <v>118</v>
      </c>
      <c r="H130" s="1254"/>
      <c r="I130" s="2106" t="s">
        <v>1206</v>
      </c>
      <c r="J130" s="2112">
        <f>J121*K129</f>
        <v>195872000</v>
      </c>
      <c r="K130" s="2112"/>
      <c r="L130" s="1274" t="s">
        <v>1099</v>
      </c>
      <c r="M130" s="1123"/>
    </row>
    <row r="131" spans="2:13" s="1128" customFormat="1" ht="9.9" customHeight="1" x14ac:dyDescent="0.25">
      <c r="B131" s="1123"/>
      <c r="C131" s="1123"/>
      <c r="D131" s="1123"/>
      <c r="E131" s="1272"/>
      <c r="F131" s="1272"/>
      <c r="G131" s="1272"/>
      <c r="H131" s="1272"/>
      <c r="I131" s="1272"/>
      <c r="J131" s="1272"/>
      <c r="K131" s="1273"/>
      <c r="L131" s="1123"/>
      <c r="M131" s="1123"/>
    </row>
    <row r="132" spans="2:13" s="1128" customFormat="1" ht="20.100000000000001" customHeight="1" x14ac:dyDescent="0.25">
      <c r="B132" s="1123"/>
      <c r="C132" s="1123"/>
      <c r="D132" s="1123"/>
      <c r="E132" s="1274"/>
      <c r="F132" s="1253"/>
      <c r="G132" s="1275"/>
      <c r="H132" s="1276"/>
      <c r="I132" s="1277" t="s">
        <v>1207</v>
      </c>
      <c r="J132" s="1253"/>
      <c r="K132" s="1253"/>
      <c r="L132" s="1123"/>
      <c r="M132" s="1123"/>
    </row>
    <row r="133" spans="2:13" s="1128" customFormat="1" ht="20.100000000000001" customHeight="1" x14ac:dyDescent="0.25">
      <c r="B133" s="1123"/>
      <c r="C133" s="1123"/>
      <c r="D133" s="1123"/>
      <c r="E133" s="1274"/>
      <c r="F133" s="1253"/>
      <c r="G133" s="1275"/>
      <c r="H133" s="1276"/>
      <c r="I133" s="1278" t="s">
        <v>1208</v>
      </c>
      <c r="J133" s="1279" t="s">
        <v>1209</v>
      </c>
      <c r="K133" s="1279" t="s">
        <v>1210</v>
      </c>
      <c r="L133" s="1123"/>
      <c r="M133" s="1123"/>
    </row>
    <row r="134" spans="2:13" s="1128" customFormat="1" ht="20.100000000000001" customHeight="1" x14ac:dyDescent="0.25">
      <c r="B134" s="1123"/>
      <c r="C134" s="1123"/>
      <c r="D134" s="1123"/>
      <c r="E134" s="1274"/>
      <c r="F134" s="1253"/>
      <c r="G134" s="1275"/>
      <c r="H134" s="1276"/>
      <c r="I134" s="1280" t="s">
        <v>1211</v>
      </c>
      <c r="J134" s="1281"/>
      <c r="K134" s="1281"/>
      <c r="L134" s="1123"/>
      <c r="M134" s="1123"/>
    </row>
    <row r="135" spans="2:13" s="1128" customFormat="1" ht="20.100000000000001" customHeight="1" x14ac:dyDescent="0.25">
      <c r="B135" s="1123"/>
      <c r="C135" s="1123"/>
      <c r="D135" s="1123"/>
      <c r="E135" s="1274"/>
      <c r="F135" s="1253"/>
      <c r="G135" s="1275"/>
      <c r="H135" s="1276"/>
      <c r="I135" s="1280" t="s">
        <v>1212</v>
      </c>
      <c r="J135" s="1281"/>
      <c r="K135" s="1281"/>
      <c r="L135" s="1123"/>
      <c r="M135" s="1123"/>
    </row>
    <row r="136" spans="2:13" s="1128" customFormat="1" ht="20.100000000000001" customHeight="1" x14ac:dyDescent="0.25">
      <c r="B136" s="1123"/>
      <c r="C136" s="1123"/>
      <c r="D136" s="1123"/>
      <c r="E136" s="1123"/>
      <c r="F136" s="1253"/>
      <c r="G136" s="1253"/>
      <c r="H136" s="1276"/>
      <c r="I136" s="1280" t="s">
        <v>1213</v>
      </c>
      <c r="J136" s="1281"/>
      <c r="K136" s="1281"/>
      <c r="L136" s="1123"/>
      <c r="M136" s="1123"/>
    </row>
    <row r="137" spans="2:13" s="1128" customFormat="1" ht="20.100000000000001" customHeight="1" x14ac:dyDescent="0.25">
      <c r="B137" s="1123"/>
      <c r="C137" s="1123"/>
      <c r="D137" s="1123"/>
      <c r="E137" s="1123"/>
      <c r="F137" s="1253"/>
      <c r="G137" s="1253"/>
      <c r="H137" s="1276"/>
      <c r="I137" s="1280" t="s">
        <v>1182</v>
      </c>
      <c r="J137" s="1281"/>
      <c r="K137" s="1281"/>
      <c r="L137" s="1123"/>
      <c r="M137" s="1123"/>
    </row>
    <row r="138" spans="2:13" s="1128" customFormat="1" ht="20.100000000000001" customHeight="1" x14ac:dyDescent="0.25">
      <c r="B138" s="1123"/>
      <c r="C138" s="1123"/>
      <c r="D138" s="1123"/>
      <c r="E138" s="1123"/>
      <c r="F138" s="1253"/>
      <c r="G138" s="1253"/>
      <c r="H138" s="1276"/>
      <c r="I138" s="1280" t="s">
        <v>1214</v>
      </c>
      <c r="J138" s="1281"/>
      <c r="K138" s="1281"/>
      <c r="L138" s="1123"/>
      <c r="M138" s="1123"/>
    </row>
    <row r="139" spans="2:13" s="1128" customFormat="1" ht="20.100000000000001" customHeight="1" x14ac:dyDescent="0.25">
      <c r="B139" s="1123"/>
      <c r="C139" s="1123"/>
      <c r="D139" s="1123"/>
      <c r="E139" s="1253"/>
      <c r="F139" s="1253"/>
      <c r="G139" s="1253"/>
      <c r="H139" s="1276"/>
      <c r="I139" s="1280" t="s">
        <v>1215</v>
      </c>
      <c r="J139" s="1281"/>
      <c r="K139" s="1281"/>
      <c r="L139" s="1123"/>
      <c r="M139" s="1123"/>
    </row>
    <row r="140" spans="2:13" s="1128" customFormat="1" ht="20.100000000000001" customHeight="1" x14ac:dyDescent="0.25">
      <c r="B140" s="1123"/>
      <c r="C140" s="1123"/>
      <c r="D140" s="1123"/>
      <c r="E140" s="1253"/>
      <c r="F140" s="1253"/>
      <c r="G140" s="1253"/>
      <c r="H140" s="1276"/>
      <c r="I140" s="1280" t="s">
        <v>1216</v>
      </c>
      <c r="J140" s="1281"/>
      <c r="K140" s="1281"/>
      <c r="L140" s="1123"/>
      <c r="M140" s="1123"/>
    </row>
    <row r="141" spans="2:13" s="1128" customFormat="1" ht="12" x14ac:dyDescent="0.25">
      <c r="B141" s="1123"/>
      <c r="C141" s="1123"/>
      <c r="D141" s="1123"/>
      <c r="E141" s="1254"/>
      <c r="F141" s="1274"/>
      <c r="G141" s="1274"/>
      <c r="H141" s="1123"/>
      <c r="I141" s="1123"/>
      <c r="J141" s="1123"/>
      <c r="K141" s="1123"/>
      <c r="L141" s="1123"/>
      <c r="M141" s="1123"/>
    </row>
    <row r="142" spans="2:13" x14ac:dyDescent="0.25">
      <c r="B142" s="1118"/>
      <c r="C142" s="1282"/>
      <c r="D142" s="1118"/>
      <c r="E142" s="1283"/>
      <c r="F142" s="1138"/>
      <c r="G142" s="1138"/>
      <c r="H142" s="1138"/>
      <c r="I142" s="1138"/>
      <c r="J142" s="1138"/>
      <c r="K142" s="1138"/>
      <c r="L142" s="1138"/>
      <c r="M142" s="1118"/>
    </row>
    <row r="144" spans="2:13" x14ac:dyDescent="0.25">
      <c r="E144" s="1284"/>
    </row>
  </sheetData>
  <mergeCells count="5">
    <mergeCell ref="C4:C5"/>
    <mergeCell ref="D4:D5"/>
    <mergeCell ref="K4:K5"/>
    <mergeCell ref="L4:L5"/>
    <mergeCell ref="J130:K130"/>
  </mergeCells>
  <printOptions gridLinesSet="0"/>
  <pageMargins left="0.55118110236220474" right="0.15748031496062992" top="0.47244094488188981" bottom="0.43307086614173229" header="0.27559055118110237" footer="0.31496062992125984"/>
  <pageSetup paperSize="8" scale="72" fitToHeight="0" orientation="portrait" r:id="rId1"/>
  <headerFooter alignWithMargins="0"/>
  <rowBreaks count="1" manualBreakCount="1">
    <brk id="69" max="12"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55C9-A815-400D-A58B-7A8F56403E69}">
  <sheetPr>
    <tabColor rgb="FFFFC000"/>
    <pageSetUpPr fitToPage="1"/>
  </sheetPr>
  <dimension ref="B1:Q147"/>
  <sheetViews>
    <sheetView showGridLines="0" showZeros="0" view="pageBreakPreview" zoomScale="85" zoomScaleNormal="85" zoomScaleSheetLayoutView="85" workbookViewId="0">
      <pane xSplit="2" ySplit="5" topLeftCell="C124" activePane="bottomRight" state="frozen"/>
      <selection activeCell="J114" sqref="J114"/>
      <selection pane="topRight" activeCell="J114" sqref="J114"/>
      <selection pane="bottomLeft" activeCell="J114" sqref="J114"/>
      <selection pane="bottomRight" activeCell="J114" sqref="J114"/>
    </sheetView>
  </sheetViews>
  <sheetFormatPr defaultColWidth="8" defaultRowHeight="14.4" x14ac:dyDescent="0.25"/>
  <cols>
    <col min="1" max="1" width="1.796875" style="1120" customWidth="1"/>
    <col min="2" max="2" width="8.796875" style="1120" customWidth="1"/>
    <col min="3" max="3" width="40.796875" style="1120" customWidth="1"/>
    <col min="4" max="4" width="6.796875" style="1120" customWidth="1"/>
    <col min="5" max="6" width="9.796875" style="1120" customWidth="1"/>
    <col min="7" max="10" width="10.59765625" style="1285" customWidth="1"/>
    <col min="11" max="11" width="9.796875" style="1285" customWidth="1"/>
    <col min="12" max="12" width="9.796875" style="1286" customWidth="1"/>
    <col min="13" max="13" width="10.59765625" style="1286" customWidth="1"/>
    <col min="14" max="14" width="16.69921875" style="1286" customWidth="1"/>
    <col min="15" max="15" width="30.796875" style="1285" customWidth="1"/>
    <col min="16" max="16" width="1.796875" style="1120" customWidth="1"/>
    <col min="17" max="16384" width="8" style="1120"/>
  </cols>
  <sheetData>
    <row r="1" spans="2:17" ht="35.1" customHeight="1" x14ac:dyDescent="0.25">
      <c r="B1" s="1115" t="s">
        <v>1575</v>
      </c>
      <c r="C1" s="1116"/>
      <c r="D1" s="1116"/>
      <c r="E1" s="1117"/>
      <c r="F1" s="1117"/>
      <c r="G1" s="1117"/>
      <c r="H1" s="1117"/>
      <c r="I1" s="1117"/>
      <c r="J1" s="1117"/>
      <c r="K1" s="1117"/>
      <c r="L1" s="1117"/>
      <c r="M1" s="1117"/>
      <c r="N1" s="1116"/>
      <c r="O1" s="1116"/>
      <c r="P1" s="1118"/>
      <c r="Q1" s="1119" t="s">
        <v>1589</v>
      </c>
    </row>
    <row r="2" spans="2:17" ht="35.1" customHeight="1" x14ac:dyDescent="0.25">
      <c r="B2" s="1288" t="str">
        <f>CONCATENATE("GEC &amp; 외주-단종 Case [",산출기준_TEL!A5,"]")</f>
        <v>GEC &amp; 외주-단종 Case [일반 Ver.]</v>
      </c>
      <c r="C2" s="1116"/>
      <c r="D2" s="1116"/>
      <c r="E2" s="1117"/>
      <c r="F2" s="1117"/>
      <c r="G2" s="1117"/>
      <c r="H2" s="1117"/>
      <c r="I2" s="1117"/>
      <c r="J2" s="1117"/>
      <c r="K2" s="1117"/>
      <c r="L2" s="1117"/>
      <c r="M2" s="1117"/>
      <c r="N2" s="1116"/>
      <c r="O2" s="1116"/>
      <c r="P2" s="1118"/>
    </row>
    <row r="3" spans="2:17" s="1128" customFormat="1" ht="20.100000000000001" customHeight="1" thickBot="1" x14ac:dyDescent="0.25">
      <c r="B3" s="1274" t="str">
        <f>Input_TEL!$B$5</f>
        <v xml:space="preserve">PROJECT: </v>
      </c>
      <c r="C3" s="1124"/>
      <c r="D3" s="1125"/>
      <c r="E3" s="1126"/>
      <c r="F3" s="1126"/>
      <c r="G3" s="1126"/>
      <c r="H3" s="1126"/>
      <c r="I3" s="1126"/>
      <c r="J3" s="1126"/>
      <c r="K3" s="1126"/>
      <c r="L3" s="1126"/>
      <c r="M3" s="1126"/>
      <c r="N3" s="1125"/>
      <c r="O3" s="1127">
        <f>Input_TEL!AJ5</f>
        <v>45838</v>
      </c>
      <c r="P3" s="1123"/>
      <c r="Q3" s="176" t="s">
        <v>1111</v>
      </c>
    </row>
    <row r="4" spans="2:17" s="1139" customFormat="1" ht="21.9" customHeight="1" x14ac:dyDescent="0.2">
      <c r="B4" s="1129" t="s">
        <v>1112</v>
      </c>
      <c r="C4" s="1130" t="s">
        <v>1113</v>
      </c>
      <c r="D4" s="1131" t="s">
        <v>1114</v>
      </c>
      <c r="E4" s="1132" t="s">
        <v>1115</v>
      </c>
      <c r="F4" s="1133"/>
      <c r="G4" s="1134"/>
      <c r="H4" s="1132" t="s">
        <v>1218</v>
      </c>
      <c r="I4" s="1133"/>
      <c r="J4" s="1134"/>
      <c r="K4" s="1132" t="s">
        <v>1219</v>
      </c>
      <c r="L4" s="1133"/>
      <c r="M4" s="1134"/>
      <c r="N4" s="1136" t="s">
        <v>987</v>
      </c>
      <c r="O4" s="1137" t="s">
        <v>1117</v>
      </c>
      <c r="P4" s="1138"/>
      <c r="Q4" s="176"/>
    </row>
    <row r="5" spans="2:17" s="1139" customFormat="1" ht="21.9" customHeight="1" thickBot="1" x14ac:dyDescent="0.3">
      <c r="B5" s="1140" t="s">
        <v>1118</v>
      </c>
      <c r="C5" s="1141"/>
      <c r="D5" s="1142"/>
      <c r="E5" s="1143" t="s">
        <v>1003</v>
      </c>
      <c r="F5" s="1144" t="s">
        <v>1119</v>
      </c>
      <c r="G5" s="1289" t="s">
        <v>1120</v>
      </c>
      <c r="H5" s="1143" t="s">
        <v>1003</v>
      </c>
      <c r="I5" s="1144" t="s">
        <v>1119</v>
      </c>
      <c r="J5" s="1289" t="s">
        <v>1120</v>
      </c>
      <c r="K5" s="1143" t="s">
        <v>1003</v>
      </c>
      <c r="L5" s="1144" t="s">
        <v>1119</v>
      </c>
      <c r="M5" s="1145" t="s">
        <v>1120</v>
      </c>
      <c r="N5" s="1146"/>
      <c r="O5" s="1147"/>
      <c r="P5" s="1138"/>
    </row>
    <row r="6" spans="2:17" s="1123" customFormat="1" ht="21.9" customHeight="1" thickTop="1" x14ac:dyDescent="0.25">
      <c r="B6" s="1148"/>
      <c r="C6" s="1149"/>
      <c r="D6" s="1150"/>
      <c r="E6" s="1151"/>
      <c r="F6" s="1353"/>
      <c r="G6" s="1153"/>
      <c r="H6" s="1151"/>
      <c r="I6" s="1353"/>
      <c r="J6" s="1153"/>
      <c r="K6" s="1154"/>
      <c r="L6" s="1353"/>
      <c r="M6" s="1153"/>
      <c r="N6" s="1155"/>
      <c r="O6" s="1156"/>
    </row>
    <row r="7" spans="2:17" s="1138" customFormat="1" ht="21.9" customHeight="1" x14ac:dyDescent="0.25">
      <c r="B7" s="1157" t="s">
        <v>1121</v>
      </c>
      <c r="C7" s="1158" t="s">
        <v>1122</v>
      </c>
      <c r="D7" s="1159"/>
      <c r="E7" s="1160"/>
      <c r="F7" s="1358"/>
      <c r="G7" s="1162"/>
      <c r="H7" s="1160"/>
      <c r="I7" s="1358"/>
      <c r="J7" s="1162"/>
      <c r="K7" s="1160"/>
      <c r="L7" s="1358"/>
      <c r="M7" s="1162"/>
      <c r="N7" s="1164"/>
      <c r="O7" s="1165"/>
    </row>
    <row r="8" spans="2:17" s="1138" customFormat="1" ht="21.9" customHeight="1" x14ac:dyDescent="0.25">
      <c r="B8" s="1157">
        <v>1</v>
      </c>
      <c r="C8" s="1166" t="s">
        <v>672</v>
      </c>
      <c r="D8" s="1159"/>
      <c r="E8" s="1160"/>
      <c r="F8" s="1358"/>
      <c r="G8" s="1167"/>
      <c r="H8" s="1160"/>
      <c r="I8" s="1358"/>
      <c r="J8" s="1167"/>
      <c r="K8" s="1160"/>
      <c r="L8" s="1363"/>
      <c r="M8" s="1167"/>
      <c r="N8" s="1169"/>
      <c r="O8" s="1165"/>
    </row>
    <row r="9" spans="2:17" s="1123" customFormat="1" ht="21.9" customHeight="1" x14ac:dyDescent="0.25">
      <c r="B9" s="1170">
        <v>1.1000000000000001</v>
      </c>
      <c r="C9" s="1171" t="s">
        <v>1123</v>
      </c>
      <c r="D9" s="1172" t="s">
        <v>1124</v>
      </c>
      <c r="E9" s="1173">
        <f>OP1_TEL!K21</f>
        <v>28</v>
      </c>
      <c r="F9" s="2080">
        <f>OP1_TEL!G21</f>
        <v>1</v>
      </c>
      <c r="G9" s="1175">
        <f>OP1_TEL!L21</f>
        <v>28</v>
      </c>
      <c r="H9" s="1173">
        <f>OP1_TEL!O21</f>
        <v>17.142857142857142</v>
      </c>
      <c r="I9" s="2080">
        <f t="shared" ref="I9:I24" si="0">F9</f>
        <v>1</v>
      </c>
      <c r="J9" s="1175">
        <f>OP1_TEL!P21</f>
        <v>17</v>
      </c>
      <c r="K9" s="1173">
        <f>OP1_TEL!W21</f>
        <v>0</v>
      </c>
      <c r="L9" s="2080">
        <f>F9</f>
        <v>1</v>
      </c>
      <c r="M9" s="2097">
        <f>OP1_TEL!X21</f>
        <v>0</v>
      </c>
      <c r="N9" s="1309">
        <f t="shared" ref="N9:N24" si="1">G9+J9+M9</f>
        <v>45</v>
      </c>
      <c r="O9" s="1178"/>
    </row>
    <row r="10" spans="2:17" s="1123" customFormat="1" ht="21.9" customHeight="1" x14ac:dyDescent="0.25">
      <c r="B10" s="1170">
        <v>1.2</v>
      </c>
      <c r="C10" s="1171" t="s">
        <v>103</v>
      </c>
      <c r="D10" s="1172" t="s">
        <v>1124</v>
      </c>
      <c r="E10" s="1173">
        <f>OP1_TEL!K22</f>
        <v>42</v>
      </c>
      <c r="F10" s="2080">
        <f>OP1_TEL!G22</f>
        <v>1</v>
      </c>
      <c r="G10" s="1175">
        <f>OP1_TEL!L22</f>
        <v>42</v>
      </c>
      <c r="H10" s="1173">
        <f>OP1_TEL!O22</f>
        <v>25.714285714285715</v>
      </c>
      <c r="I10" s="2080">
        <f t="shared" si="0"/>
        <v>1</v>
      </c>
      <c r="J10" s="1175">
        <f>OP1_TEL!P22</f>
        <v>26</v>
      </c>
      <c r="K10" s="1173">
        <f>OP1_TEL!W22</f>
        <v>0</v>
      </c>
      <c r="L10" s="2080">
        <f>F10</f>
        <v>1</v>
      </c>
      <c r="M10" s="2097">
        <f>OP1_TEL!X22</f>
        <v>0</v>
      </c>
      <c r="N10" s="1309">
        <f t="shared" si="1"/>
        <v>68</v>
      </c>
      <c r="O10" s="1178"/>
    </row>
    <row r="11" spans="2:17" s="1123" customFormat="1" ht="21.9" customHeight="1" x14ac:dyDescent="0.25">
      <c r="B11" s="1170"/>
      <c r="C11" s="1171"/>
      <c r="D11" s="1172"/>
      <c r="E11" s="1173"/>
      <c r="F11" s="2080"/>
      <c r="G11" s="1175"/>
      <c r="H11" s="1173"/>
      <c r="I11" s="2080">
        <f t="shared" si="0"/>
        <v>0</v>
      </c>
      <c r="J11" s="1175">
        <f>OP1_TEL!U23</f>
        <v>0</v>
      </c>
      <c r="K11" s="1173"/>
      <c r="L11" s="2080">
        <f>I11</f>
        <v>0</v>
      </c>
      <c r="M11" s="1175"/>
      <c r="N11" s="1309">
        <f t="shared" si="1"/>
        <v>0</v>
      </c>
      <c r="O11" s="1178"/>
    </row>
    <row r="12" spans="2:17" s="1123" customFormat="1" ht="21.9" customHeight="1" x14ac:dyDescent="0.25">
      <c r="B12" s="1157">
        <v>2</v>
      </c>
      <c r="C12" s="1166" t="str">
        <f>OP1_TEL!B23</f>
        <v>인허가 지원 업무</v>
      </c>
      <c r="D12" s="1179"/>
      <c r="E12" s="1180"/>
      <c r="F12" s="2082"/>
      <c r="G12" s="1182"/>
      <c r="H12" s="1173"/>
      <c r="I12" s="2080">
        <f t="shared" si="0"/>
        <v>0</v>
      </c>
      <c r="J12" s="1175">
        <f>OP1_TEL!U24</f>
        <v>0</v>
      </c>
      <c r="K12" s="1180"/>
      <c r="L12" s="2080">
        <f>I12</f>
        <v>0</v>
      </c>
      <c r="M12" s="1182"/>
      <c r="N12" s="1309">
        <f t="shared" si="1"/>
        <v>0</v>
      </c>
      <c r="O12" s="1185"/>
    </row>
    <row r="13" spans="2:17" s="1123" customFormat="1" ht="21.9" customHeight="1" x14ac:dyDescent="0.25">
      <c r="B13" s="1170">
        <v>2.1</v>
      </c>
      <c r="C13" s="1171" t="str">
        <f>OP1_TEL!E23</f>
        <v>Radio Frequency/장비 License 관련 인허가 Support</v>
      </c>
      <c r="D13" s="1172" t="s">
        <v>1124</v>
      </c>
      <c r="E13" s="1173">
        <f>OP1_TEL!K23</f>
        <v>28</v>
      </c>
      <c r="F13" s="2080">
        <f>OP1_TEL!G23</f>
        <v>1</v>
      </c>
      <c r="G13" s="1175">
        <f>OP1_TEL!L23</f>
        <v>28</v>
      </c>
      <c r="H13" s="1173">
        <f>OP1_TEL!O23</f>
        <v>17.142857142857142</v>
      </c>
      <c r="I13" s="2080">
        <f t="shared" si="0"/>
        <v>1</v>
      </c>
      <c r="J13" s="1175">
        <f>OP1_TEL!P23</f>
        <v>17</v>
      </c>
      <c r="K13" s="1173">
        <f>OP1_TEL!W23</f>
        <v>0</v>
      </c>
      <c r="L13" s="2080">
        <f t="shared" ref="L13:L18" si="2">F13</f>
        <v>1</v>
      </c>
      <c r="M13" s="2097">
        <f>OP1_TEL!X23</f>
        <v>0</v>
      </c>
      <c r="N13" s="1309">
        <f t="shared" si="1"/>
        <v>45</v>
      </c>
      <c r="O13" s="1178"/>
    </row>
    <row r="14" spans="2:17" s="1123" customFormat="1" ht="21.9" customHeight="1" x14ac:dyDescent="0.25">
      <c r="B14" s="1170">
        <v>2.2000000000000002</v>
      </c>
      <c r="C14" s="1171" t="str">
        <f>OP1_TEL!E24</f>
        <v>Security Plan (Marine)</v>
      </c>
      <c r="D14" s="1172" t="s">
        <v>1124</v>
      </c>
      <c r="E14" s="1173">
        <f>OP1_TEL!K24</f>
        <v>168</v>
      </c>
      <c r="F14" s="2080">
        <f>OP1_TEL!G24</f>
        <v>0</v>
      </c>
      <c r="G14" s="1175">
        <f>OP1_TEL!L24</f>
        <v>0</v>
      </c>
      <c r="H14" s="1173">
        <f>OP1_TEL!O24</f>
        <v>102.85714285714286</v>
      </c>
      <c r="I14" s="2080">
        <f t="shared" si="0"/>
        <v>0</v>
      </c>
      <c r="J14" s="1175">
        <f>OP1_TEL!P24</f>
        <v>0</v>
      </c>
      <c r="K14" s="1173">
        <f>OP1_TEL!W24</f>
        <v>0</v>
      </c>
      <c r="L14" s="2080">
        <f t="shared" si="2"/>
        <v>0</v>
      </c>
      <c r="M14" s="2097">
        <f>OP1_TEL!X24</f>
        <v>0</v>
      </c>
      <c r="N14" s="1309">
        <f t="shared" si="1"/>
        <v>0</v>
      </c>
      <c r="O14" s="1178"/>
    </row>
    <row r="15" spans="2:17" s="1123" customFormat="1" ht="21.75" customHeight="1" x14ac:dyDescent="0.25">
      <c r="B15" s="1170">
        <v>2.2999999999999998</v>
      </c>
      <c r="C15" s="2083" t="str">
        <f>OP1_TEL!E25</f>
        <v xml:space="preserve">Global/Local Regulation </v>
      </c>
      <c r="D15" s="1172" t="s">
        <v>1124</v>
      </c>
      <c r="E15" s="1173">
        <f>OP1_TEL!K25</f>
        <v>168</v>
      </c>
      <c r="F15" s="2080">
        <f>OP1_TEL!G25</f>
        <v>0</v>
      </c>
      <c r="G15" s="1175">
        <f>OP1_TEL!L25</f>
        <v>0</v>
      </c>
      <c r="H15" s="1173">
        <f>OP1_TEL!O25</f>
        <v>102.85714285714286</v>
      </c>
      <c r="I15" s="2080">
        <f t="shared" si="0"/>
        <v>0</v>
      </c>
      <c r="J15" s="1175">
        <f>OP1_TEL!P25</f>
        <v>0</v>
      </c>
      <c r="K15" s="1173">
        <f>OP1_TEL!W25</f>
        <v>0</v>
      </c>
      <c r="L15" s="2080">
        <f t="shared" si="2"/>
        <v>0</v>
      </c>
      <c r="M15" s="2097">
        <f>OP1_TEL!X25</f>
        <v>0</v>
      </c>
      <c r="N15" s="1309">
        <f t="shared" si="1"/>
        <v>0</v>
      </c>
      <c r="O15" s="1178"/>
    </row>
    <row r="16" spans="2:17" s="1123" customFormat="1" ht="21.9" customHeight="1" x14ac:dyDescent="0.25">
      <c r="B16" s="1170">
        <v>2.4</v>
      </c>
      <c r="C16" s="1171" t="str">
        <f>OP1_TEL!E27</f>
        <v>GSM</v>
      </c>
      <c r="D16" s="1172" t="s">
        <v>1124</v>
      </c>
      <c r="E16" s="1173">
        <f>OP1_TEL!K27</f>
        <v>84</v>
      </c>
      <c r="F16" s="2080">
        <f>OP1_TEL!G27</f>
        <v>0</v>
      </c>
      <c r="G16" s="1175">
        <f>OP1_TEL!L27</f>
        <v>0</v>
      </c>
      <c r="H16" s="1173">
        <f>OP1_TEL!O27</f>
        <v>51.428571428571431</v>
      </c>
      <c r="I16" s="2080">
        <f t="shared" si="0"/>
        <v>0</v>
      </c>
      <c r="J16" s="1175">
        <f>OP1_TEL!P27</f>
        <v>0</v>
      </c>
      <c r="K16" s="1173">
        <f>OP1_TEL!W27</f>
        <v>0</v>
      </c>
      <c r="L16" s="2080">
        <f t="shared" si="2"/>
        <v>0</v>
      </c>
      <c r="M16" s="2097">
        <f>OP1_TEL!X27</f>
        <v>0</v>
      </c>
      <c r="N16" s="1309">
        <f t="shared" si="1"/>
        <v>0</v>
      </c>
      <c r="O16" s="1178"/>
    </row>
    <row r="17" spans="2:16" s="1123" customFormat="1" ht="21.9" customHeight="1" x14ac:dyDescent="0.25">
      <c r="B17" s="1170">
        <v>2.5</v>
      </c>
      <c r="C17" s="1171" t="str">
        <f>OP1_TEL!E28</f>
        <v>국내 - 통신설비 건축인허가</v>
      </c>
      <c r="D17" s="1172" t="s">
        <v>1124</v>
      </c>
      <c r="E17" s="1173">
        <f>OP1_TEL!K28</f>
        <v>84</v>
      </c>
      <c r="F17" s="2080">
        <f>OP1_TEL!G28</f>
        <v>0</v>
      </c>
      <c r="G17" s="1175">
        <f>OP1_TEL!L28</f>
        <v>0</v>
      </c>
      <c r="H17" s="1173">
        <f>OP1_TEL!O28</f>
        <v>81.428571428571431</v>
      </c>
      <c r="I17" s="2080">
        <f t="shared" si="0"/>
        <v>0</v>
      </c>
      <c r="J17" s="1175">
        <f>OP1_TEL!P28</f>
        <v>0</v>
      </c>
      <c r="K17" s="1173">
        <f>OP1_TEL!W28</f>
        <v>70</v>
      </c>
      <c r="L17" s="2080">
        <f t="shared" si="2"/>
        <v>0</v>
      </c>
      <c r="M17" s="2097">
        <f>OP1_TEL!X28</f>
        <v>0</v>
      </c>
      <c r="N17" s="1309">
        <f t="shared" si="1"/>
        <v>0</v>
      </c>
      <c r="O17" s="1178"/>
    </row>
    <row r="18" spans="2:16" s="1123" customFormat="1" ht="21.9" customHeight="1" x14ac:dyDescent="0.25">
      <c r="B18" s="1170">
        <v>2.6</v>
      </c>
      <c r="C18" s="1171" t="str">
        <f>OP1_TEL!E29</f>
        <v>국내 - 비상방송설비 소방인허가</v>
      </c>
      <c r="D18" s="1172" t="s">
        <v>1124</v>
      </c>
      <c r="E18" s="1173">
        <f>OP1_TEL!K29</f>
        <v>84</v>
      </c>
      <c r="F18" s="2080">
        <f>OP1_TEL!G29</f>
        <v>0</v>
      </c>
      <c r="G18" s="1175">
        <f>OP1_TEL!L29</f>
        <v>0</v>
      </c>
      <c r="H18" s="1173">
        <f>OP1_TEL!O29</f>
        <v>81.428571428571431</v>
      </c>
      <c r="I18" s="2080">
        <f t="shared" si="0"/>
        <v>0</v>
      </c>
      <c r="J18" s="1175">
        <f>OP1_TEL!P29</f>
        <v>0</v>
      </c>
      <c r="K18" s="1173">
        <f>OP1_TEL!W29</f>
        <v>70</v>
      </c>
      <c r="L18" s="2080">
        <f t="shared" si="2"/>
        <v>0</v>
      </c>
      <c r="M18" s="2097">
        <f>OP1_TEL!X29</f>
        <v>0</v>
      </c>
      <c r="N18" s="1309">
        <f t="shared" si="1"/>
        <v>0</v>
      </c>
      <c r="O18" s="1178"/>
    </row>
    <row r="19" spans="2:16" s="1123" customFormat="1" ht="21.9" customHeight="1" x14ac:dyDescent="0.25">
      <c r="B19" s="1170"/>
      <c r="C19" s="1171"/>
      <c r="D19" s="1172"/>
      <c r="E19" s="1173"/>
      <c r="F19" s="2080"/>
      <c r="G19" s="1175"/>
      <c r="H19" s="1173"/>
      <c r="I19" s="2080">
        <f t="shared" si="0"/>
        <v>0</v>
      </c>
      <c r="J19" s="1175"/>
      <c r="K19" s="1173"/>
      <c r="L19" s="2080">
        <f>I19</f>
        <v>0</v>
      </c>
      <c r="M19" s="1175"/>
      <c r="N19" s="1309">
        <f t="shared" si="1"/>
        <v>0</v>
      </c>
      <c r="O19" s="1178"/>
    </row>
    <row r="20" spans="2:16" s="1123" customFormat="1" ht="21.9" customHeight="1" x14ac:dyDescent="0.25">
      <c r="B20" s="1157">
        <v>3</v>
      </c>
      <c r="C20" s="1166" t="str">
        <f>OP1_TEL!B30</f>
        <v>ITB Review / FEED Verification</v>
      </c>
      <c r="D20" s="1172"/>
      <c r="E20" s="1173"/>
      <c r="F20" s="2080"/>
      <c r="G20" s="1175"/>
      <c r="H20" s="1173"/>
      <c r="I20" s="2080">
        <f t="shared" si="0"/>
        <v>0</v>
      </c>
      <c r="J20" s="1175"/>
      <c r="K20" s="1173"/>
      <c r="L20" s="2080">
        <f>I20</f>
        <v>0</v>
      </c>
      <c r="M20" s="1175"/>
      <c r="N20" s="1309">
        <f t="shared" si="1"/>
        <v>0</v>
      </c>
      <c r="O20" s="1178"/>
    </row>
    <row r="21" spans="2:16" s="1123" customFormat="1" ht="21.9" customHeight="1" x14ac:dyDescent="0.25">
      <c r="B21" s="1170">
        <v>3.1</v>
      </c>
      <c r="C21" s="1171" t="str">
        <f>OP1_TEL!E30</f>
        <v>ITB Review &amp; Interface work.</v>
      </c>
      <c r="D21" s="1172" t="s">
        <v>1124</v>
      </c>
      <c r="E21" s="1173">
        <f>OP1_TEL!K30</f>
        <v>84</v>
      </c>
      <c r="F21" s="2080">
        <f>OP1_TEL!G30</f>
        <v>1</v>
      </c>
      <c r="G21" s="1175">
        <f>OP1_TEL!L30</f>
        <v>84</v>
      </c>
      <c r="H21" s="1173">
        <f>OP1_TEL!O30</f>
        <v>51.428571428571431</v>
      </c>
      <c r="I21" s="2080">
        <f t="shared" si="0"/>
        <v>1</v>
      </c>
      <c r="J21" s="1175">
        <f>OP1_TEL!P30</f>
        <v>51</v>
      </c>
      <c r="K21" s="1173"/>
      <c r="L21" s="2080">
        <f t="shared" ref="L21:L76" si="3">F21</f>
        <v>1</v>
      </c>
      <c r="M21" s="2097">
        <f>OP1_TEL!X30</f>
        <v>0</v>
      </c>
      <c r="N21" s="1309">
        <f t="shared" si="1"/>
        <v>135</v>
      </c>
      <c r="O21" s="1178"/>
    </row>
    <row r="22" spans="2:16" s="1123" customFormat="1" ht="21.9" customHeight="1" x14ac:dyDescent="0.25">
      <c r="B22" s="1170">
        <v>3.2</v>
      </c>
      <c r="C22" s="1171" t="str">
        <f>OP1_TEL!E31</f>
        <v>발주처 협의</v>
      </c>
      <c r="D22" s="1172" t="s">
        <v>1124</v>
      </c>
      <c r="E22" s="1222" t="s">
        <v>98</v>
      </c>
      <c r="F22" s="2080">
        <v>1</v>
      </c>
      <c r="G22" s="1175">
        <f>OP1_TEL!L31</f>
        <v>168</v>
      </c>
      <c r="H22" s="1173">
        <f>OP1_TEL!O31</f>
        <v>34.285714285714285</v>
      </c>
      <c r="I22" s="2080">
        <f t="shared" si="0"/>
        <v>1</v>
      </c>
      <c r="J22" s="1175">
        <f>OP1_TEL!P31</f>
        <v>103</v>
      </c>
      <c r="K22" s="1222" t="s">
        <v>98</v>
      </c>
      <c r="L22" s="2080">
        <f t="shared" si="3"/>
        <v>1</v>
      </c>
      <c r="M22" s="2097">
        <f>OP1_TEL!X31</f>
        <v>0</v>
      </c>
      <c r="N22" s="1309">
        <f t="shared" si="1"/>
        <v>271</v>
      </c>
      <c r="O22" s="1368"/>
    </row>
    <row r="23" spans="2:16" s="1123" customFormat="1" ht="21.9" customHeight="1" x14ac:dyDescent="0.25">
      <c r="B23" s="1170">
        <v>3.3</v>
      </c>
      <c r="C23" s="1171" t="str">
        <f>OP1_TEL!E32</f>
        <v>Feed Verification</v>
      </c>
      <c r="D23" s="1172" t="s">
        <v>1124</v>
      </c>
      <c r="E23" s="1222" t="s">
        <v>98</v>
      </c>
      <c r="F23" s="2080">
        <v>1</v>
      </c>
      <c r="G23" s="1175">
        <f>OP1_TEL!L32</f>
        <v>168</v>
      </c>
      <c r="H23" s="1173">
        <f>OP1_TEL!O32</f>
        <v>34.285714285714285</v>
      </c>
      <c r="I23" s="2080">
        <f t="shared" si="0"/>
        <v>1</v>
      </c>
      <c r="J23" s="1175">
        <f>OP1_TEL!P32</f>
        <v>103</v>
      </c>
      <c r="K23" s="1222" t="s">
        <v>98</v>
      </c>
      <c r="L23" s="2080">
        <f t="shared" si="3"/>
        <v>1</v>
      </c>
      <c r="M23" s="2097">
        <f>OP1_TEL!X32</f>
        <v>0</v>
      </c>
      <c r="N23" s="1309">
        <f t="shared" si="1"/>
        <v>271</v>
      </c>
      <c r="O23" s="1368"/>
    </row>
    <row r="24" spans="2:16" s="1123" customFormat="1" ht="21.9" customHeight="1" x14ac:dyDescent="0.25">
      <c r="B24" s="1170">
        <v>3.4</v>
      </c>
      <c r="C24" s="1171" t="str">
        <f>OP1_TEL!E33</f>
        <v>Early Work</v>
      </c>
      <c r="D24" s="1172" t="s">
        <v>1124</v>
      </c>
      <c r="E24" s="1222" t="s">
        <v>98</v>
      </c>
      <c r="F24" s="2080">
        <v>1</v>
      </c>
      <c r="G24" s="1175">
        <f>OP1_TEL!L33</f>
        <v>0</v>
      </c>
      <c r="H24" s="1173">
        <f>OP1_TEL!O33</f>
        <v>85.714285714285722</v>
      </c>
      <c r="I24" s="2080">
        <f t="shared" si="0"/>
        <v>1</v>
      </c>
      <c r="J24" s="1175">
        <f>OP1_TEL!P33</f>
        <v>0</v>
      </c>
      <c r="K24" s="1222" t="s">
        <v>98</v>
      </c>
      <c r="L24" s="2080">
        <f t="shared" si="3"/>
        <v>1</v>
      </c>
      <c r="M24" s="2097">
        <f>OP1_TEL!X33</f>
        <v>0</v>
      </c>
      <c r="N24" s="1309">
        <f t="shared" si="1"/>
        <v>0</v>
      </c>
      <c r="O24" s="1368"/>
    </row>
    <row r="25" spans="2:16" s="1123" customFormat="1" ht="21.9" customHeight="1" x14ac:dyDescent="0.25">
      <c r="B25" s="1186"/>
      <c r="C25" s="1187"/>
      <c r="D25" s="1172"/>
      <c r="E25" s="1173"/>
      <c r="F25" s="2084"/>
      <c r="G25" s="1175"/>
      <c r="H25" s="1173"/>
      <c r="I25" s="2084"/>
      <c r="J25" s="1175"/>
      <c r="K25" s="1173"/>
      <c r="L25" s="2084">
        <f t="shared" si="3"/>
        <v>0</v>
      </c>
      <c r="M25" s="1175"/>
      <c r="N25" s="1189"/>
      <c r="O25" s="1178"/>
    </row>
    <row r="26" spans="2:16" s="1139" customFormat="1" ht="21.9" customHeight="1" thickBot="1" x14ac:dyDescent="0.3">
      <c r="B26" s="1190" t="s">
        <v>1129</v>
      </c>
      <c r="C26" s="1191"/>
      <c r="D26" s="1192"/>
      <c r="E26" s="1193"/>
      <c r="F26" s="2086"/>
      <c r="G26" s="1195">
        <f>SUM(G7:G25)</f>
        <v>518</v>
      </c>
      <c r="H26" s="1193"/>
      <c r="I26" s="2086"/>
      <c r="J26" s="1195">
        <f>SUM(J7:J25)</f>
        <v>317</v>
      </c>
      <c r="K26" s="1193"/>
      <c r="L26" s="2086">
        <f t="shared" si="3"/>
        <v>0</v>
      </c>
      <c r="M26" s="1195">
        <f>SUM(M7:M25)</f>
        <v>0</v>
      </c>
      <c r="N26" s="1195">
        <f>SUM(N7:N25)</f>
        <v>835</v>
      </c>
      <c r="O26" s="1198"/>
      <c r="P26" s="1138"/>
    </row>
    <row r="27" spans="2:16" s="1139" customFormat="1" ht="21.9" customHeight="1" x14ac:dyDescent="0.25">
      <c r="B27" s="1170"/>
      <c r="C27" s="1199"/>
      <c r="D27" s="1172"/>
      <c r="E27" s="1173"/>
      <c r="F27" s="2084"/>
      <c r="G27" s="1175"/>
      <c r="H27" s="1173"/>
      <c r="I27" s="2084"/>
      <c r="J27" s="1175"/>
      <c r="K27" s="1173"/>
      <c r="L27" s="2084">
        <f t="shared" si="3"/>
        <v>0</v>
      </c>
      <c r="M27" s="1175"/>
      <c r="N27" s="1177"/>
      <c r="O27" s="1178"/>
      <c r="P27" s="1138"/>
    </row>
    <row r="28" spans="2:16" s="1139" customFormat="1" ht="21.9" customHeight="1" x14ac:dyDescent="0.25">
      <c r="B28" s="1157" t="s">
        <v>1130</v>
      </c>
      <c r="C28" s="1158" t="s">
        <v>1131</v>
      </c>
      <c r="D28" s="1172"/>
      <c r="E28" s="1173"/>
      <c r="F28" s="2084"/>
      <c r="G28" s="1175"/>
      <c r="H28" s="1173"/>
      <c r="I28" s="2084"/>
      <c r="J28" s="1175"/>
      <c r="K28" s="1173"/>
      <c r="L28" s="2084">
        <f t="shared" si="3"/>
        <v>0</v>
      </c>
      <c r="M28" s="1175"/>
      <c r="N28" s="1189"/>
      <c r="O28" s="1178"/>
      <c r="P28" s="1138"/>
    </row>
    <row r="29" spans="2:16" s="1138" customFormat="1" ht="21.9" customHeight="1" x14ac:dyDescent="0.25">
      <c r="B29" s="1157">
        <v>1</v>
      </c>
      <c r="C29" s="1166" t="str">
        <f>OP1_TEL!B35</f>
        <v>Design Basis / Specification</v>
      </c>
      <c r="D29" s="1159"/>
      <c r="E29" s="1200"/>
      <c r="F29" s="2088"/>
      <c r="G29" s="1202"/>
      <c r="H29" s="1200"/>
      <c r="I29" s="2088"/>
      <c r="J29" s="1202"/>
      <c r="K29" s="1200"/>
      <c r="L29" s="2088">
        <f t="shared" si="3"/>
        <v>0</v>
      </c>
      <c r="M29" s="1202"/>
      <c r="N29" s="1205"/>
      <c r="O29" s="1165"/>
    </row>
    <row r="30" spans="2:16" s="1123" customFormat="1" ht="21.9" customHeight="1" x14ac:dyDescent="0.25">
      <c r="B30" s="1170">
        <v>1.1000000000000001</v>
      </c>
      <c r="C30" s="1199" t="str">
        <f>OP1_TEL!E35</f>
        <v>Technical Specification</v>
      </c>
      <c r="D30" s="1172"/>
      <c r="E30" s="1173"/>
      <c r="F30" s="2084"/>
      <c r="G30" s="1175"/>
      <c r="H30" s="1173"/>
      <c r="I30" s="2084"/>
      <c r="J30" s="1175"/>
      <c r="K30" s="1173"/>
      <c r="L30" s="2084">
        <f t="shared" si="3"/>
        <v>0</v>
      </c>
      <c r="M30" s="1175"/>
      <c r="N30" s="1177"/>
      <c r="O30" s="1178"/>
    </row>
    <row r="31" spans="2:16" s="1123" customFormat="1" ht="21.9" customHeight="1" x14ac:dyDescent="0.25">
      <c r="B31" s="1170"/>
      <c r="C31" s="1206" t="str">
        <f>OP1_TEL!E36</f>
        <v>- Telecommunication System</v>
      </c>
      <c r="D31" s="1172" t="s">
        <v>1134</v>
      </c>
      <c r="E31" s="1173" t="str">
        <f>OP1_TEL!K36</f>
        <v>-</v>
      </c>
      <c r="F31" s="2080">
        <f>OP1_TEL!G36</f>
        <v>9</v>
      </c>
      <c r="G31" s="1175">
        <f>OP1_TEL!L36</f>
        <v>1008</v>
      </c>
      <c r="H31" s="1173" t="str">
        <f>OP1_TEL!O36</f>
        <v>-</v>
      </c>
      <c r="I31" s="2080">
        <f t="shared" ref="I31:I69" si="4">F31</f>
        <v>9</v>
      </c>
      <c r="J31" s="1175">
        <f>OP1_TEL!P36</f>
        <v>617</v>
      </c>
      <c r="K31" s="1173">
        <f>OP1_TEL!W36</f>
        <v>0</v>
      </c>
      <c r="L31" s="2080">
        <f t="shared" si="3"/>
        <v>9</v>
      </c>
      <c r="M31" s="2097">
        <f>OP1_TEL!X36</f>
        <v>0</v>
      </c>
      <c r="N31" s="1309">
        <f t="shared" ref="N31:N78" si="5">G31+J31+M31</f>
        <v>1625</v>
      </c>
      <c r="O31" s="1178"/>
    </row>
    <row r="32" spans="2:16" s="1123" customFormat="1" ht="21.9" customHeight="1" x14ac:dyDescent="0.25">
      <c r="B32" s="1170"/>
      <c r="C32" s="1206" t="str">
        <f>OP1_TEL!E37</f>
        <v>- Security System</v>
      </c>
      <c r="D32" s="1172" t="s">
        <v>1134</v>
      </c>
      <c r="E32" s="1173" t="str">
        <f>OP1_TEL!K37</f>
        <v>-</v>
      </c>
      <c r="F32" s="2080">
        <f>OP1_TEL!G37</f>
        <v>3</v>
      </c>
      <c r="G32" s="1175">
        <f>OP1_TEL!L37</f>
        <v>1099</v>
      </c>
      <c r="H32" s="1173" t="str">
        <f>OP1_TEL!O37</f>
        <v>-</v>
      </c>
      <c r="I32" s="2080">
        <f t="shared" si="4"/>
        <v>3</v>
      </c>
      <c r="J32" s="1175">
        <f>OP1_TEL!P37</f>
        <v>673</v>
      </c>
      <c r="K32" s="1173">
        <f>OP1_TEL!W37</f>
        <v>0</v>
      </c>
      <c r="L32" s="2080">
        <f t="shared" si="3"/>
        <v>3</v>
      </c>
      <c r="M32" s="2097">
        <f>OP1_TEL!X37</f>
        <v>0</v>
      </c>
      <c r="N32" s="1309">
        <f t="shared" si="5"/>
        <v>1772</v>
      </c>
      <c r="O32" s="1178"/>
    </row>
    <row r="33" spans="2:16" s="1123" customFormat="1" ht="21.9" customHeight="1" x14ac:dyDescent="0.25">
      <c r="B33" s="1170">
        <v>1.2</v>
      </c>
      <c r="C33" s="1206" t="str">
        <f>OP1_TEL!E38</f>
        <v>Block Diagram</v>
      </c>
      <c r="D33" s="1172"/>
      <c r="E33" s="1173">
        <f>OP1_TEL!K38</f>
        <v>0</v>
      </c>
      <c r="F33" s="2080"/>
      <c r="G33" s="1175"/>
      <c r="H33" s="1173"/>
      <c r="I33" s="2080">
        <f t="shared" si="4"/>
        <v>0</v>
      </c>
      <c r="J33" s="1175"/>
      <c r="K33" s="1173">
        <f>OP1_TEL!W38</f>
        <v>0</v>
      </c>
      <c r="L33" s="2080">
        <f t="shared" si="3"/>
        <v>0</v>
      </c>
      <c r="M33" s="1175"/>
      <c r="N33" s="1309">
        <f t="shared" si="5"/>
        <v>0</v>
      </c>
      <c r="O33" s="1178"/>
    </row>
    <row r="34" spans="2:16" s="1123" customFormat="1" ht="21.9" customHeight="1" x14ac:dyDescent="0.25">
      <c r="B34" s="1170"/>
      <c r="C34" s="1206" t="str">
        <f>OP1_TEL!E39</f>
        <v>- Telecommunication System</v>
      </c>
      <c r="D34" s="1172" t="s">
        <v>1134</v>
      </c>
      <c r="E34" s="1173" t="str">
        <f>OP1_TEL!K39</f>
        <v>-</v>
      </c>
      <c r="F34" s="2080">
        <f>OP1_TEL!G39</f>
        <v>10</v>
      </c>
      <c r="G34" s="1175">
        <f>OP1_TEL!L39</f>
        <v>1057</v>
      </c>
      <c r="H34" s="1173" t="str">
        <f>OP1_TEL!O39</f>
        <v>-</v>
      </c>
      <c r="I34" s="2080">
        <f t="shared" si="4"/>
        <v>10</v>
      </c>
      <c r="J34" s="1175">
        <f>OP1_TEL!P39</f>
        <v>707</v>
      </c>
      <c r="K34" s="1173">
        <f>OP1_TEL!W39</f>
        <v>14.000000000000002</v>
      </c>
      <c r="L34" s="2080">
        <f t="shared" si="3"/>
        <v>10</v>
      </c>
      <c r="M34" s="2097">
        <f>OP1_TEL!X39</f>
        <v>140</v>
      </c>
      <c r="N34" s="1309">
        <f t="shared" si="5"/>
        <v>1904</v>
      </c>
      <c r="O34" s="1178"/>
    </row>
    <row r="35" spans="2:16" s="1123" customFormat="1" ht="21.9" customHeight="1" x14ac:dyDescent="0.25">
      <c r="B35" s="1170"/>
      <c r="C35" s="1206" t="str">
        <f>OP1_TEL!E40</f>
        <v>- Security System</v>
      </c>
      <c r="D35" s="1172" t="s">
        <v>97</v>
      </c>
      <c r="E35" s="1173" t="str">
        <f>OP1_TEL!K40</f>
        <v>-</v>
      </c>
      <c r="F35" s="2080">
        <f>OP1_TEL!G40</f>
        <v>3</v>
      </c>
      <c r="G35" s="1175">
        <f>OP1_TEL!L40</f>
        <v>1148</v>
      </c>
      <c r="H35" s="1173" t="str">
        <f>OP1_TEL!O40</f>
        <v>-</v>
      </c>
      <c r="I35" s="2080">
        <f t="shared" si="4"/>
        <v>3</v>
      </c>
      <c r="J35" s="1175">
        <f>OP1_TEL!P40</f>
        <v>721</v>
      </c>
      <c r="K35" s="1173">
        <f>OP1_TEL!W40</f>
        <v>14</v>
      </c>
      <c r="L35" s="2080">
        <f t="shared" si="3"/>
        <v>3</v>
      </c>
      <c r="M35" s="2097">
        <f>OP1_TEL!X40</f>
        <v>42</v>
      </c>
      <c r="N35" s="1309">
        <f t="shared" si="5"/>
        <v>1911</v>
      </c>
      <c r="O35" s="1178"/>
    </row>
    <row r="36" spans="2:16" s="1123" customFormat="1" ht="21.9" customHeight="1" x14ac:dyDescent="0.25">
      <c r="B36" s="1170"/>
      <c r="C36" s="1206"/>
      <c r="D36" s="1172"/>
      <c r="E36" s="1173"/>
      <c r="F36" s="2080"/>
      <c r="G36" s="1175"/>
      <c r="H36" s="1173"/>
      <c r="I36" s="2080">
        <f t="shared" si="4"/>
        <v>0</v>
      </c>
      <c r="J36" s="1175"/>
      <c r="K36" s="1173"/>
      <c r="L36" s="2080">
        <f t="shared" si="3"/>
        <v>0</v>
      </c>
      <c r="M36" s="1175"/>
      <c r="N36" s="1309">
        <f t="shared" si="5"/>
        <v>0</v>
      </c>
      <c r="O36" s="1178"/>
    </row>
    <row r="37" spans="2:16" s="1123" customFormat="1" ht="21.9" customHeight="1" x14ac:dyDescent="0.25">
      <c r="B37" s="1157">
        <v>2</v>
      </c>
      <c r="C37" s="1166" t="s">
        <v>1135</v>
      </c>
      <c r="D37" s="1172"/>
      <c r="E37" s="1173"/>
      <c r="F37" s="2080"/>
      <c r="G37" s="1175"/>
      <c r="H37" s="1173"/>
      <c r="I37" s="2080">
        <f t="shared" si="4"/>
        <v>0</v>
      </c>
      <c r="J37" s="1175"/>
      <c r="K37" s="1173"/>
      <c r="L37" s="2080">
        <f t="shared" si="3"/>
        <v>0</v>
      </c>
      <c r="M37" s="1175"/>
      <c r="N37" s="1309">
        <f t="shared" si="5"/>
        <v>0</v>
      </c>
      <c r="O37" s="1178"/>
    </row>
    <row r="38" spans="2:16" s="1128" customFormat="1" ht="21.9" customHeight="1" x14ac:dyDescent="0.25">
      <c r="B38" s="1170">
        <v>2.1</v>
      </c>
      <c r="C38" s="1199" t="s">
        <v>1452</v>
      </c>
      <c r="D38" s="1172" t="s">
        <v>97</v>
      </c>
      <c r="E38" s="1173">
        <f>OP1_TEL!K41</f>
        <v>35</v>
      </c>
      <c r="F38" s="1188">
        <f>OP1_TEL!G41</f>
        <v>1</v>
      </c>
      <c r="G38" s="1175">
        <f>OP1_TEL!L41</f>
        <v>35</v>
      </c>
      <c r="H38" s="1173">
        <f>OP1_TEL!O41</f>
        <v>66.428571428571431</v>
      </c>
      <c r="I38" s="2080">
        <f t="shared" si="4"/>
        <v>1</v>
      </c>
      <c r="J38" s="1175">
        <f>OP1_TEL!P41</f>
        <v>66</v>
      </c>
      <c r="K38" s="1222">
        <f>OP1_TEL!W41</f>
        <v>105</v>
      </c>
      <c r="L38" s="1188">
        <f t="shared" si="3"/>
        <v>1</v>
      </c>
      <c r="M38" s="2097">
        <f>OP1_TEL!X41</f>
        <v>105</v>
      </c>
      <c r="N38" s="1309">
        <f t="shared" si="5"/>
        <v>206</v>
      </c>
      <c r="O38" s="1178"/>
      <c r="P38" s="1123"/>
    </row>
    <row r="39" spans="2:16" s="1128" customFormat="1" ht="21.9" customHeight="1" x14ac:dyDescent="0.25">
      <c r="B39" s="1170">
        <v>2.2000000000000002</v>
      </c>
      <c r="C39" s="1209" t="s">
        <v>1453</v>
      </c>
      <c r="D39" s="1172" t="s">
        <v>97</v>
      </c>
      <c r="E39" s="1173">
        <f>OP1_TEL!K42</f>
        <v>35</v>
      </c>
      <c r="F39" s="1188">
        <f>OP1_TEL!G42</f>
        <v>1</v>
      </c>
      <c r="G39" s="1175">
        <f>OP1_TEL!L42</f>
        <v>35</v>
      </c>
      <c r="H39" s="1173">
        <f>OP1_TEL!O42</f>
        <v>66.428571428571431</v>
      </c>
      <c r="I39" s="2080">
        <f t="shared" si="4"/>
        <v>1</v>
      </c>
      <c r="J39" s="1175">
        <f>OP1_TEL!P42</f>
        <v>66</v>
      </c>
      <c r="K39" s="1222">
        <f>OP1_TEL!W42</f>
        <v>105</v>
      </c>
      <c r="L39" s="1188">
        <f t="shared" si="3"/>
        <v>1</v>
      </c>
      <c r="M39" s="2097">
        <f>OP1_TEL!X42</f>
        <v>105</v>
      </c>
      <c r="N39" s="1309">
        <f t="shared" si="5"/>
        <v>206</v>
      </c>
      <c r="O39" s="1178"/>
      <c r="P39" s="1123"/>
    </row>
    <row r="40" spans="2:16" s="1128" customFormat="1" ht="21.9" customHeight="1" x14ac:dyDescent="0.25">
      <c r="B40" s="1170">
        <v>2.2999999999999998</v>
      </c>
      <c r="C40" s="1199" t="s">
        <v>1454</v>
      </c>
      <c r="D40" s="1172" t="s">
        <v>97</v>
      </c>
      <c r="E40" s="1173">
        <f>OP1_TEL!K43</f>
        <v>16.799999999999997</v>
      </c>
      <c r="F40" s="1188">
        <f>OP1_TEL!G43</f>
        <v>1</v>
      </c>
      <c r="G40" s="1175">
        <f>OP1_TEL!L43</f>
        <v>17</v>
      </c>
      <c r="H40" s="1173">
        <f>OP1_TEL!O43</f>
        <v>55.285714285714285</v>
      </c>
      <c r="I40" s="2080">
        <f t="shared" si="4"/>
        <v>1</v>
      </c>
      <c r="J40" s="1175">
        <f>OP1_TEL!P43</f>
        <v>55</v>
      </c>
      <c r="K40" s="1222">
        <f>OP1_TEL!W43</f>
        <v>105</v>
      </c>
      <c r="L40" s="1188">
        <f t="shared" si="3"/>
        <v>1</v>
      </c>
      <c r="M40" s="2097">
        <f>OP1_TEL!X43</f>
        <v>105</v>
      </c>
      <c r="N40" s="1309">
        <f t="shared" si="5"/>
        <v>177</v>
      </c>
      <c r="O40" s="1178"/>
      <c r="P40" s="1123"/>
    </row>
    <row r="41" spans="2:16" s="1128" customFormat="1" ht="21.9" customHeight="1" x14ac:dyDescent="0.25">
      <c r="B41" s="1170">
        <v>2.4</v>
      </c>
      <c r="C41" s="1199" t="s">
        <v>1455</v>
      </c>
      <c r="D41" s="1172" t="s">
        <v>97</v>
      </c>
      <c r="E41" s="1173">
        <f>OP1_TEL!K44</f>
        <v>70</v>
      </c>
      <c r="F41" s="1188">
        <f>OP1_TEL!G44</f>
        <v>1</v>
      </c>
      <c r="G41" s="1175">
        <f>OP1_TEL!L44</f>
        <v>70</v>
      </c>
      <c r="H41" s="1173">
        <f>OP1_TEL!O44</f>
        <v>72.857142857142861</v>
      </c>
      <c r="I41" s="2080">
        <f t="shared" si="4"/>
        <v>1</v>
      </c>
      <c r="J41" s="1175">
        <f>OP1_TEL!P44</f>
        <v>73</v>
      </c>
      <c r="K41" s="1222">
        <f>OP1_TEL!W44</f>
        <v>70</v>
      </c>
      <c r="L41" s="1188">
        <f t="shared" si="3"/>
        <v>1</v>
      </c>
      <c r="M41" s="2097">
        <f>OP1_TEL!X44</f>
        <v>70</v>
      </c>
      <c r="N41" s="1309">
        <f t="shared" si="5"/>
        <v>213</v>
      </c>
      <c r="O41" s="1178"/>
      <c r="P41" s="1123"/>
    </row>
    <row r="42" spans="2:16" s="1128" customFormat="1" ht="21.9" customHeight="1" x14ac:dyDescent="0.25">
      <c r="B42" s="1170">
        <v>2.5</v>
      </c>
      <c r="C42" s="1199" t="s">
        <v>1456</v>
      </c>
      <c r="D42" s="1172" t="s">
        <v>97</v>
      </c>
      <c r="E42" s="1173">
        <f>OP1_TEL!K45</f>
        <v>35</v>
      </c>
      <c r="F42" s="1188">
        <f>OP1_TEL!G45</f>
        <v>1</v>
      </c>
      <c r="G42" s="1175">
        <f>OP1_TEL!L45</f>
        <v>35</v>
      </c>
      <c r="H42" s="1173">
        <f>OP1_TEL!O45</f>
        <v>51.428571428571431</v>
      </c>
      <c r="I42" s="2080">
        <f t="shared" si="4"/>
        <v>1</v>
      </c>
      <c r="J42" s="1175">
        <f>OP1_TEL!P45</f>
        <v>51</v>
      </c>
      <c r="K42" s="1222">
        <f>OP1_TEL!W45</f>
        <v>70</v>
      </c>
      <c r="L42" s="1188">
        <f t="shared" si="3"/>
        <v>1</v>
      </c>
      <c r="M42" s="2097">
        <f>OP1_TEL!X45</f>
        <v>70</v>
      </c>
      <c r="N42" s="1309">
        <f t="shared" si="5"/>
        <v>156</v>
      </c>
      <c r="O42" s="1178"/>
      <c r="P42" s="1123"/>
    </row>
    <row r="43" spans="2:16" s="1128" customFormat="1" ht="21.9" customHeight="1" x14ac:dyDescent="0.25">
      <c r="B43" s="1170">
        <v>2.6</v>
      </c>
      <c r="C43" s="1199" t="s">
        <v>1457</v>
      </c>
      <c r="D43" s="1172" t="s">
        <v>97</v>
      </c>
      <c r="E43" s="1173">
        <f>OP1_TEL!K46</f>
        <v>28</v>
      </c>
      <c r="F43" s="1188">
        <f>OP1_TEL!G46</f>
        <v>1</v>
      </c>
      <c r="G43" s="1175">
        <f>OP1_TEL!L46</f>
        <v>28</v>
      </c>
      <c r="H43" s="1173">
        <f>OP1_TEL!O46</f>
        <v>47.142857142857139</v>
      </c>
      <c r="I43" s="2080">
        <f t="shared" si="4"/>
        <v>1</v>
      </c>
      <c r="J43" s="1175">
        <f>OP1_TEL!P46</f>
        <v>47</v>
      </c>
      <c r="K43" s="1222">
        <f>OP1_TEL!W46</f>
        <v>70</v>
      </c>
      <c r="L43" s="1188">
        <f t="shared" si="3"/>
        <v>1</v>
      </c>
      <c r="M43" s="2097">
        <f>OP1_TEL!X46</f>
        <v>70</v>
      </c>
      <c r="N43" s="1309">
        <f t="shared" si="5"/>
        <v>145</v>
      </c>
      <c r="O43" s="1178"/>
      <c r="P43" s="1123"/>
    </row>
    <row r="44" spans="2:16" s="1128" customFormat="1" ht="21.9" customHeight="1" x14ac:dyDescent="0.25">
      <c r="B44" s="1170">
        <v>2.7</v>
      </c>
      <c r="C44" s="1199" t="s">
        <v>1019</v>
      </c>
      <c r="D44" s="1172" t="s">
        <v>97</v>
      </c>
      <c r="E44" s="1173">
        <f>OP1_TEL!K47</f>
        <v>28</v>
      </c>
      <c r="F44" s="1188">
        <f>OP1_TEL!G47</f>
        <v>1</v>
      </c>
      <c r="G44" s="1175">
        <f>OP1_TEL!L47</f>
        <v>28</v>
      </c>
      <c r="H44" s="1173">
        <f>OP1_TEL!O47</f>
        <v>17.142857142857142</v>
      </c>
      <c r="I44" s="2080">
        <f t="shared" si="4"/>
        <v>1</v>
      </c>
      <c r="J44" s="1175">
        <f>OP1_TEL!P47</f>
        <v>17</v>
      </c>
      <c r="K44" s="1222">
        <f>OP1_TEL!W47</f>
        <v>0</v>
      </c>
      <c r="L44" s="1188">
        <f t="shared" si="3"/>
        <v>1</v>
      </c>
      <c r="M44" s="2097">
        <f>OP1_TEL!X47</f>
        <v>0</v>
      </c>
      <c r="N44" s="1309">
        <f t="shared" si="5"/>
        <v>45</v>
      </c>
      <c r="O44" s="1178"/>
      <c r="P44" s="1123"/>
    </row>
    <row r="45" spans="2:16" s="1128" customFormat="1" ht="21.9" customHeight="1" x14ac:dyDescent="0.25">
      <c r="B45" s="1170">
        <v>2.8</v>
      </c>
      <c r="C45" s="1199" t="s">
        <v>1458</v>
      </c>
      <c r="D45" s="1172" t="s">
        <v>97</v>
      </c>
      <c r="E45" s="1173">
        <f>OP1_TEL!K48</f>
        <v>28</v>
      </c>
      <c r="F45" s="1188">
        <f>OP1_TEL!G48</f>
        <v>1</v>
      </c>
      <c r="G45" s="1175">
        <f>OP1_TEL!L48</f>
        <v>28</v>
      </c>
      <c r="H45" s="1173">
        <f>OP1_TEL!O48</f>
        <v>17.142857142857142</v>
      </c>
      <c r="I45" s="2080">
        <f t="shared" si="4"/>
        <v>1</v>
      </c>
      <c r="J45" s="1175">
        <f>OP1_TEL!P48</f>
        <v>17</v>
      </c>
      <c r="K45" s="1222">
        <f>OP1_TEL!W48</f>
        <v>0</v>
      </c>
      <c r="L45" s="1188">
        <f t="shared" si="3"/>
        <v>1</v>
      </c>
      <c r="M45" s="2097">
        <f>OP1_TEL!X48</f>
        <v>0</v>
      </c>
      <c r="N45" s="1309">
        <f t="shared" si="5"/>
        <v>45</v>
      </c>
      <c r="O45" s="1178"/>
      <c r="P45" s="1123"/>
    </row>
    <row r="46" spans="2:16" s="1128" customFormat="1" ht="21.9" customHeight="1" x14ac:dyDescent="0.25">
      <c r="B46" s="1170">
        <v>2.9</v>
      </c>
      <c r="C46" s="1199" t="s">
        <v>1459</v>
      </c>
      <c r="D46" s="1172" t="s">
        <v>97</v>
      </c>
      <c r="E46" s="1173">
        <f>OP1_TEL!K49</f>
        <v>28</v>
      </c>
      <c r="F46" s="1188">
        <f>OP1_TEL!G49</f>
        <v>1</v>
      </c>
      <c r="G46" s="1175">
        <f>OP1_TEL!L49</f>
        <v>28</v>
      </c>
      <c r="H46" s="1173">
        <f>OP1_TEL!O49</f>
        <v>17.142857142857142</v>
      </c>
      <c r="I46" s="2080">
        <f t="shared" si="4"/>
        <v>1</v>
      </c>
      <c r="J46" s="1175">
        <f>OP1_TEL!P49</f>
        <v>17</v>
      </c>
      <c r="K46" s="1222">
        <f>OP1_TEL!W49</f>
        <v>0</v>
      </c>
      <c r="L46" s="1188">
        <f t="shared" si="3"/>
        <v>1</v>
      </c>
      <c r="M46" s="2097">
        <f>OP1_TEL!X49</f>
        <v>0</v>
      </c>
      <c r="N46" s="1309">
        <f t="shared" si="5"/>
        <v>45</v>
      </c>
      <c r="O46" s="1178"/>
      <c r="P46" s="1123"/>
    </row>
    <row r="47" spans="2:16" s="1128" customFormat="1" ht="21.9" customHeight="1" x14ac:dyDescent="0.25">
      <c r="B47" s="2091" t="s">
        <v>1578</v>
      </c>
      <c r="C47" s="1199" t="s">
        <v>1579</v>
      </c>
      <c r="D47" s="1172" t="s">
        <v>97</v>
      </c>
      <c r="E47" s="1173">
        <f>OP1_TEL!K50</f>
        <v>70</v>
      </c>
      <c r="F47" s="1188">
        <f>OP1_TEL!G50</f>
        <v>1</v>
      </c>
      <c r="G47" s="1175">
        <f>OP1_TEL!L50</f>
        <v>70</v>
      </c>
      <c r="H47" s="1173">
        <f>OP1_TEL!O50</f>
        <v>42.857142857142861</v>
      </c>
      <c r="I47" s="2080">
        <f t="shared" si="4"/>
        <v>1</v>
      </c>
      <c r="J47" s="1175">
        <f>OP1_TEL!P50</f>
        <v>43</v>
      </c>
      <c r="K47" s="1222">
        <f>OP1_TEL!W50</f>
        <v>0</v>
      </c>
      <c r="L47" s="1188">
        <f t="shared" si="3"/>
        <v>1</v>
      </c>
      <c r="M47" s="2097">
        <f>OP1_TEL!X50</f>
        <v>0</v>
      </c>
      <c r="N47" s="1309">
        <f t="shared" si="5"/>
        <v>113</v>
      </c>
      <c r="O47" s="1178"/>
      <c r="P47" s="1123"/>
    </row>
    <row r="48" spans="2:16" s="1128" customFormat="1" ht="21.9" customHeight="1" x14ac:dyDescent="0.25">
      <c r="B48" s="1170">
        <v>2.11</v>
      </c>
      <c r="C48" s="1199" t="s">
        <v>1580</v>
      </c>
      <c r="D48" s="1172" t="s">
        <v>97</v>
      </c>
      <c r="E48" s="1173">
        <f>OP1_TEL!K51</f>
        <v>251.99999999999997</v>
      </c>
      <c r="F48" s="1188">
        <f>OP1_TEL!G51</f>
        <v>1</v>
      </c>
      <c r="G48" s="1175">
        <f>OP1_TEL!L51</f>
        <v>252</v>
      </c>
      <c r="H48" s="1173">
        <f>OP1_TEL!O51</f>
        <v>754.28571428571433</v>
      </c>
      <c r="I48" s="2080">
        <f t="shared" si="4"/>
        <v>1</v>
      </c>
      <c r="J48" s="1175">
        <f>OP1_TEL!P51</f>
        <v>754</v>
      </c>
      <c r="K48" s="1222">
        <f>OP1_TEL!W51</f>
        <v>1400</v>
      </c>
      <c r="L48" s="1188">
        <f t="shared" si="3"/>
        <v>1</v>
      </c>
      <c r="M48" s="2097">
        <f>OP1_TEL!X51</f>
        <v>1400</v>
      </c>
      <c r="N48" s="1309">
        <f t="shared" si="5"/>
        <v>2406</v>
      </c>
      <c r="O48" s="1178"/>
      <c r="P48" s="1123"/>
    </row>
    <row r="49" spans="2:16" s="1128" customFormat="1" ht="21.9" customHeight="1" x14ac:dyDescent="0.25">
      <c r="B49" s="1170"/>
      <c r="C49" s="1199"/>
      <c r="D49" s="1172"/>
      <c r="E49" s="1173"/>
      <c r="F49" s="2084"/>
      <c r="G49" s="1175"/>
      <c r="H49" s="1173"/>
      <c r="I49" s="2080">
        <f t="shared" si="4"/>
        <v>0</v>
      </c>
      <c r="J49" s="1175"/>
      <c r="K49" s="1173"/>
      <c r="L49" s="2084">
        <f t="shared" si="3"/>
        <v>0</v>
      </c>
      <c r="M49" s="1175"/>
      <c r="N49" s="1309">
        <f t="shared" si="5"/>
        <v>0</v>
      </c>
      <c r="O49" s="1178"/>
      <c r="P49" s="1123"/>
    </row>
    <row r="50" spans="2:16" s="1139" customFormat="1" ht="21.9" customHeight="1" x14ac:dyDescent="0.25">
      <c r="B50" s="1157">
        <v>3</v>
      </c>
      <c r="C50" s="1166" t="s">
        <v>1144</v>
      </c>
      <c r="D50" s="1159"/>
      <c r="E50" s="1200"/>
      <c r="F50" s="2088"/>
      <c r="G50" s="1202"/>
      <c r="H50" s="1200"/>
      <c r="I50" s="2080">
        <f t="shared" si="4"/>
        <v>0</v>
      </c>
      <c r="J50" s="1202"/>
      <c r="K50" s="1200"/>
      <c r="L50" s="2088">
        <f t="shared" si="3"/>
        <v>0</v>
      </c>
      <c r="M50" s="1202"/>
      <c r="N50" s="1309">
        <f t="shared" si="5"/>
        <v>0</v>
      </c>
      <c r="O50" s="1178"/>
      <c r="P50" s="1138"/>
    </row>
    <row r="51" spans="2:16" s="1128" customFormat="1" ht="21.9" customHeight="1" x14ac:dyDescent="0.25">
      <c r="B51" s="1170">
        <v>3.1</v>
      </c>
      <c r="C51" s="1199" t="s">
        <v>1460</v>
      </c>
      <c r="D51" s="1172" t="s">
        <v>97</v>
      </c>
      <c r="E51" s="1173">
        <f>OP1_TEL!K52</f>
        <v>16.799999999999997</v>
      </c>
      <c r="F51" s="2084">
        <f>OP1_TEL!G52</f>
        <v>1</v>
      </c>
      <c r="G51" s="1175">
        <f>OP1_TEL!L52</f>
        <v>17</v>
      </c>
      <c r="H51" s="1173">
        <f>OP1_TEL!O52</f>
        <v>10.285714285714285</v>
      </c>
      <c r="I51" s="2080">
        <f t="shared" si="4"/>
        <v>1</v>
      </c>
      <c r="J51" s="1175">
        <f>OP1_TEL!P52</f>
        <v>10</v>
      </c>
      <c r="K51" s="1222">
        <f>OP1_TEL!W52</f>
        <v>0</v>
      </c>
      <c r="L51" s="1188">
        <f t="shared" si="3"/>
        <v>1</v>
      </c>
      <c r="M51" s="2097">
        <f>OP1_TEL!X52</f>
        <v>0</v>
      </c>
      <c r="N51" s="1309">
        <f t="shared" si="5"/>
        <v>27</v>
      </c>
      <c r="O51" s="1178"/>
      <c r="P51" s="1123"/>
    </row>
    <row r="52" spans="2:16" s="1128" customFormat="1" ht="21.9" customHeight="1" x14ac:dyDescent="0.25">
      <c r="B52" s="1170">
        <v>3.2</v>
      </c>
      <c r="C52" s="1199" t="s">
        <v>1462</v>
      </c>
      <c r="D52" s="1172" t="s">
        <v>97</v>
      </c>
      <c r="E52" s="1173">
        <f>OP1_TEL!K53</f>
        <v>16.799999999999997</v>
      </c>
      <c r="F52" s="2084">
        <f>OP1_TEL!G53</f>
        <v>1</v>
      </c>
      <c r="G52" s="1175">
        <f>OP1_TEL!L53</f>
        <v>17</v>
      </c>
      <c r="H52" s="1173">
        <f>OP1_TEL!O43</f>
        <v>55.285714285714285</v>
      </c>
      <c r="I52" s="2080">
        <f t="shared" si="4"/>
        <v>1</v>
      </c>
      <c r="J52" s="1175">
        <f>OP1_TEL!P53</f>
        <v>10</v>
      </c>
      <c r="K52" s="1222">
        <f>OP1_TEL!W53</f>
        <v>0</v>
      </c>
      <c r="L52" s="1188">
        <f t="shared" si="3"/>
        <v>1</v>
      </c>
      <c r="M52" s="2097">
        <f>OP1_TEL!X53</f>
        <v>0</v>
      </c>
      <c r="N52" s="1309">
        <f t="shared" si="5"/>
        <v>27</v>
      </c>
      <c r="O52" s="1178"/>
      <c r="P52" s="1123"/>
    </row>
    <row r="53" spans="2:16" s="1128" customFormat="1" ht="21.9" customHeight="1" x14ac:dyDescent="0.25">
      <c r="B53" s="1170">
        <v>3.3</v>
      </c>
      <c r="C53" s="1199" t="s">
        <v>1463</v>
      </c>
      <c r="D53" s="1172" t="s">
        <v>97</v>
      </c>
      <c r="E53" s="1173">
        <f>OP1_TEL!K54</f>
        <v>16.799999999999997</v>
      </c>
      <c r="F53" s="2084">
        <f>OP1_TEL!G54</f>
        <v>0</v>
      </c>
      <c r="G53" s="1175">
        <f>OP1_TEL!L54</f>
        <v>0</v>
      </c>
      <c r="H53" s="1173">
        <f>OP1_TEL!O54</f>
        <v>10.285714285714285</v>
      </c>
      <c r="I53" s="2080">
        <f t="shared" si="4"/>
        <v>0</v>
      </c>
      <c r="J53" s="1175">
        <f>OP1_TEL!P54</f>
        <v>0</v>
      </c>
      <c r="K53" s="1222">
        <f>OP1_TEL!W54</f>
        <v>0</v>
      </c>
      <c r="L53" s="1188">
        <f t="shared" si="3"/>
        <v>0</v>
      </c>
      <c r="M53" s="2097">
        <f>OP1_TEL!X54</f>
        <v>0</v>
      </c>
      <c r="N53" s="1309">
        <f t="shared" si="5"/>
        <v>0</v>
      </c>
      <c r="O53" s="1178"/>
      <c r="P53" s="1123"/>
    </row>
    <row r="54" spans="2:16" s="1128" customFormat="1" ht="21.9" customHeight="1" x14ac:dyDescent="0.25">
      <c r="B54" s="1170">
        <v>3.4</v>
      </c>
      <c r="C54" s="1199" t="s">
        <v>1464</v>
      </c>
      <c r="D54" s="1172" t="s">
        <v>97</v>
      </c>
      <c r="E54" s="1173">
        <f>OP1_TEL!K55</f>
        <v>16.799999999999997</v>
      </c>
      <c r="F54" s="2084">
        <f>OP1_TEL!G55</f>
        <v>1</v>
      </c>
      <c r="G54" s="1175">
        <f>OP1_TEL!L55</f>
        <v>17</v>
      </c>
      <c r="H54" s="1173">
        <f>OP1_TEL!O55</f>
        <v>10.285714285714285</v>
      </c>
      <c r="I54" s="2080">
        <f t="shared" si="4"/>
        <v>1</v>
      </c>
      <c r="J54" s="1175">
        <f>OP1_TEL!P55</f>
        <v>10</v>
      </c>
      <c r="K54" s="1222">
        <f>OP1_TEL!W55</f>
        <v>0</v>
      </c>
      <c r="L54" s="1188">
        <f t="shared" si="3"/>
        <v>1</v>
      </c>
      <c r="M54" s="2097">
        <f>OP1_TEL!X55</f>
        <v>0</v>
      </c>
      <c r="N54" s="1309">
        <f t="shared" si="5"/>
        <v>27</v>
      </c>
      <c r="O54" s="1178"/>
      <c r="P54" s="1123"/>
    </row>
    <row r="55" spans="2:16" s="1128" customFormat="1" ht="21.9" customHeight="1" x14ac:dyDescent="0.25">
      <c r="B55" s="1170">
        <v>3.5</v>
      </c>
      <c r="C55" s="1199" t="s">
        <v>1465</v>
      </c>
      <c r="D55" s="1172" t="s">
        <v>97</v>
      </c>
      <c r="E55" s="1173">
        <f>OP1_TEL!K56</f>
        <v>16.799999999999997</v>
      </c>
      <c r="F55" s="2084">
        <f>OP1_TEL!G56</f>
        <v>1</v>
      </c>
      <c r="G55" s="1175">
        <f>OP1_TEL!L56</f>
        <v>17</v>
      </c>
      <c r="H55" s="1173">
        <f>OP1_TEL!O56</f>
        <v>10.285714285714285</v>
      </c>
      <c r="I55" s="2080">
        <f t="shared" si="4"/>
        <v>1</v>
      </c>
      <c r="J55" s="1175">
        <f>OP1_TEL!P56</f>
        <v>10</v>
      </c>
      <c r="K55" s="1222">
        <f>OP1_TEL!W56</f>
        <v>0</v>
      </c>
      <c r="L55" s="1188">
        <f t="shared" si="3"/>
        <v>1</v>
      </c>
      <c r="M55" s="2097">
        <f>OP1_TEL!X56</f>
        <v>0</v>
      </c>
      <c r="N55" s="1309">
        <f t="shared" si="5"/>
        <v>27</v>
      </c>
      <c r="O55" s="1178"/>
      <c r="P55" s="1123"/>
    </row>
    <row r="56" spans="2:16" s="1128" customFormat="1" ht="21.9" customHeight="1" x14ac:dyDescent="0.25">
      <c r="B56" s="1170">
        <v>3.6</v>
      </c>
      <c r="C56" s="1199" t="s">
        <v>1466</v>
      </c>
      <c r="D56" s="1172" t="s">
        <v>97</v>
      </c>
      <c r="E56" s="1173">
        <f>OP1_TEL!K57</f>
        <v>16.799999999999997</v>
      </c>
      <c r="F56" s="2084">
        <f>OP1_TEL!G57</f>
        <v>1</v>
      </c>
      <c r="G56" s="1175">
        <f>OP1_TEL!L57</f>
        <v>17</v>
      </c>
      <c r="H56" s="1173">
        <f>OP1_TEL!O57</f>
        <v>10.285714285714285</v>
      </c>
      <c r="I56" s="2080">
        <f t="shared" si="4"/>
        <v>1</v>
      </c>
      <c r="J56" s="1175">
        <f>OP1_TEL!P57</f>
        <v>10</v>
      </c>
      <c r="K56" s="1222">
        <f>OP1_TEL!W57</f>
        <v>0</v>
      </c>
      <c r="L56" s="1188">
        <f t="shared" si="3"/>
        <v>1</v>
      </c>
      <c r="M56" s="2097">
        <f>OP1_TEL!X57</f>
        <v>0</v>
      </c>
      <c r="N56" s="1309">
        <f t="shared" si="5"/>
        <v>27</v>
      </c>
      <c r="O56" s="1178"/>
      <c r="P56" s="1123"/>
    </row>
    <row r="57" spans="2:16" s="1128" customFormat="1" ht="21.9" customHeight="1" x14ac:dyDescent="0.25">
      <c r="B57" s="1210"/>
      <c r="C57" s="1199"/>
      <c r="D57" s="1211"/>
      <c r="E57" s="1173"/>
      <c r="F57" s="2084"/>
      <c r="G57" s="1175"/>
      <c r="H57" s="1173"/>
      <c r="I57" s="2080">
        <f t="shared" si="4"/>
        <v>0</v>
      </c>
      <c r="J57" s="1175"/>
      <c r="K57" s="1173"/>
      <c r="L57" s="2084">
        <f t="shared" si="3"/>
        <v>0</v>
      </c>
      <c r="M57" s="1175"/>
      <c r="N57" s="1309">
        <f t="shared" si="5"/>
        <v>0</v>
      </c>
      <c r="O57" s="1178"/>
      <c r="P57" s="1123"/>
    </row>
    <row r="58" spans="2:16" s="1139" customFormat="1" ht="21.9" customHeight="1" x14ac:dyDescent="0.25">
      <c r="B58" s="1157">
        <v>4</v>
      </c>
      <c r="C58" s="1166" t="s">
        <v>1145</v>
      </c>
      <c r="D58" s="1159"/>
      <c r="E58" s="1200"/>
      <c r="F58" s="2088"/>
      <c r="G58" s="1202"/>
      <c r="H58" s="1200"/>
      <c r="I58" s="2080">
        <f t="shared" si="4"/>
        <v>0</v>
      </c>
      <c r="J58" s="1202"/>
      <c r="K58" s="1200"/>
      <c r="L58" s="2088">
        <f t="shared" si="3"/>
        <v>0</v>
      </c>
      <c r="M58" s="1202"/>
      <c r="N58" s="1309">
        <f t="shared" si="5"/>
        <v>0</v>
      </c>
      <c r="O58" s="1178"/>
      <c r="P58" s="1138"/>
    </row>
    <row r="59" spans="2:16" s="1128" customFormat="1" ht="21.9" customHeight="1" x14ac:dyDescent="0.25">
      <c r="B59" s="1170">
        <v>4.0999999999999996</v>
      </c>
      <c r="C59" s="1199" t="s">
        <v>1467</v>
      </c>
      <c r="D59" s="1172" t="s">
        <v>1147</v>
      </c>
      <c r="E59" s="1173">
        <f>OP1_TEL!K58</f>
        <v>3.5</v>
      </c>
      <c r="F59" s="2084">
        <f>OP1_TEL!G58</f>
        <v>1</v>
      </c>
      <c r="G59" s="1175">
        <f>OP1_TEL!L58</f>
        <v>4</v>
      </c>
      <c r="H59" s="1173">
        <f>OP1_TEL!O58</f>
        <v>14.142857142857142</v>
      </c>
      <c r="I59" s="2080">
        <f t="shared" si="4"/>
        <v>1</v>
      </c>
      <c r="J59" s="1175">
        <f>OP1_TEL!P58</f>
        <v>14</v>
      </c>
      <c r="K59" s="1173">
        <f>OP1_TEL!W58</f>
        <v>28</v>
      </c>
      <c r="L59" s="2084">
        <f t="shared" si="3"/>
        <v>1</v>
      </c>
      <c r="M59" s="2097">
        <f>OP1_TEL!X58</f>
        <v>28</v>
      </c>
      <c r="N59" s="1309">
        <f t="shared" si="5"/>
        <v>46</v>
      </c>
      <c r="O59" s="1178"/>
      <c r="P59" s="1123"/>
    </row>
    <row r="60" spans="2:16" s="1128" customFormat="1" ht="21.9" customHeight="1" x14ac:dyDescent="0.25">
      <c r="B60" s="1170">
        <v>4.2</v>
      </c>
      <c r="C60" s="1199" t="s">
        <v>1468</v>
      </c>
      <c r="D60" s="1172" t="s">
        <v>1149</v>
      </c>
      <c r="E60" s="1173">
        <f>OP1_TEL!K59</f>
        <v>2.8</v>
      </c>
      <c r="F60" s="2084">
        <f>OP1_TEL!G59</f>
        <v>5.8368000000000002</v>
      </c>
      <c r="G60" s="1175">
        <f>OP1_TEL!L59</f>
        <v>16</v>
      </c>
      <c r="H60" s="1173">
        <f>OP1_TEL!O59</f>
        <v>16.714285714285715</v>
      </c>
      <c r="I60" s="2080">
        <f t="shared" si="4"/>
        <v>5.8368000000000002</v>
      </c>
      <c r="J60" s="1175">
        <f>OP1_TEL!P59</f>
        <v>98</v>
      </c>
      <c r="K60" s="1173">
        <f>OP1_TEL!W59</f>
        <v>35</v>
      </c>
      <c r="L60" s="2084">
        <f t="shared" si="3"/>
        <v>5.8368000000000002</v>
      </c>
      <c r="M60" s="2097">
        <f>OP1_TEL!X59</f>
        <v>204</v>
      </c>
      <c r="N60" s="1309">
        <f t="shared" si="5"/>
        <v>318</v>
      </c>
      <c r="O60" s="1215"/>
      <c r="P60" s="1123"/>
    </row>
    <row r="61" spans="2:16" s="1128" customFormat="1" ht="21.9" customHeight="1" x14ac:dyDescent="0.25">
      <c r="B61" s="1170">
        <v>4.3</v>
      </c>
      <c r="C61" s="1199" t="s">
        <v>1469</v>
      </c>
      <c r="D61" s="1172" t="s">
        <v>1149</v>
      </c>
      <c r="E61" s="1173">
        <f>OP1_TEL!K60</f>
        <v>2.8</v>
      </c>
      <c r="F61" s="2084">
        <f>OP1_TEL!G60</f>
        <v>5.8368000000000002</v>
      </c>
      <c r="G61" s="1175">
        <f>OP1_TEL!L60</f>
        <v>16</v>
      </c>
      <c r="H61" s="1173">
        <f>OP1_TEL!O60</f>
        <v>16.714285714285715</v>
      </c>
      <c r="I61" s="2080">
        <f t="shared" si="4"/>
        <v>5.8368000000000002</v>
      </c>
      <c r="J61" s="1175">
        <f>OP1_TEL!P60</f>
        <v>98</v>
      </c>
      <c r="K61" s="1173">
        <f>OP1_TEL!W60</f>
        <v>35</v>
      </c>
      <c r="L61" s="2084">
        <f t="shared" si="3"/>
        <v>5.8368000000000002</v>
      </c>
      <c r="M61" s="2097">
        <f>OP1_TEL!X60</f>
        <v>204</v>
      </c>
      <c r="N61" s="1309">
        <f t="shared" si="5"/>
        <v>318</v>
      </c>
      <c r="O61" s="1208"/>
      <c r="P61" s="1123"/>
    </row>
    <row r="62" spans="2:16" s="1128" customFormat="1" ht="21.9" customHeight="1" x14ac:dyDescent="0.25">
      <c r="B62" s="1170">
        <v>4.4000000000000004</v>
      </c>
      <c r="C62" s="1199" t="s">
        <v>1470</v>
      </c>
      <c r="D62" s="1172" t="s">
        <v>1147</v>
      </c>
      <c r="E62" s="1173">
        <f>OP1_TEL!K61</f>
        <v>2.8</v>
      </c>
      <c r="F62" s="2084">
        <f>OP1_TEL!G61</f>
        <v>1</v>
      </c>
      <c r="G62" s="1175">
        <f>OP1_TEL!L61</f>
        <v>3</v>
      </c>
      <c r="H62" s="1173">
        <f>OP1_TEL!O61</f>
        <v>16.714285714285715</v>
      </c>
      <c r="I62" s="2080">
        <f t="shared" si="4"/>
        <v>1</v>
      </c>
      <c r="J62" s="1175">
        <f>OP1_TEL!P61</f>
        <v>17</v>
      </c>
      <c r="K62" s="1173">
        <f>OP1_TEL!W61</f>
        <v>35</v>
      </c>
      <c r="L62" s="2084">
        <f t="shared" si="3"/>
        <v>1</v>
      </c>
      <c r="M62" s="2097">
        <f>OP1_TEL!X61</f>
        <v>35</v>
      </c>
      <c r="N62" s="1309">
        <f t="shared" si="5"/>
        <v>55</v>
      </c>
      <c r="O62" s="1208"/>
      <c r="P62" s="1123"/>
    </row>
    <row r="63" spans="2:16" s="1128" customFormat="1" ht="21.9" customHeight="1" x14ac:dyDescent="0.25">
      <c r="B63" s="1170">
        <v>4.5</v>
      </c>
      <c r="C63" s="1199" t="s">
        <v>1471</v>
      </c>
      <c r="D63" s="1172" t="s">
        <v>1149</v>
      </c>
      <c r="E63" s="1173">
        <f>OP1_TEL!K62</f>
        <v>2.8</v>
      </c>
      <c r="F63" s="2084">
        <f>OP1_TEL!G62</f>
        <v>1</v>
      </c>
      <c r="G63" s="1175">
        <f>OP1_TEL!L62</f>
        <v>3</v>
      </c>
      <c r="H63" s="1173">
        <f>OP1_TEL!O62</f>
        <v>16.714285714285715</v>
      </c>
      <c r="I63" s="2080">
        <f t="shared" si="4"/>
        <v>1</v>
      </c>
      <c r="J63" s="1175">
        <f>OP1_TEL!P62</f>
        <v>17</v>
      </c>
      <c r="K63" s="1173">
        <f>OP1_TEL!W62</f>
        <v>35</v>
      </c>
      <c r="L63" s="2084">
        <f t="shared" si="3"/>
        <v>1</v>
      </c>
      <c r="M63" s="2097">
        <f>OP1_TEL!X62</f>
        <v>35</v>
      </c>
      <c r="N63" s="1309">
        <f t="shared" si="5"/>
        <v>55</v>
      </c>
      <c r="O63" s="1208"/>
      <c r="P63" s="1123"/>
    </row>
    <row r="64" spans="2:16" s="1128" customFormat="1" ht="21.9" customHeight="1" x14ac:dyDescent="0.25">
      <c r="B64" s="1170">
        <v>4.5999999999999996</v>
      </c>
      <c r="C64" s="1199" t="s">
        <v>1472</v>
      </c>
      <c r="D64" s="1172" t="s">
        <v>1149</v>
      </c>
      <c r="E64" s="1173">
        <f>OP1_TEL!K63</f>
        <v>2.8</v>
      </c>
      <c r="F64" s="2084">
        <f>OP1_TEL!G63</f>
        <v>5.8368000000000002</v>
      </c>
      <c r="G64" s="1175">
        <f>OP1_TEL!L63</f>
        <v>16</v>
      </c>
      <c r="H64" s="1173">
        <f>OP1_TEL!O63</f>
        <v>21.814285714285713</v>
      </c>
      <c r="I64" s="2080">
        <f t="shared" si="4"/>
        <v>5.8368000000000002</v>
      </c>
      <c r="J64" s="1175">
        <f>OP1_TEL!P63</f>
        <v>127</v>
      </c>
      <c r="K64" s="1173">
        <f>OP1_TEL!W63</f>
        <v>46.9</v>
      </c>
      <c r="L64" s="2084">
        <f t="shared" si="3"/>
        <v>5.8368000000000002</v>
      </c>
      <c r="M64" s="2097">
        <f>OP1_TEL!X63</f>
        <v>274</v>
      </c>
      <c r="N64" s="1309">
        <f t="shared" si="5"/>
        <v>417</v>
      </c>
      <c r="O64" s="1208"/>
      <c r="P64" s="1123"/>
    </row>
    <row r="65" spans="2:16" s="1128" customFormat="1" ht="21.9" customHeight="1" x14ac:dyDescent="0.25">
      <c r="B65" s="1170">
        <v>4.7</v>
      </c>
      <c r="C65" s="1199" t="s">
        <v>1473</v>
      </c>
      <c r="D65" s="1172" t="s">
        <v>1149</v>
      </c>
      <c r="E65" s="1173">
        <f>OP1_TEL!K64</f>
        <v>3.5</v>
      </c>
      <c r="F65" s="2084">
        <f>OP1_TEL!G64</f>
        <v>2.3368000000000002</v>
      </c>
      <c r="G65" s="1175">
        <f>OP1_TEL!L64</f>
        <v>8</v>
      </c>
      <c r="H65" s="1173">
        <f>OP1_TEL!O64</f>
        <v>22.24285714285714</v>
      </c>
      <c r="I65" s="2080">
        <f t="shared" si="4"/>
        <v>2.3368000000000002</v>
      </c>
      <c r="J65" s="1175">
        <f>OP1_TEL!P64</f>
        <v>52</v>
      </c>
      <c r="K65" s="1173">
        <f>OP1_TEL!W64</f>
        <v>46.9</v>
      </c>
      <c r="L65" s="2084">
        <f t="shared" si="3"/>
        <v>2.3368000000000002</v>
      </c>
      <c r="M65" s="2097">
        <f>OP1_TEL!X64</f>
        <v>110</v>
      </c>
      <c r="N65" s="1309">
        <f t="shared" si="5"/>
        <v>170</v>
      </c>
      <c r="O65" s="1208"/>
      <c r="P65" s="1123"/>
    </row>
    <row r="66" spans="2:16" s="1128" customFormat="1" ht="21.9" customHeight="1" x14ac:dyDescent="0.25">
      <c r="B66" s="1170">
        <v>4.8</v>
      </c>
      <c r="C66" s="1199" t="s">
        <v>1474</v>
      </c>
      <c r="D66" s="1172" t="s">
        <v>1149</v>
      </c>
      <c r="E66" s="1173">
        <f>OP1_TEL!K65</f>
        <v>2.8</v>
      </c>
      <c r="F66" s="2084">
        <f>OP1_TEL!G65</f>
        <v>3.5</v>
      </c>
      <c r="G66" s="1175">
        <f>OP1_TEL!L65</f>
        <v>10</v>
      </c>
      <c r="H66" s="1173">
        <f>OP1_TEL!O65</f>
        <v>21.814285714285713</v>
      </c>
      <c r="I66" s="2080">
        <f t="shared" si="4"/>
        <v>3.5</v>
      </c>
      <c r="J66" s="1175">
        <f>OP1_TEL!P65</f>
        <v>76</v>
      </c>
      <c r="K66" s="1173">
        <f>OP1_TEL!W65</f>
        <v>46.9</v>
      </c>
      <c r="L66" s="2084">
        <f t="shared" si="3"/>
        <v>3.5</v>
      </c>
      <c r="M66" s="2097">
        <f>OP1_TEL!X65</f>
        <v>164</v>
      </c>
      <c r="N66" s="1309">
        <f t="shared" si="5"/>
        <v>250</v>
      </c>
      <c r="O66" s="1208"/>
      <c r="P66" s="1123"/>
    </row>
    <row r="67" spans="2:16" s="1128" customFormat="1" ht="21.9" customHeight="1" x14ac:dyDescent="0.25">
      <c r="B67" s="1170">
        <v>4.9000000000000004</v>
      </c>
      <c r="C67" s="1199" t="s">
        <v>1475</v>
      </c>
      <c r="D67" s="1172" t="s">
        <v>1149</v>
      </c>
      <c r="E67" s="1173">
        <f>OP1_TEL!K66</f>
        <v>2.0999999999999996</v>
      </c>
      <c r="F67" s="2084">
        <f>OP1_TEL!G66</f>
        <v>7</v>
      </c>
      <c r="G67" s="1175">
        <f>OP1_TEL!L66</f>
        <v>15</v>
      </c>
      <c r="H67" s="1173">
        <f>OP1_TEL!O66</f>
        <v>11.485714285714284</v>
      </c>
      <c r="I67" s="2080">
        <f t="shared" si="4"/>
        <v>7</v>
      </c>
      <c r="J67" s="1175">
        <f>OP1_TEL!P66</f>
        <v>80</v>
      </c>
      <c r="K67" s="1173">
        <f>OP1_TEL!W66</f>
        <v>23.799999999999997</v>
      </c>
      <c r="L67" s="2084">
        <f t="shared" si="3"/>
        <v>7</v>
      </c>
      <c r="M67" s="2097">
        <f>OP1_TEL!X66</f>
        <v>167</v>
      </c>
      <c r="N67" s="1309">
        <f t="shared" si="5"/>
        <v>262</v>
      </c>
      <c r="O67" s="1208"/>
      <c r="P67" s="1123"/>
    </row>
    <row r="68" spans="2:16" s="1128" customFormat="1" ht="21.9" customHeight="1" x14ac:dyDescent="0.25">
      <c r="B68" s="1216">
        <v>4.0999999999999996</v>
      </c>
      <c r="C68" s="1199" t="s">
        <v>1157</v>
      </c>
      <c r="D68" s="1172" t="s">
        <v>1147</v>
      </c>
      <c r="E68" s="1173">
        <f>OP1_TEL!K67</f>
        <v>0.35</v>
      </c>
      <c r="F68" s="2084">
        <f>OP1_TEL!G67</f>
        <v>50</v>
      </c>
      <c r="G68" s="1175">
        <f>OP1_TEL!L67</f>
        <v>18</v>
      </c>
      <c r="H68" s="1173">
        <f>OP1_TEL!O67</f>
        <v>0.81428571428571428</v>
      </c>
      <c r="I68" s="2080">
        <f t="shared" si="4"/>
        <v>50</v>
      </c>
      <c r="J68" s="1175">
        <f>OP1_TEL!P67</f>
        <v>41</v>
      </c>
      <c r="K68" s="1173">
        <f>OP1_TEL!W67</f>
        <v>1.4</v>
      </c>
      <c r="L68" s="2084">
        <f t="shared" si="3"/>
        <v>50</v>
      </c>
      <c r="M68" s="2097">
        <f>OP1_TEL!X67</f>
        <v>70</v>
      </c>
      <c r="N68" s="1309">
        <f t="shared" si="5"/>
        <v>129</v>
      </c>
      <c r="O68" s="1208"/>
      <c r="P68" s="1123"/>
    </row>
    <row r="69" spans="2:16" s="1128" customFormat="1" ht="21.9" customHeight="1" x14ac:dyDescent="0.25">
      <c r="B69" s="1216">
        <v>4.1100000000000003</v>
      </c>
      <c r="C69" s="1199" t="s">
        <v>1583</v>
      </c>
      <c r="D69" s="1172" t="s">
        <v>1147</v>
      </c>
      <c r="E69" s="1173">
        <f>OP1_TEL!K68</f>
        <v>2.8</v>
      </c>
      <c r="F69" s="2084">
        <f>OP1_TEL!G68</f>
        <v>0</v>
      </c>
      <c r="G69" s="1175">
        <f>OP1_TEL!L68</f>
        <v>0</v>
      </c>
      <c r="H69" s="1173">
        <f>OP1_TEL!O68</f>
        <v>2.9142857142857146</v>
      </c>
      <c r="I69" s="2080">
        <f t="shared" si="4"/>
        <v>0</v>
      </c>
      <c r="J69" s="1175">
        <f>OP1_TEL!P68</f>
        <v>0</v>
      </c>
      <c r="K69" s="1173">
        <f>OP1_TEL!W68</f>
        <v>2.8</v>
      </c>
      <c r="L69" s="2084">
        <f t="shared" si="3"/>
        <v>0</v>
      </c>
      <c r="M69" s="2097">
        <f>OP1_TEL!X68</f>
        <v>0</v>
      </c>
      <c r="N69" s="1309">
        <f t="shared" si="5"/>
        <v>0</v>
      </c>
      <c r="O69" s="1208"/>
      <c r="P69" s="1123"/>
    </row>
    <row r="70" spans="2:16" s="1128" customFormat="1" ht="21.9" customHeight="1" x14ac:dyDescent="0.25">
      <c r="B70" s="1170"/>
      <c r="C70" s="1199"/>
      <c r="D70" s="1172"/>
      <c r="E70" s="1173"/>
      <c r="F70" s="2084"/>
      <c r="G70" s="1175"/>
      <c r="H70" s="1173"/>
      <c r="I70" s="2084"/>
      <c r="J70" s="1175"/>
      <c r="K70" s="1173"/>
      <c r="L70" s="2084">
        <f t="shared" si="3"/>
        <v>0</v>
      </c>
      <c r="M70" s="1175"/>
      <c r="N70" s="1309">
        <f t="shared" si="5"/>
        <v>0</v>
      </c>
      <c r="O70" s="1215"/>
      <c r="P70" s="1123"/>
    </row>
    <row r="71" spans="2:16" s="1139" customFormat="1" ht="21.9" customHeight="1" x14ac:dyDescent="0.25">
      <c r="B71" s="1157">
        <v>5</v>
      </c>
      <c r="C71" s="1166" t="s">
        <v>1159</v>
      </c>
      <c r="D71" s="1159"/>
      <c r="E71" s="1200"/>
      <c r="F71" s="2088"/>
      <c r="G71" s="1202"/>
      <c r="H71" s="1200"/>
      <c r="I71" s="2088"/>
      <c r="J71" s="1202"/>
      <c r="K71" s="1200"/>
      <c r="L71" s="2088">
        <f t="shared" si="3"/>
        <v>0</v>
      </c>
      <c r="M71" s="1202"/>
      <c r="N71" s="1309">
        <f t="shared" si="5"/>
        <v>0</v>
      </c>
      <c r="O71" s="1165"/>
      <c r="P71" s="1138"/>
    </row>
    <row r="72" spans="2:16" s="1128" customFormat="1" ht="21.9" customHeight="1" x14ac:dyDescent="0.25">
      <c r="B72" s="1170">
        <v>5.0999999999999996</v>
      </c>
      <c r="C72" s="1199" t="s">
        <v>1159</v>
      </c>
      <c r="D72" s="1172" t="s">
        <v>1124</v>
      </c>
      <c r="E72" s="1200" t="s">
        <v>1566</v>
      </c>
      <c r="F72" s="2084">
        <f>OP1_TEL!G70+OP1_TEL!G71</f>
        <v>2</v>
      </c>
      <c r="G72" s="1175">
        <f>OP1_TEL!L70+OP1_TEL!L71</f>
        <v>560</v>
      </c>
      <c r="H72" s="1173">
        <f>OP1_TEL!O70+OP1_TEL!O71</f>
        <v>582.85714285714289</v>
      </c>
      <c r="I72" s="2080">
        <f t="shared" ref="I72:I76" si="6">F72</f>
        <v>2</v>
      </c>
      <c r="J72" s="1175">
        <f>OP1_TEL!P70+OP1_TEL!P71</f>
        <v>582</v>
      </c>
      <c r="K72" s="1200" t="s">
        <v>1566</v>
      </c>
      <c r="L72" s="2084">
        <f t="shared" si="3"/>
        <v>2</v>
      </c>
      <c r="M72" s="2097">
        <f>OP1_TEL!X70+OP1_TEL!X71</f>
        <v>560</v>
      </c>
      <c r="N72" s="1309">
        <f t="shared" si="5"/>
        <v>1702</v>
      </c>
      <c r="O72" s="1215"/>
      <c r="P72" s="1123"/>
    </row>
    <row r="73" spans="2:16" s="1128" customFormat="1" ht="21.9" customHeight="1" x14ac:dyDescent="0.25">
      <c r="B73" s="1170"/>
      <c r="C73" s="1199"/>
      <c r="D73" s="1172"/>
      <c r="E73" s="1173"/>
      <c r="F73" s="2084"/>
      <c r="G73" s="1175"/>
      <c r="H73" s="1173"/>
      <c r="I73" s="2080">
        <f t="shared" si="6"/>
        <v>0</v>
      </c>
      <c r="J73" s="1175"/>
      <c r="K73" s="1173"/>
      <c r="L73" s="2084">
        <f t="shared" si="3"/>
        <v>0</v>
      </c>
      <c r="M73" s="1175"/>
      <c r="N73" s="1309">
        <f t="shared" si="5"/>
        <v>0</v>
      </c>
      <c r="O73" s="1215"/>
      <c r="P73" s="1123"/>
    </row>
    <row r="74" spans="2:16" s="1128" customFormat="1" ht="21.9" customHeight="1" x14ac:dyDescent="0.25">
      <c r="B74" s="1157">
        <v>6</v>
      </c>
      <c r="C74" s="1166" t="s">
        <v>1160</v>
      </c>
      <c r="D74" s="1172"/>
      <c r="E74" s="1173"/>
      <c r="F74" s="2084"/>
      <c r="G74" s="1175"/>
      <c r="H74" s="1173"/>
      <c r="I74" s="2080">
        <f t="shared" si="6"/>
        <v>0</v>
      </c>
      <c r="J74" s="1175"/>
      <c r="K74" s="1173"/>
      <c r="L74" s="2084">
        <f t="shared" si="3"/>
        <v>0</v>
      </c>
      <c r="M74" s="1175"/>
      <c r="N74" s="1309">
        <f t="shared" si="5"/>
        <v>0</v>
      </c>
      <c r="O74" s="1178"/>
      <c r="P74" s="1123"/>
    </row>
    <row r="75" spans="2:16" s="1139" customFormat="1" ht="21.9" customHeight="1" x14ac:dyDescent="0.25">
      <c r="B75" s="1219">
        <v>6.1</v>
      </c>
      <c r="C75" s="1187" t="s">
        <v>1169</v>
      </c>
      <c r="D75" s="1159"/>
      <c r="E75" s="1200"/>
      <c r="F75" s="2088"/>
      <c r="G75" s="1202"/>
      <c r="H75" s="1200"/>
      <c r="I75" s="2080">
        <f t="shared" si="6"/>
        <v>0</v>
      </c>
      <c r="J75" s="1202"/>
      <c r="K75" s="1200"/>
      <c r="L75" s="2088">
        <f t="shared" si="3"/>
        <v>0</v>
      </c>
      <c r="M75" s="1202"/>
      <c r="N75" s="1309">
        <f t="shared" si="5"/>
        <v>0</v>
      </c>
      <c r="O75" s="1178"/>
      <c r="P75" s="1138"/>
    </row>
    <row r="76" spans="2:16" s="1128" customFormat="1" ht="21.9" customHeight="1" x14ac:dyDescent="0.25">
      <c r="B76" s="1170" t="s">
        <v>1584</v>
      </c>
      <c r="C76" s="1209" t="s">
        <v>1171</v>
      </c>
      <c r="D76" s="1172" t="s">
        <v>97</v>
      </c>
      <c r="E76" s="1173">
        <f>OP1_TEL!K73</f>
        <v>189</v>
      </c>
      <c r="F76" s="2084">
        <f>OP1_TEL!G73</f>
        <v>1</v>
      </c>
      <c r="G76" s="1175">
        <f>OP1_TEL!L73</f>
        <v>189</v>
      </c>
      <c r="H76" s="1173">
        <f>OP1_TEL!O73</f>
        <v>250.71428571428572</v>
      </c>
      <c r="I76" s="2080">
        <f t="shared" si="6"/>
        <v>1</v>
      </c>
      <c r="J76" s="1175">
        <f>OP1_TEL!P73</f>
        <v>251</v>
      </c>
      <c r="K76" s="1222">
        <f>OP1_TEL!W73</f>
        <v>315</v>
      </c>
      <c r="L76" s="2088">
        <f t="shared" si="3"/>
        <v>1</v>
      </c>
      <c r="M76" s="2113">
        <f>OP1_TEL!X73</f>
        <v>315</v>
      </c>
      <c r="N76" s="1309">
        <f t="shared" si="5"/>
        <v>755</v>
      </c>
      <c r="O76" s="1178"/>
      <c r="P76" s="1123"/>
    </row>
    <row r="77" spans="2:16" s="1128" customFormat="1" ht="21.9" customHeight="1" x14ac:dyDescent="0.25">
      <c r="B77" s="1170" t="s">
        <v>1585</v>
      </c>
      <c r="C77" s="1221" t="s">
        <v>767</v>
      </c>
      <c r="D77" s="2114" t="s">
        <v>97</v>
      </c>
      <c r="E77" s="1173"/>
      <c r="F77" s="2084"/>
      <c r="G77" s="1175"/>
      <c r="H77" s="2115">
        <f>OP1_TEL!O74</f>
        <v>191.4</v>
      </c>
      <c r="I77" s="2116">
        <f>OP1_TEL!G74</f>
        <v>0</v>
      </c>
      <c r="J77" s="2097">
        <f>OP1_TEL!P74</f>
        <v>0</v>
      </c>
      <c r="K77" s="1222">
        <f>OP1_TEL!W74</f>
        <v>446.59999999999997</v>
      </c>
      <c r="L77" s="2088">
        <f>OP1_TEL!G74</f>
        <v>0</v>
      </c>
      <c r="M77" s="2113">
        <f>OP1_TEL!X74</f>
        <v>0</v>
      </c>
      <c r="N77" s="1309">
        <f t="shared" si="5"/>
        <v>0</v>
      </c>
      <c r="O77" s="1178"/>
      <c r="P77" s="1123"/>
    </row>
    <row r="78" spans="2:16" s="1128" customFormat="1" ht="21.9" customHeight="1" x14ac:dyDescent="0.25">
      <c r="B78" s="1219">
        <v>6.2</v>
      </c>
      <c r="C78" s="1187" t="s">
        <v>1221</v>
      </c>
      <c r="D78" s="1172" t="s">
        <v>1124</v>
      </c>
      <c r="E78" s="1173" t="s">
        <v>1566</v>
      </c>
      <c r="F78" s="2084">
        <f>OP1_TEL!G76+OP1_TEL!G77</f>
        <v>0</v>
      </c>
      <c r="G78" s="1175">
        <f>OP1_TEL!L76+OP1_TEL!L77</f>
        <v>0</v>
      </c>
      <c r="H78" s="1200" t="s">
        <v>1566</v>
      </c>
      <c r="I78" s="2080">
        <f>OP1_TEL!G76+OP1_TEL!G77</f>
        <v>0</v>
      </c>
      <c r="J78" s="1175">
        <f>OP1_TEL!P76+OP1_TEL!P77</f>
        <v>0</v>
      </c>
      <c r="K78" s="1200" t="s">
        <v>1566</v>
      </c>
      <c r="L78" s="2088">
        <f>OP1_TEL!G76+OP1_TEL!G77</f>
        <v>0</v>
      </c>
      <c r="M78" s="2113">
        <f>OP1_TEL!X76+OP1_TEL!X77</f>
        <v>0</v>
      </c>
      <c r="N78" s="1309">
        <f t="shared" si="5"/>
        <v>0</v>
      </c>
      <c r="O78" s="1178"/>
      <c r="P78" s="1123"/>
    </row>
    <row r="79" spans="2:16" s="1128" customFormat="1" ht="21.9" customHeight="1" x14ac:dyDescent="0.25">
      <c r="B79" s="1219"/>
      <c r="C79" s="1187"/>
      <c r="D79" s="1172"/>
      <c r="E79" s="1173"/>
      <c r="F79" s="2084"/>
      <c r="G79" s="1175"/>
      <c r="H79" s="1200"/>
      <c r="I79" s="2080"/>
      <c r="J79" s="1175"/>
      <c r="K79" s="1200"/>
      <c r="L79" s="2088"/>
      <c r="M79" s="2113"/>
      <c r="N79" s="1318"/>
      <c r="O79" s="1178"/>
      <c r="P79" s="1123"/>
    </row>
    <row r="80" spans="2:16" s="1128" customFormat="1" ht="21.9" customHeight="1" x14ac:dyDescent="0.25">
      <c r="B80" s="2117">
        <v>7</v>
      </c>
      <c r="C80" s="2118" t="s">
        <v>1222</v>
      </c>
      <c r="D80" s="2114"/>
      <c r="E80" s="1173"/>
      <c r="F80" s="2084"/>
      <c r="G80" s="1175"/>
      <c r="H80" s="1200"/>
      <c r="I80" s="2080"/>
      <c r="J80" s="1175"/>
      <c r="K80" s="1200"/>
      <c r="L80" s="2088"/>
      <c r="M80" s="1202"/>
      <c r="N80" s="1318"/>
      <c r="O80" s="1178"/>
      <c r="P80" s="1123"/>
    </row>
    <row r="81" spans="2:16" s="1128" customFormat="1" ht="21.9" customHeight="1" x14ac:dyDescent="0.25">
      <c r="B81" s="2119">
        <v>7.1</v>
      </c>
      <c r="C81" s="2120" t="s">
        <v>1223</v>
      </c>
      <c r="D81" s="2114" t="s">
        <v>1174</v>
      </c>
      <c r="E81" s="2115">
        <f>OP1_TEL!K83</f>
        <v>161</v>
      </c>
      <c r="F81" s="2121">
        <f>OP1_TEL!G83</f>
        <v>6</v>
      </c>
      <c r="G81" s="2097">
        <f>OP1_TEL!L83</f>
        <v>966</v>
      </c>
      <c r="H81" s="2122"/>
      <c r="I81" s="2116"/>
      <c r="J81" s="2097"/>
      <c r="K81" s="2122"/>
      <c r="L81" s="2123"/>
      <c r="M81" s="2113"/>
      <c r="N81" s="2124">
        <f t="shared" ref="N81" si="7">G81+J81+M81</f>
        <v>966</v>
      </c>
      <c r="O81" s="1178"/>
      <c r="P81" s="1123"/>
    </row>
    <row r="82" spans="2:16" s="1123" customFormat="1" ht="21.9" customHeight="1" x14ac:dyDescent="0.25">
      <c r="B82" s="1186"/>
      <c r="C82" s="1187"/>
      <c r="D82" s="1172"/>
      <c r="E82" s="1173"/>
      <c r="F82" s="2084"/>
      <c r="G82" s="1175"/>
      <c r="H82" s="1173"/>
      <c r="I82" s="2084"/>
      <c r="J82" s="1175"/>
      <c r="K82" s="1173"/>
      <c r="L82" s="2084">
        <f t="shared" ref="L82:L121" si="8">F82</f>
        <v>0</v>
      </c>
      <c r="M82" s="1175"/>
      <c r="N82" s="1189"/>
      <c r="O82" s="1178"/>
    </row>
    <row r="83" spans="2:16" s="1139" customFormat="1" ht="21.9" customHeight="1" thickBot="1" x14ac:dyDescent="0.3">
      <c r="B83" s="1190" t="s">
        <v>1175</v>
      </c>
      <c r="C83" s="1191"/>
      <c r="D83" s="1192"/>
      <c r="E83" s="1236"/>
      <c r="F83" s="2095"/>
      <c r="G83" s="1195">
        <f>SUM(G28:G82)</f>
        <v>6847</v>
      </c>
      <c r="H83" s="1236"/>
      <c r="I83" s="2095"/>
      <c r="J83" s="1195">
        <f>SUM(J28:J82)</f>
        <v>5427</v>
      </c>
      <c r="K83" s="1236"/>
      <c r="L83" s="2095">
        <f t="shared" si="8"/>
        <v>0</v>
      </c>
      <c r="M83" s="1195">
        <f>SUM(M28:M82)</f>
        <v>4273</v>
      </c>
      <c r="N83" s="1195">
        <f>SUM(N28:N82)</f>
        <v>16547</v>
      </c>
      <c r="O83" s="1198"/>
      <c r="P83" s="1138"/>
    </row>
    <row r="84" spans="2:16" s="1139" customFormat="1" ht="21.9" customHeight="1" x14ac:dyDescent="0.25">
      <c r="B84" s="1170"/>
      <c r="C84" s="1199"/>
      <c r="D84" s="1172"/>
      <c r="E84" s="1173"/>
      <c r="F84" s="2084"/>
      <c r="G84" s="1175"/>
      <c r="H84" s="1173"/>
      <c r="I84" s="2084"/>
      <c r="J84" s="1175"/>
      <c r="K84" s="1173"/>
      <c r="L84" s="2084">
        <f t="shared" si="8"/>
        <v>0</v>
      </c>
      <c r="M84" s="1175"/>
      <c r="N84" s="1177"/>
      <c r="O84" s="1178"/>
      <c r="P84" s="1138"/>
    </row>
    <row r="85" spans="2:16" s="1128" customFormat="1" ht="21.9" customHeight="1" x14ac:dyDescent="0.25">
      <c r="B85" s="1157" t="s">
        <v>1176</v>
      </c>
      <c r="C85" s="1158" t="s">
        <v>1177</v>
      </c>
      <c r="D85" s="1172"/>
      <c r="E85" s="1173"/>
      <c r="F85" s="2084"/>
      <c r="G85" s="1175"/>
      <c r="H85" s="1173"/>
      <c r="I85" s="2084"/>
      <c r="J85" s="1175"/>
      <c r="K85" s="1173"/>
      <c r="L85" s="2084">
        <f t="shared" si="8"/>
        <v>0</v>
      </c>
      <c r="M85" s="1175"/>
      <c r="N85" s="1207"/>
      <c r="O85" s="1178"/>
      <c r="P85" s="1123"/>
    </row>
    <row r="86" spans="2:16" s="1138" customFormat="1" ht="21.9" customHeight="1" x14ac:dyDescent="0.25">
      <c r="B86" s="1157">
        <v>1</v>
      </c>
      <c r="C86" s="1166" t="s">
        <v>1182</v>
      </c>
      <c r="D86" s="1159"/>
      <c r="E86" s="1200"/>
      <c r="F86" s="2088"/>
      <c r="G86" s="1202"/>
      <c r="H86" s="1200"/>
      <c r="I86" s="2088"/>
      <c r="J86" s="1202"/>
      <c r="K86" s="1200"/>
      <c r="L86" s="2088">
        <f t="shared" si="8"/>
        <v>0</v>
      </c>
      <c r="M86" s="1202"/>
      <c r="N86" s="1205"/>
      <c r="O86" s="1165"/>
    </row>
    <row r="87" spans="2:16" s="1123" customFormat="1" ht="21.9" customHeight="1" x14ac:dyDescent="0.25">
      <c r="B87" s="1170">
        <v>1.1000000000000001</v>
      </c>
      <c r="C87" s="1199" t="s">
        <v>347</v>
      </c>
      <c r="D87" s="1172"/>
      <c r="E87" s="1173"/>
      <c r="F87" s="2084"/>
      <c r="G87" s="1175"/>
      <c r="H87" s="1173"/>
      <c r="I87" s="2084"/>
      <c r="J87" s="1175"/>
      <c r="K87" s="1173"/>
      <c r="L87" s="2084">
        <f t="shared" si="8"/>
        <v>0</v>
      </c>
      <c r="M87" s="1175"/>
      <c r="N87" s="1177"/>
      <c r="O87" s="1178"/>
    </row>
    <row r="88" spans="2:16" s="1123" customFormat="1" ht="21.9" customHeight="1" x14ac:dyDescent="0.25">
      <c r="B88" s="1170"/>
      <c r="C88" s="1206" t="s">
        <v>1562</v>
      </c>
      <c r="D88" s="1172" t="s">
        <v>1134</v>
      </c>
      <c r="E88" s="1222">
        <f>OP1_TEL!K86</f>
        <v>140</v>
      </c>
      <c r="F88" s="2084">
        <f>OP1_TEL!G86</f>
        <v>1</v>
      </c>
      <c r="G88" s="1175">
        <f>OP1_TEL!L86</f>
        <v>140</v>
      </c>
      <c r="H88" s="1173">
        <f>OP1_TEL!O86</f>
        <v>88.114285714285728</v>
      </c>
      <c r="I88" s="2080">
        <f t="shared" ref="I88:I115" si="9">F88</f>
        <v>1</v>
      </c>
      <c r="J88" s="1175">
        <f>OP1_TEL!P86</f>
        <v>88</v>
      </c>
      <c r="K88" s="1222">
        <f>OP1_TEL!W86</f>
        <v>5.6</v>
      </c>
      <c r="L88" s="2084">
        <f t="shared" si="8"/>
        <v>1</v>
      </c>
      <c r="M88" s="2097">
        <f>OP1_TEL!X86</f>
        <v>6</v>
      </c>
      <c r="N88" s="1309">
        <f t="shared" ref="N88:N115" si="10">G88+J88+M88</f>
        <v>234</v>
      </c>
      <c r="O88" s="1178"/>
    </row>
    <row r="89" spans="2:16" s="1123" customFormat="1" ht="21.9" customHeight="1" x14ac:dyDescent="0.25">
      <c r="B89" s="1170"/>
      <c r="C89" s="1221" t="s">
        <v>1574</v>
      </c>
      <c r="D89" s="1172" t="s">
        <v>1134</v>
      </c>
      <c r="E89" s="1222">
        <f>OP1_TEL!K87</f>
        <v>210</v>
      </c>
      <c r="F89" s="2084">
        <f>OP1_TEL!G87</f>
        <v>0</v>
      </c>
      <c r="G89" s="1175">
        <f>OP1_TEL!L87</f>
        <v>0</v>
      </c>
      <c r="H89" s="1173">
        <f>OP1_TEL!O87</f>
        <v>130.97142857142859</v>
      </c>
      <c r="I89" s="2080">
        <f t="shared" si="9"/>
        <v>0</v>
      </c>
      <c r="J89" s="1175">
        <f>OP1_TEL!P87</f>
        <v>0</v>
      </c>
      <c r="K89" s="1222">
        <f>OP1_TEL!W87</f>
        <v>5.6</v>
      </c>
      <c r="L89" s="2084">
        <f t="shared" si="8"/>
        <v>0</v>
      </c>
      <c r="M89" s="2097">
        <f>OP1_TEL!X87</f>
        <v>0</v>
      </c>
      <c r="N89" s="1309">
        <f t="shared" si="10"/>
        <v>0</v>
      </c>
      <c r="O89" s="1178"/>
    </row>
    <row r="90" spans="2:16" s="1123" customFormat="1" ht="21.9" customHeight="1" x14ac:dyDescent="0.25">
      <c r="B90" s="1170"/>
      <c r="C90" s="1206" t="s">
        <v>1565</v>
      </c>
      <c r="D90" s="1172" t="s">
        <v>1134</v>
      </c>
      <c r="E90" s="1222">
        <f>OP1_TEL!K88</f>
        <v>140</v>
      </c>
      <c r="F90" s="2084">
        <f>OP1_TEL!G88</f>
        <v>1</v>
      </c>
      <c r="G90" s="1175">
        <f>OP1_TEL!L88</f>
        <v>140</v>
      </c>
      <c r="H90" s="1173">
        <f>OP1_TEL!O88</f>
        <v>88.114285714285728</v>
      </c>
      <c r="I90" s="2080">
        <f t="shared" si="9"/>
        <v>1</v>
      </c>
      <c r="J90" s="1175">
        <f>OP1_TEL!P88</f>
        <v>88</v>
      </c>
      <c r="K90" s="1222">
        <f>OP1_TEL!W88</f>
        <v>5.6</v>
      </c>
      <c r="L90" s="2084">
        <f t="shared" si="8"/>
        <v>1</v>
      </c>
      <c r="M90" s="2097">
        <f>OP1_TEL!X88</f>
        <v>6</v>
      </c>
      <c r="N90" s="1309">
        <f t="shared" si="10"/>
        <v>234</v>
      </c>
      <c r="O90" s="1178"/>
    </row>
    <row r="91" spans="2:16" s="1123" customFormat="1" ht="21.9" customHeight="1" x14ac:dyDescent="0.25">
      <c r="B91" s="1170"/>
      <c r="C91" s="1206" t="s">
        <v>1571</v>
      </c>
      <c r="D91" s="1172" t="s">
        <v>1134</v>
      </c>
      <c r="E91" s="1222">
        <f>OP1_TEL!K89</f>
        <v>42</v>
      </c>
      <c r="F91" s="2084">
        <f>OP1_TEL!G89</f>
        <v>0</v>
      </c>
      <c r="G91" s="1175">
        <f>OP1_TEL!L89</f>
        <v>0</v>
      </c>
      <c r="H91" s="1173">
        <f>OP1_TEL!O89</f>
        <v>28.114285714285714</v>
      </c>
      <c r="I91" s="2080">
        <f t="shared" si="9"/>
        <v>0</v>
      </c>
      <c r="J91" s="1175">
        <f>OP1_TEL!P89</f>
        <v>0</v>
      </c>
      <c r="K91" s="1222">
        <f>OP1_TEL!W89</f>
        <v>5.6</v>
      </c>
      <c r="L91" s="2084">
        <f t="shared" si="8"/>
        <v>0</v>
      </c>
      <c r="M91" s="2097">
        <f>OP1_TEL!X89</f>
        <v>0</v>
      </c>
      <c r="N91" s="1309">
        <f t="shared" si="10"/>
        <v>0</v>
      </c>
      <c r="O91" s="1178"/>
    </row>
    <row r="92" spans="2:16" s="1123" customFormat="1" ht="21.9" customHeight="1" x14ac:dyDescent="0.25">
      <c r="B92" s="1170"/>
      <c r="C92" s="1206" t="s">
        <v>1572</v>
      </c>
      <c r="D92" s="1172" t="s">
        <v>1134</v>
      </c>
      <c r="E92" s="1222">
        <f>OP1_TEL!K90</f>
        <v>42</v>
      </c>
      <c r="F92" s="2084">
        <f>OP1_TEL!G90</f>
        <v>0</v>
      </c>
      <c r="G92" s="1175">
        <f>OP1_TEL!L90</f>
        <v>0</v>
      </c>
      <c r="H92" s="1173">
        <f>OP1_TEL!O90</f>
        <v>28.114285714285714</v>
      </c>
      <c r="I92" s="2080">
        <f t="shared" si="9"/>
        <v>0</v>
      </c>
      <c r="J92" s="1175">
        <f>OP1_TEL!P90</f>
        <v>0</v>
      </c>
      <c r="K92" s="1222">
        <f>OP1_TEL!W90</f>
        <v>5.6</v>
      </c>
      <c r="L92" s="2084">
        <f t="shared" si="8"/>
        <v>0</v>
      </c>
      <c r="M92" s="2097">
        <f>OP1_TEL!X90</f>
        <v>0</v>
      </c>
      <c r="N92" s="1309">
        <f t="shared" si="10"/>
        <v>0</v>
      </c>
      <c r="O92" s="1178"/>
    </row>
    <row r="93" spans="2:16" s="1123" customFormat="1" ht="21.9" customHeight="1" x14ac:dyDescent="0.25">
      <c r="B93" s="1170"/>
      <c r="C93" s="1206"/>
      <c r="D93" s="1172"/>
      <c r="E93" s="1173"/>
      <c r="F93" s="2084"/>
      <c r="G93" s="1175"/>
      <c r="H93" s="1173"/>
      <c r="I93" s="2080">
        <f t="shared" si="9"/>
        <v>0</v>
      </c>
      <c r="J93" s="1175"/>
      <c r="K93" s="1173"/>
      <c r="L93" s="2084">
        <f t="shared" si="8"/>
        <v>0</v>
      </c>
      <c r="M93" s="1175"/>
      <c r="N93" s="1309">
        <f t="shared" si="10"/>
        <v>0</v>
      </c>
      <c r="O93" s="1178"/>
    </row>
    <row r="94" spans="2:16" s="1123" customFormat="1" ht="21.9" customHeight="1" x14ac:dyDescent="0.25">
      <c r="B94" s="1157">
        <v>2</v>
      </c>
      <c r="C94" s="1166" t="s">
        <v>1183</v>
      </c>
      <c r="D94" s="1172"/>
      <c r="E94" s="1173"/>
      <c r="F94" s="2084"/>
      <c r="G94" s="1175"/>
      <c r="H94" s="1173"/>
      <c r="I94" s="2080">
        <f t="shared" si="9"/>
        <v>0</v>
      </c>
      <c r="J94" s="1175"/>
      <c r="K94" s="1173"/>
      <c r="L94" s="2084">
        <f t="shared" si="8"/>
        <v>0</v>
      </c>
      <c r="M94" s="1175"/>
      <c r="N94" s="1309">
        <f t="shared" si="10"/>
        <v>0</v>
      </c>
      <c r="O94" s="1178"/>
    </row>
    <row r="95" spans="2:16" s="1123" customFormat="1" ht="21.9" customHeight="1" x14ac:dyDescent="0.25">
      <c r="B95" s="1170">
        <v>2.1</v>
      </c>
      <c r="C95" s="1199" t="s">
        <v>355</v>
      </c>
      <c r="D95" s="1172"/>
      <c r="E95" s="1173"/>
      <c r="F95" s="2088"/>
      <c r="G95" s="1175"/>
      <c r="H95" s="1173"/>
      <c r="I95" s="2080">
        <f t="shared" si="9"/>
        <v>0</v>
      </c>
      <c r="J95" s="1175"/>
      <c r="K95" s="1173"/>
      <c r="L95" s="2088">
        <f t="shared" si="8"/>
        <v>0</v>
      </c>
      <c r="M95" s="1175"/>
      <c r="N95" s="1309">
        <f t="shared" si="10"/>
        <v>0</v>
      </c>
      <c r="O95" s="1178"/>
    </row>
    <row r="96" spans="2:16" s="1123" customFormat="1" ht="21.9" customHeight="1" x14ac:dyDescent="0.25">
      <c r="B96" s="1170"/>
      <c r="C96" s="1206" t="s">
        <v>1562</v>
      </c>
      <c r="D96" s="1172" t="s">
        <v>1134</v>
      </c>
      <c r="E96" s="1222">
        <f>OP1_TEL!K92</f>
        <v>350</v>
      </c>
      <c r="F96" s="2084">
        <f>OP1_TEL!G92</f>
        <v>0</v>
      </c>
      <c r="G96" s="1175">
        <f>OP1_TEL!L92</f>
        <v>0</v>
      </c>
      <c r="H96" s="1173">
        <f>OP1_TEL!O92</f>
        <v>216.68571428571431</v>
      </c>
      <c r="I96" s="2080">
        <f t="shared" si="9"/>
        <v>0</v>
      </c>
      <c r="J96" s="1175">
        <f>OP1_TEL!P92</f>
        <v>0</v>
      </c>
      <c r="K96" s="1222">
        <f>OP1_TEL!W92</f>
        <v>5.6</v>
      </c>
      <c r="L96" s="2084">
        <f t="shared" si="8"/>
        <v>0</v>
      </c>
      <c r="M96" s="2097">
        <f>OP1_TEL!X92</f>
        <v>6</v>
      </c>
      <c r="N96" s="1309">
        <f t="shared" si="10"/>
        <v>6</v>
      </c>
      <c r="O96" s="1178"/>
    </row>
    <row r="97" spans="2:16" s="1123" customFormat="1" ht="21.9" customHeight="1" x14ac:dyDescent="0.25">
      <c r="B97" s="1170"/>
      <c r="C97" s="1221" t="s">
        <v>1574</v>
      </c>
      <c r="D97" s="1172" t="s">
        <v>1134</v>
      </c>
      <c r="E97" s="1222">
        <f>OP1_TEL!K93</f>
        <v>210</v>
      </c>
      <c r="F97" s="2084">
        <f>OP1_TEL!G93</f>
        <v>0</v>
      </c>
      <c r="G97" s="1175">
        <f>OP1_TEL!L93</f>
        <v>0</v>
      </c>
      <c r="H97" s="1173">
        <f>OP1_TEL!O93</f>
        <v>130.97142857142859</v>
      </c>
      <c r="I97" s="2080">
        <f t="shared" si="9"/>
        <v>0</v>
      </c>
      <c r="J97" s="1175">
        <f>OP1_TEL!P93</f>
        <v>0</v>
      </c>
      <c r="K97" s="1222">
        <f>OP1_TEL!W93</f>
        <v>5.6</v>
      </c>
      <c r="L97" s="2084">
        <f t="shared" si="8"/>
        <v>0</v>
      </c>
      <c r="M97" s="2097">
        <f>OP1_TEL!X93</f>
        <v>0</v>
      </c>
      <c r="N97" s="1309">
        <f t="shared" si="10"/>
        <v>0</v>
      </c>
      <c r="O97" s="1178"/>
    </row>
    <row r="98" spans="2:16" s="1123" customFormat="1" ht="21.9" customHeight="1" x14ac:dyDescent="0.25">
      <c r="B98" s="1170"/>
      <c r="C98" s="1206" t="s">
        <v>1565</v>
      </c>
      <c r="D98" s="1172" t="s">
        <v>1134</v>
      </c>
      <c r="E98" s="1222">
        <f>OP1_TEL!K94</f>
        <v>350</v>
      </c>
      <c r="F98" s="2084">
        <f>OP1_TEL!G94</f>
        <v>0</v>
      </c>
      <c r="G98" s="1175">
        <f>OP1_TEL!L94</f>
        <v>0</v>
      </c>
      <c r="H98" s="1173">
        <f>OP1_TEL!O94</f>
        <v>216.68571428571431</v>
      </c>
      <c r="I98" s="2080">
        <f t="shared" si="9"/>
        <v>0</v>
      </c>
      <c r="J98" s="1175">
        <f>OP1_TEL!P94</f>
        <v>0</v>
      </c>
      <c r="K98" s="1222">
        <f>OP1_TEL!W94</f>
        <v>5.6</v>
      </c>
      <c r="L98" s="2084">
        <f t="shared" si="8"/>
        <v>0</v>
      </c>
      <c r="M98" s="2097">
        <f>OP1_TEL!X94</f>
        <v>6</v>
      </c>
      <c r="N98" s="1309">
        <f t="shared" si="10"/>
        <v>6</v>
      </c>
      <c r="O98" s="1178"/>
    </row>
    <row r="99" spans="2:16" s="1123" customFormat="1" ht="21.9" customHeight="1" x14ac:dyDescent="0.25">
      <c r="B99" s="1170"/>
      <c r="C99" s="1206" t="s">
        <v>1571</v>
      </c>
      <c r="D99" s="1172" t="s">
        <v>1134</v>
      </c>
      <c r="E99" s="1222">
        <f>OP1_TEL!K95</f>
        <v>62.999999999999993</v>
      </c>
      <c r="F99" s="2084">
        <f>OP1_TEL!G95</f>
        <v>0</v>
      </c>
      <c r="G99" s="1175">
        <f>OP1_TEL!L95</f>
        <v>0</v>
      </c>
      <c r="H99" s="1173">
        <f>OP1_TEL!O95</f>
        <v>40.971428571428575</v>
      </c>
      <c r="I99" s="2080">
        <f t="shared" si="9"/>
        <v>0</v>
      </c>
      <c r="J99" s="1175">
        <f>OP1_TEL!P95</f>
        <v>0</v>
      </c>
      <c r="K99" s="1222">
        <f>OP1_TEL!W95</f>
        <v>5.6</v>
      </c>
      <c r="L99" s="2084">
        <f t="shared" si="8"/>
        <v>0</v>
      </c>
      <c r="M99" s="2097">
        <f>OP1_TEL!X95</f>
        <v>0</v>
      </c>
      <c r="N99" s="1309">
        <f t="shared" si="10"/>
        <v>0</v>
      </c>
      <c r="O99" s="1178"/>
    </row>
    <row r="100" spans="2:16" s="1123" customFormat="1" ht="21.9" customHeight="1" x14ac:dyDescent="0.25">
      <c r="B100" s="1170"/>
      <c r="C100" s="1206" t="s">
        <v>1572</v>
      </c>
      <c r="D100" s="1172" t="s">
        <v>1134</v>
      </c>
      <c r="E100" s="1222">
        <f>OP1_TEL!K96</f>
        <v>62.999999999999993</v>
      </c>
      <c r="F100" s="2084">
        <f>OP1_TEL!G96</f>
        <v>0</v>
      </c>
      <c r="G100" s="1175">
        <f>OP1_TEL!L96</f>
        <v>0</v>
      </c>
      <c r="H100" s="1173">
        <f>OP1_TEL!O96</f>
        <v>40.971428571428575</v>
      </c>
      <c r="I100" s="2080">
        <f t="shared" si="9"/>
        <v>0</v>
      </c>
      <c r="J100" s="1175">
        <f>OP1_TEL!P96</f>
        <v>0</v>
      </c>
      <c r="K100" s="1222">
        <f>OP1_TEL!W96</f>
        <v>5.6</v>
      </c>
      <c r="L100" s="2084">
        <f t="shared" si="8"/>
        <v>0</v>
      </c>
      <c r="M100" s="2097">
        <f>OP1_TEL!X96</f>
        <v>0</v>
      </c>
      <c r="N100" s="1309">
        <f t="shared" si="10"/>
        <v>0</v>
      </c>
      <c r="O100" s="1178"/>
    </row>
    <row r="101" spans="2:16" s="1128" customFormat="1" ht="21.9" customHeight="1" x14ac:dyDescent="0.25">
      <c r="B101" s="1170"/>
      <c r="C101" s="1199"/>
      <c r="D101" s="1172"/>
      <c r="E101" s="1173"/>
      <c r="F101" s="2084"/>
      <c r="G101" s="1175"/>
      <c r="H101" s="1173"/>
      <c r="I101" s="2080">
        <f t="shared" si="9"/>
        <v>0</v>
      </c>
      <c r="J101" s="1175"/>
      <c r="K101" s="1173"/>
      <c r="L101" s="2084">
        <f t="shared" si="8"/>
        <v>0</v>
      </c>
      <c r="M101" s="1175"/>
      <c r="N101" s="1309">
        <f t="shared" si="10"/>
        <v>0</v>
      </c>
      <c r="O101" s="1178"/>
      <c r="P101" s="1123"/>
    </row>
    <row r="102" spans="2:16" s="1123" customFormat="1" ht="21.9" customHeight="1" x14ac:dyDescent="0.25">
      <c r="B102" s="1157">
        <v>3</v>
      </c>
      <c r="C102" s="1166" t="s">
        <v>1186</v>
      </c>
      <c r="D102" s="1172"/>
      <c r="E102" s="1173"/>
      <c r="F102" s="2084"/>
      <c r="G102" s="1175"/>
      <c r="H102" s="1173"/>
      <c r="I102" s="2080">
        <f t="shared" si="9"/>
        <v>0</v>
      </c>
      <c r="J102" s="1175"/>
      <c r="K102" s="1173"/>
      <c r="L102" s="2084">
        <f t="shared" si="8"/>
        <v>0</v>
      </c>
      <c r="M102" s="1175"/>
      <c r="N102" s="1309">
        <f t="shared" si="10"/>
        <v>0</v>
      </c>
      <c r="O102" s="1178"/>
    </row>
    <row r="103" spans="2:16" s="1123" customFormat="1" ht="21.9" customHeight="1" x14ac:dyDescent="0.25">
      <c r="B103" s="1170">
        <v>3.1</v>
      </c>
      <c r="C103" s="1199" t="s">
        <v>372</v>
      </c>
      <c r="D103" s="1172"/>
      <c r="E103" s="1173"/>
      <c r="F103" s="2088"/>
      <c r="G103" s="1175"/>
      <c r="H103" s="1173"/>
      <c r="I103" s="2080">
        <f t="shared" si="9"/>
        <v>0</v>
      </c>
      <c r="J103" s="1175"/>
      <c r="K103" s="1173"/>
      <c r="L103" s="2088">
        <f t="shared" si="8"/>
        <v>0</v>
      </c>
      <c r="M103" s="1175"/>
      <c r="N103" s="1309">
        <f t="shared" si="10"/>
        <v>0</v>
      </c>
      <c r="O103" s="1178"/>
    </row>
    <row r="104" spans="2:16" s="1123" customFormat="1" ht="21.9" customHeight="1" x14ac:dyDescent="0.25">
      <c r="B104" s="1170"/>
      <c r="C104" s="1206" t="s">
        <v>1562</v>
      </c>
      <c r="D104" s="1172" t="s">
        <v>1134</v>
      </c>
      <c r="E104" s="1222">
        <f>OP1_TEL!K98</f>
        <v>350</v>
      </c>
      <c r="F104" s="2084">
        <f>OP1_TEL!G98</f>
        <v>0</v>
      </c>
      <c r="G104" s="1175">
        <f>OP1_TEL!L98</f>
        <v>0</v>
      </c>
      <c r="H104" s="1173">
        <f>OP1_TEL!O98</f>
        <v>214.28571428571431</v>
      </c>
      <c r="I104" s="2080">
        <f t="shared" si="9"/>
        <v>0</v>
      </c>
      <c r="J104" s="1175">
        <f>OP1_TEL!P98</f>
        <v>0</v>
      </c>
      <c r="K104" s="1222">
        <f>OP1_TEL!W98</f>
        <v>0</v>
      </c>
      <c r="L104" s="2084">
        <f t="shared" si="8"/>
        <v>0</v>
      </c>
      <c r="M104" s="2097">
        <f>OP1_TEL!X98</f>
        <v>0</v>
      </c>
      <c r="N104" s="1309">
        <f t="shared" si="10"/>
        <v>0</v>
      </c>
      <c r="O104" s="1178"/>
    </row>
    <row r="105" spans="2:16" s="1123" customFormat="1" ht="21.9" customHeight="1" x14ac:dyDescent="0.25">
      <c r="B105" s="1170"/>
      <c r="C105" s="1221" t="s">
        <v>1574</v>
      </c>
      <c r="D105" s="1172" t="s">
        <v>1134</v>
      </c>
      <c r="E105" s="1222">
        <f>OP1_TEL!K99</f>
        <v>210</v>
      </c>
      <c r="F105" s="2084">
        <f>OP1_TEL!G99</f>
        <v>0</v>
      </c>
      <c r="G105" s="1175">
        <f>OP1_TEL!L99</f>
        <v>0</v>
      </c>
      <c r="H105" s="1173">
        <f>OP1_TEL!O99</f>
        <v>128.57142857142858</v>
      </c>
      <c r="I105" s="2080">
        <f t="shared" si="9"/>
        <v>0</v>
      </c>
      <c r="J105" s="1175">
        <f>OP1_TEL!P99</f>
        <v>0</v>
      </c>
      <c r="K105" s="1222">
        <f>OP1_TEL!W99</f>
        <v>0</v>
      </c>
      <c r="L105" s="2084">
        <f t="shared" si="8"/>
        <v>0</v>
      </c>
      <c r="M105" s="2097">
        <f>OP1_TEL!X99</f>
        <v>0</v>
      </c>
      <c r="N105" s="1309">
        <f t="shared" si="10"/>
        <v>0</v>
      </c>
      <c r="O105" s="1178"/>
    </row>
    <row r="106" spans="2:16" s="1123" customFormat="1" ht="21.9" customHeight="1" x14ac:dyDescent="0.25">
      <c r="B106" s="1170"/>
      <c r="C106" s="1206" t="s">
        <v>1565</v>
      </c>
      <c r="D106" s="1172" t="s">
        <v>1134</v>
      </c>
      <c r="E106" s="1222">
        <f>OP1_TEL!K100</f>
        <v>350</v>
      </c>
      <c r="F106" s="2084">
        <f>OP1_TEL!G100</f>
        <v>0</v>
      </c>
      <c r="G106" s="1175">
        <f>OP1_TEL!L100</f>
        <v>0</v>
      </c>
      <c r="H106" s="1173">
        <f>OP1_TEL!O100</f>
        <v>214.28571428571431</v>
      </c>
      <c r="I106" s="2080">
        <f t="shared" si="9"/>
        <v>0</v>
      </c>
      <c r="J106" s="1175">
        <f>OP1_TEL!P100</f>
        <v>0</v>
      </c>
      <c r="K106" s="1222">
        <f>OP1_TEL!W100</f>
        <v>0</v>
      </c>
      <c r="L106" s="2084">
        <f t="shared" si="8"/>
        <v>0</v>
      </c>
      <c r="M106" s="2097">
        <f>OP1_TEL!X100</f>
        <v>0</v>
      </c>
      <c r="N106" s="1309">
        <f t="shared" si="10"/>
        <v>0</v>
      </c>
      <c r="O106" s="1178"/>
    </row>
    <row r="107" spans="2:16" s="1123" customFormat="1" ht="21.9" customHeight="1" x14ac:dyDescent="0.25">
      <c r="B107" s="1170"/>
      <c r="C107" s="1206" t="s">
        <v>1571</v>
      </c>
      <c r="D107" s="1172" t="s">
        <v>1134</v>
      </c>
      <c r="E107" s="1222">
        <f>OP1_TEL!K101</f>
        <v>62.999999999999993</v>
      </c>
      <c r="F107" s="2084">
        <f>OP1_TEL!G101</f>
        <v>0</v>
      </c>
      <c r="G107" s="1175">
        <f>OP1_TEL!L101</f>
        <v>0</v>
      </c>
      <c r="H107" s="1173">
        <f>OP1_TEL!O101</f>
        <v>38.571428571428577</v>
      </c>
      <c r="I107" s="2080">
        <f t="shared" si="9"/>
        <v>0</v>
      </c>
      <c r="J107" s="1175">
        <f>OP1_TEL!P101</f>
        <v>0</v>
      </c>
      <c r="K107" s="1222">
        <f>OP1_TEL!W101</f>
        <v>0</v>
      </c>
      <c r="L107" s="2084">
        <f t="shared" si="8"/>
        <v>0</v>
      </c>
      <c r="M107" s="2097">
        <f>OP1_TEL!X101</f>
        <v>0</v>
      </c>
      <c r="N107" s="1309">
        <f t="shared" si="10"/>
        <v>0</v>
      </c>
      <c r="O107" s="1178"/>
    </row>
    <row r="108" spans="2:16" s="1123" customFormat="1" ht="21.9" customHeight="1" x14ac:dyDescent="0.25">
      <c r="B108" s="1170"/>
      <c r="C108" s="1206" t="s">
        <v>1572</v>
      </c>
      <c r="D108" s="1172" t="s">
        <v>1134</v>
      </c>
      <c r="E108" s="1222">
        <f>OP1_TEL!K102</f>
        <v>62.999999999999993</v>
      </c>
      <c r="F108" s="2084">
        <f>OP1_TEL!G102</f>
        <v>0</v>
      </c>
      <c r="G108" s="1175">
        <f>OP1_TEL!L102</f>
        <v>0</v>
      </c>
      <c r="H108" s="1173">
        <f>OP1_TEL!O102</f>
        <v>38.571428571428577</v>
      </c>
      <c r="I108" s="2080">
        <f t="shared" si="9"/>
        <v>0</v>
      </c>
      <c r="J108" s="1175">
        <f>OP1_TEL!P102</f>
        <v>0</v>
      </c>
      <c r="K108" s="1222">
        <f>OP1_TEL!W102</f>
        <v>0</v>
      </c>
      <c r="L108" s="2084">
        <f t="shared" si="8"/>
        <v>0</v>
      </c>
      <c r="M108" s="2097">
        <f>OP1_TEL!X102</f>
        <v>0</v>
      </c>
      <c r="N108" s="1309">
        <f t="shared" si="10"/>
        <v>0</v>
      </c>
      <c r="O108" s="1178"/>
    </row>
    <row r="109" spans="2:16" s="1128" customFormat="1" ht="21.9" customHeight="1" x14ac:dyDescent="0.25">
      <c r="B109" s="1170"/>
      <c r="C109" s="1199"/>
      <c r="D109" s="1172"/>
      <c r="E109" s="1173"/>
      <c r="F109" s="2084"/>
      <c r="G109" s="1175"/>
      <c r="H109" s="1173"/>
      <c r="I109" s="2080">
        <f t="shared" si="9"/>
        <v>0</v>
      </c>
      <c r="J109" s="1175"/>
      <c r="K109" s="1173"/>
      <c r="L109" s="2084">
        <f t="shared" si="8"/>
        <v>0</v>
      </c>
      <c r="M109" s="1175"/>
      <c r="N109" s="1309">
        <f t="shared" si="10"/>
        <v>0</v>
      </c>
      <c r="O109" s="1178"/>
      <c r="P109" s="1123"/>
    </row>
    <row r="110" spans="2:16" s="1128" customFormat="1" ht="21.9" customHeight="1" x14ac:dyDescent="0.25">
      <c r="B110" s="1157">
        <v>4</v>
      </c>
      <c r="C110" s="1166" t="s">
        <v>1188</v>
      </c>
      <c r="D110" s="1172"/>
      <c r="E110" s="1173"/>
      <c r="F110" s="2084"/>
      <c r="G110" s="1175"/>
      <c r="H110" s="1173"/>
      <c r="I110" s="2080">
        <f t="shared" si="9"/>
        <v>0</v>
      </c>
      <c r="J110" s="1175"/>
      <c r="K110" s="1173"/>
      <c r="L110" s="2084">
        <f t="shared" si="8"/>
        <v>0</v>
      </c>
      <c r="M110" s="1175"/>
      <c r="N110" s="1309">
        <f t="shared" si="10"/>
        <v>0</v>
      </c>
      <c r="O110" s="1215"/>
      <c r="P110" s="1123"/>
    </row>
    <row r="111" spans="2:16" s="1128" customFormat="1" ht="21.9" customHeight="1" x14ac:dyDescent="0.25">
      <c r="B111" s="1170">
        <v>4.0999999999999996</v>
      </c>
      <c r="C111" s="1206" t="s">
        <v>1189</v>
      </c>
      <c r="D111" s="1172"/>
      <c r="E111" s="1173"/>
      <c r="F111" s="2084"/>
      <c r="G111" s="1175"/>
      <c r="H111" s="1173"/>
      <c r="I111" s="2080">
        <f t="shared" si="9"/>
        <v>0</v>
      </c>
      <c r="J111" s="1175"/>
      <c r="K111" s="1173"/>
      <c r="L111" s="2084">
        <f t="shared" si="8"/>
        <v>0</v>
      </c>
      <c r="M111" s="1175"/>
      <c r="N111" s="1309">
        <f t="shared" si="10"/>
        <v>0</v>
      </c>
      <c r="O111" s="1215"/>
      <c r="P111" s="1123"/>
    </row>
    <row r="112" spans="2:16" s="1128" customFormat="1" ht="21.9" customHeight="1" x14ac:dyDescent="0.25">
      <c r="B112" s="1170">
        <v>4.2</v>
      </c>
      <c r="C112" s="1206" t="s">
        <v>1562</v>
      </c>
      <c r="D112" s="1172" t="s">
        <v>1291</v>
      </c>
      <c r="E112" s="1173">
        <f>OP1_TEL!K104</f>
        <v>84</v>
      </c>
      <c r="F112" s="2084">
        <f>OP1_TEL!G104</f>
        <v>0</v>
      </c>
      <c r="G112" s="1175">
        <f>OP1_TEL!L104</f>
        <v>0</v>
      </c>
      <c r="H112" s="1173">
        <f>OP1_TEL!O104</f>
        <v>51.428571428571431</v>
      </c>
      <c r="I112" s="2080">
        <f t="shared" si="9"/>
        <v>0</v>
      </c>
      <c r="J112" s="1175">
        <f>OP1_TEL!P104</f>
        <v>0</v>
      </c>
      <c r="K112" s="1173">
        <f>OP1_TEL!W104</f>
        <v>0</v>
      </c>
      <c r="L112" s="2084">
        <f t="shared" si="8"/>
        <v>0</v>
      </c>
      <c r="M112" s="2097">
        <f>OP1_TEL!X104</f>
        <v>0</v>
      </c>
      <c r="N112" s="1309">
        <f t="shared" si="10"/>
        <v>0</v>
      </c>
      <c r="O112" s="1215"/>
      <c r="P112" s="1123"/>
    </row>
    <row r="113" spans="2:16" s="1128" customFormat="1" ht="21.9" customHeight="1" x14ac:dyDescent="0.25">
      <c r="B113" s="1170">
        <v>4.3</v>
      </c>
      <c r="C113" s="1206" t="s">
        <v>1565</v>
      </c>
      <c r="D113" s="1172" t="s">
        <v>1291</v>
      </c>
      <c r="E113" s="1173">
        <f>OP1_TEL!K105</f>
        <v>56</v>
      </c>
      <c r="F113" s="2084">
        <f>OP1_TEL!G105</f>
        <v>0</v>
      </c>
      <c r="G113" s="1175">
        <f>OP1_TEL!L105</f>
        <v>0</v>
      </c>
      <c r="H113" s="1173">
        <f>OP1_TEL!O105</f>
        <v>34.285714285714285</v>
      </c>
      <c r="I113" s="2080">
        <f t="shared" si="9"/>
        <v>0</v>
      </c>
      <c r="J113" s="1175">
        <f>OP1_TEL!P105</f>
        <v>0</v>
      </c>
      <c r="K113" s="1173">
        <f>OP1_TEL!W105</f>
        <v>0</v>
      </c>
      <c r="L113" s="2084">
        <f t="shared" si="8"/>
        <v>0</v>
      </c>
      <c r="M113" s="2097">
        <f>OP1_TEL!X105</f>
        <v>0</v>
      </c>
      <c r="N113" s="1309">
        <f t="shared" si="10"/>
        <v>0</v>
      </c>
      <c r="O113" s="1215"/>
      <c r="P113" s="1123"/>
    </row>
    <row r="114" spans="2:16" s="1128" customFormat="1" ht="21.9" customHeight="1" x14ac:dyDescent="0.25">
      <c r="B114" s="1170">
        <v>4.4000000000000004</v>
      </c>
      <c r="C114" s="1206" t="s">
        <v>1571</v>
      </c>
      <c r="D114" s="1172" t="s">
        <v>1291</v>
      </c>
      <c r="E114" s="1173">
        <f>OP1_TEL!K106</f>
        <v>11.2</v>
      </c>
      <c r="F114" s="2084">
        <f>OP1_TEL!G106</f>
        <v>0</v>
      </c>
      <c r="G114" s="1175">
        <f>OP1_TEL!L106</f>
        <v>0</v>
      </c>
      <c r="H114" s="1173">
        <f>OP1_TEL!O106</f>
        <v>6.8571428571428577</v>
      </c>
      <c r="I114" s="2080">
        <f t="shared" si="9"/>
        <v>0</v>
      </c>
      <c r="J114" s="1175">
        <f>OP1_TEL!P106</f>
        <v>0</v>
      </c>
      <c r="K114" s="1173">
        <f>OP1_TEL!W106</f>
        <v>0</v>
      </c>
      <c r="L114" s="2084">
        <f t="shared" si="8"/>
        <v>0</v>
      </c>
      <c r="M114" s="2097">
        <f>OP1_TEL!X106</f>
        <v>0</v>
      </c>
      <c r="N114" s="1309">
        <f t="shared" si="10"/>
        <v>0</v>
      </c>
      <c r="O114" s="1215"/>
      <c r="P114" s="1123"/>
    </row>
    <row r="115" spans="2:16" s="1128" customFormat="1" ht="21.9" customHeight="1" x14ac:dyDescent="0.25">
      <c r="B115" s="1170">
        <v>4.5</v>
      </c>
      <c r="C115" s="1206" t="s">
        <v>1586</v>
      </c>
      <c r="D115" s="1172" t="s">
        <v>1291</v>
      </c>
      <c r="E115" s="1173">
        <f>OP1_TEL!K107</f>
        <v>11.2</v>
      </c>
      <c r="F115" s="2084">
        <f>OP1_TEL!G107</f>
        <v>0</v>
      </c>
      <c r="G115" s="1175">
        <f>OP1_TEL!L107</f>
        <v>0</v>
      </c>
      <c r="H115" s="1173">
        <f>OP1_TEL!O107</f>
        <v>6.8571428571428577</v>
      </c>
      <c r="I115" s="2080">
        <f t="shared" si="9"/>
        <v>0</v>
      </c>
      <c r="J115" s="1175">
        <f>OP1_TEL!P107</f>
        <v>0</v>
      </c>
      <c r="K115" s="1173">
        <f>OP1_TEL!W107</f>
        <v>0</v>
      </c>
      <c r="L115" s="2084">
        <f t="shared" si="8"/>
        <v>0</v>
      </c>
      <c r="M115" s="2097">
        <f>OP1_TEL!X107</f>
        <v>0</v>
      </c>
      <c r="N115" s="1309">
        <f t="shared" si="10"/>
        <v>0</v>
      </c>
      <c r="O115" s="1215"/>
      <c r="P115" s="1123"/>
    </row>
    <row r="116" spans="2:16" s="1128" customFormat="1" ht="21.9" customHeight="1" x14ac:dyDescent="0.25">
      <c r="B116" s="1170"/>
      <c r="C116" s="1199"/>
      <c r="D116" s="1172"/>
      <c r="E116" s="1173"/>
      <c r="F116" s="2084"/>
      <c r="G116" s="1175"/>
      <c r="H116" s="1173"/>
      <c r="I116" s="2084"/>
      <c r="J116" s="1175"/>
      <c r="K116" s="1173"/>
      <c r="L116" s="2084">
        <f t="shared" si="8"/>
        <v>0</v>
      </c>
      <c r="M116" s="1175"/>
      <c r="N116" s="1189"/>
      <c r="O116" s="1178"/>
      <c r="P116" s="1123"/>
    </row>
    <row r="117" spans="2:16" s="1139" customFormat="1" ht="21.9" customHeight="1" thickBot="1" x14ac:dyDescent="0.3">
      <c r="B117" s="1190" t="s">
        <v>1190</v>
      </c>
      <c r="C117" s="1191"/>
      <c r="D117" s="1192"/>
      <c r="E117" s="1223"/>
      <c r="F117" s="2095"/>
      <c r="G117" s="1195">
        <f>SUM(G85:G116)</f>
        <v>280</v>
      </c>
      <c r="H117" s="1236"/>
      <c r="I117" s="2095"/>
      <c r="J117" s="1195">
        <f>SUM(J85:J116)</f>
        <v>176</v>
      </c>
      <c r="K117" s="1236"/>
      <c r="L117" s="2095">
        <f t="shared" si="8"/>
        <v>0</v>
      </c>
      <c r="M117" s="1195">
        <f>SUM(M85:M116)</f>
        <v>24</v>
      </c>
      <c r="N117" s="1195">
        <f>SUM(N85:N116)</f>
        <v>480</v>
      </c>
      <c r="O117" s="1198"/>
      <c r="P117" s="1138"/>
    </row>
    <row r="118" spans="2:16" s="1128" customFormat="1" ht="21.9" customHeight="1" x14ac:dyDescent="0.25">
      <c r="B118" s="1210"/>
      <c r="C118" s="1199"/>
      <c r="D118" s="1172"/>
      <c r="E118" s="1176"/>
      <c r="F118" s="2084"/>
      <c r="G118" s="1175"/>
      <c r="H118" s="1173"/>
      <c r="I118" s="2084"/>
      <c r="J118" s="1175"/>
      <c r="K118" s="1173"/>
      <c r="L118" s="2084">
        <f t="shared" si="8"/>
        <v>0</v>
      </c>
      <c r="M118" s="1175"/>
      <c r="N118" s="1207"/>
      <c r="O118" s="1178"/>
      <c r="P118" s="1123"/>
    </row>
    <row r="119" spans="2:16" s="1139" customFormat="1" ht="21.9" customHeight="1" x14ac:dyDescent="0.25">
      <c r="B119" s="1157" t="s">
        <v>1191</v>
      </c>
      <c r="C119" s="1158" t="s">
        <v>1192</v>
      </c>
      <c r="D119" s="1159"/>
      <c r="E119" s="1203"/>
      <c r="F119" s="2088"/>
      <c r="G119" s="1202"/>
      <c r="H119" s="1200"/>
      <c r="I119" s="2088"/>
      <c r="J119" s="1202"/>
      <c r="K119" s="1200"/>
      <c r="L119" s="2088">
        <f t="shared" si="8"/>
        <v>0</v>
      </c>
      <c r="M119" s="1202"/>
      <c r="N119" s="1213"/>
      <c r="O119" s="1165"/>
      <c r="P119" s="1138"/>
    </row>
    <row r="120" spans="2:16" s="1139" customFormat="1" ht="21.9" customHeight="1" x14ac:dyDescent="0.25">
      <c r="B120" s="1157">
        <v>1</v>
      </c>
      <c r="C120" s="1166" t="s">
        <v>1193</v>
      </c>
      <c r="D120" s="1159"/>
      <c r="E120" s="1203"/>
      <c r="F120" s="2088"/>
      <c r="G120" s="1202"/>
      <c r="H120" s="1200"/>
      <c r="I120" s="2088"/>
      <c r="J120" s="1202"/>
      <c r="K120" s="1200"/>
      <c r="L120" s="2088">
        <f t="shared" si="8"/>
        <v>0</v>
      </c>
      <c r="M120" s="1202"/>
      <c r="N120" s="1213"/>
      <c r="O120" s="1165"/>
      <c r="P120" s="1138"/>
    </row>
    <row r="121" spans="2:16" s="1128" customFormat="1" ht="21.9" customHeight="1" x14ac:dyDescent="0.25">
      <c r="B121" s="1170">
        <v>1.1000000000000001</v>
      </c>
      <c r="C121" s="1199" t="s">
        <v>1194</v>
      </c>
      <c r="D121" s="1172" t="s">
        <v>1124</v>
      </c>
      <c r="E121" s="1176" t="str">
        <f>OP1_TEL!K109</f>
        <v>-</v>
      </c>
      <c r="F121" s="2084">
        <f>OP1_TEL!G109</f>
        <v>0</v>
      </c>
      <c r="G121" s="1175">
        <f>OP1_TEL!L109</f>
        <v>0</v>
      </c>
      <c r="H121" s="1176" t="str">
        <f>OP1_TEL!O109</f>
        <v>-</v>
      </c>
      <c r="I121" s="2080">
        <f>F121</f>
        <v>0</v>
      </c>
      <c r="J121" s="1175">
        <f>OP1_TEL!P109</f>
        <v>0</v>
      </c>
      <c r="K121" s="1173" t="str">
        <f>OP1_TEL!W109</f>
        <v>-</v>
      </c>
      <c r="L121" s="2084">
        <f t="shared" si="8"/>
        <v>0</v>
      </c>
      <c r="M121" s="2097">
        <f>OP1_TEL!X109</f>
        <v>0</v>
      </c>
      <c r="N121" s="1309">
        <f>G121+J121+M121</f>
        <v>0</v>
      </c>
      <c r="O121" s="1215"/>
      <c r="P121" s="1123"/>
    </row>
    <row r="122" spans="2:16" s="1128" customFormat="1" ht="21.9" customHeight="1" x14ac:dyDescent="0.25">
      <c r="B122" s="1228"/>
      <c r="C122" s="1229"/>
      <c r="D122" s="1230"/>
      <c r="E122" s="1231"/>
      <c r="F122" s="2101"/>
      <c r="G122" s="1175"/>
      <c r="H122" s="1231"/>
      <c r="I122" s="2101"/>
      <c r="J122" s="1175"/>
      <c r="K122" s="2125"/>
      <c r="L122" s="2103"/>
      <c r="M122" s="1175"/>
      <c r="N122" s="1214"/>
      <c r="O122" s="1235"/>
      <c r="P122" s="1123"/>
    </row>
    <row r="123" spans="2:16" s="1139" customFormat="1" ht="21.9" customHeight="1" thickBot="1" x14ac:dyDescent="0.3">
      <c r="B123" s="1190" t="s">
        <v>1195</v>
      </c>
      <c r="C123" s="1191"/>
      <c r="D123" s="1192"/>
      <c r="E123" s="1236"/>
      <c r="F123" s="2104"/>
      <c r="G123" s="1195">
        <f>SUM(G119:G122)</f>
        <v>0</v>
      </c>
      <c r="H123" s="1236"/>
      <c r="I123" s="2104"/>
      <c r="J123" s="1195">
        <f>SUM(J119:J122)</f>
        <v>0</v>
      </c>
      <c r="K123" s="1193"/>
      <c r="L123" s="1345"/>
      <c r="M123" s="1195">
        <f>SUM(M119:M122)</f>
        <v>0</v>
      </c>
      <c r="N123" s="1195">
        <f>SUM(N119:N122)</f>
        <v>0</v>
      </c>
      <c r="O123" s="1238"/>
      <c r="P123" s="1138"/>
    </row>
    <row r="124" spans="2:16" s="1139" customFormat="1" ht="21.9" customHeight="1" thickBot="1" x14ac:dyDescent="0.3">
      <c r="B124" s="1239" t="s">
        <v>1196</v>
      </c>
      <c r="C124" s="1240"/>
      <c r="D124" s="1241"/>
      <c r="E124" s="1242"/>
      <c r="F124" s="1243"/>
      <c r="G124" s="1244">
        <f>G26+G83+G117+G123</f>
        <v>7645</v>
      </c>
      <c r="H124" s="1242"/>
      <c r="I124" s="1243"/>
      <c r="J124" s="1244">
        <f>J26+J83+J117+J123</f>
        <v>5920</v>
      </c>
      <c r="K124" s="1242"/>
      <c r="L124" s="1245"/>
      <c r="M124" s="1244">
        <f>M26+M83+M117+M123</f>
        <v>4297</v>
      </c>
      <c r="N124" s="1244">
        <f>N26+N83+N117+N123</f>
        <v>17862</v>
      </c>
      <c r="O124" s="1246"/>
      <c r="P124" s="1247"/>
    </row>
    <row r="125" spans="2:16" s="1128" customFormat="1" ht="21.9" customHeight="1" x14ac:dyDescent="0.25">
      <c r="B125" s="1248" t="s">
        <v>1197</v>
      </c>
      <c r="C125" s="1249"/>
      <c r="D125" s="1249"/>
      <c r="E125" s="1250"/>
      <c r="F125" s="1250"/>
      <c r="G125" s="1250"/>
      <c r="H125" s="1250"/>
      <c r="I125" s="1250"/>
      <c r="J125" s="1250"/>
      <c r="K125" s="1250"/>
      <c r="L125" s="1250"/>
      <c r="M125" s="1250"/>
      <c r="N125" s="1249"/>
      <c r="O125" s="1251"/>
      <c r="P125" s="1123"/>
    </row>
    <row r="126" spans="2:16" s="1128" customFormat="1" ht="21.9" customHeight="1" x14ac:dyDescent="0.25">
      <c r="B126" s="1252" t="s">
        <v>1198</v>
      </c>
      <c r="D126" s="1123"/>
      <c r="E126" s="1253"/>
      <c r="F126" s="1123"/>
      <c r="G126" s="1253"/>
      <c r="H126" s="1253"/>
      <c r="I126" s="1253"/>
      <c r="J126" s="1253"/>
      <c r="K126" s="1254"/>
      <c r="L126" s="1123"/>
      <c r="M126" s="1123"/>
      <c r="N126" s="1123"/>
      <c r="O126" s="1255"/>
      <c r="P126" s="1123"/>
    </row>
    <row r="127" spans="2:16" s="1128" customFormat="1" ht="21.9" customHeight="1" x14ac:dyDescent="0.25">
      <c r="B127" s="1252"/>
      <c r="D127" s="1123"/>
      <c r="E127" s="1253"/>
      <c r="F127" s="1253"/>
      <c r="G127" s="1253"/>
      <c r="H127" s="1253"/>
      <c r="I127" s="1253"/>
      <c r="J127" s="1253"/>
      <c r="K127" s="1253"/>
      <c r="L127" s="1253"/>
      <c r="M127" s="1253"/>
      <c r="N127" s="1123"/>
      <c r="O127" s="1255"/>
      <c r="P127" s="1123"/>
    </row>
    <row r="128" spans="2:16" s="1128" customFormat="1" ht="21.9" customHeight="1" thickBot="1" x14ac:dyDescent="0.3">
      <c r="B128" s="1256"/>
      <c r="C128" s="1257"/>
      <c r="D128" s="1257"/>
      <c r="E128" s="1258"/>
      <c r="F128" s="1258"/>
      <c r="G128" s="1258"/>
      <c r="H128" s="1258"/>
      <c r="I128" s="1258"/>
      <c r="J128" s="1258"/>
      <c r="K128" s="1258"/>
      <c r="L128" s="1258"/>
      <c r="M128" s="1258"/>
      <c r="N128" s="1257"/>
      <c r="O128" s="1259"/>
      <c r="P128" s="1123"/>
    </row>
    <row r="129" spans="2:16" s="1128" customFormat="1" ht="9.9" customHeight="1" x14ac:dyDescent="0.25">
      <c r="B129" s="1123"/>
      <c r="C129" s="1124"/>
      <c r="D129" s="1124"/>
      <c r="E129" s="1253"/>
      <c r="F129" s="1253"/>
      <c r="G129" s="1253"/>
      <c r="H129" s="1253"/>
      <c r="I129" s="1253"/>
      <c r="J129" s="1253"/>
      <c r="K129" s="1253"/>
      <c r="L129" s="1253"/>
      <c r="M129" s="1253"/>
      <c r="N129" s="1123"/>
      <c r="O129" s="1123"/>
      <c r="P129" s="1123"/>
    </row>
    <row r="130" spans="2:16" s="1128" customFormat="1" ht="21.9" customHeight="1" x14ac:dyDescent="0.25">
      <c r="B130" s="1123"/>
      <c r="C130" s="1123"/>
      <c r="D130" s="2106" t="s">
        <v>1199</v>
      </c>
      <c r="E130" s="2106"/>
      <c r="F130" s="2106">
        <f>OP1_TEL!F113</f>
        <v>161</v>
      </c>
      <c r="G130" s="2107"/>
      <c r="H130" s="2107"/>
      <c r="I130" s="2107"/>
      <c r="J130" s="2107"/>
      <c r="K130" s="2108"/>
      <c r="L130" s="1254"/>
      <c r="M130" s="2107"/>
      <c r="N130" s="2109"/>
      <c r="O130" s="1123"/>
      <c r="P130" s="1123"/>
    </row>
    <row r="131" spans="2:16" s="1128" customFormat="1" ht="21.9" customHeight="1" x14ac:dyDescent="0.25">
      <c r="B131" s="1123"/>
      <c r="C131" s="1123"/>
      <c r="D131" s="2106" t="s">
        <v>1200</v>
      </c>
      <c r="E131" s="2106"/>
      <c r="F131" s="2106">
        <f>OP1_TEL!L114</f>
        <v>47.484472049689444</v>
      </c>
      <c r="G131" s="1275"/>
      <c r="H131" s="2106" t="s">
        <v>1224</v>
      </c>
      <c r="I131" s="1275"/>
      <c r="J131" s="2106">
        <f>OP1_TEL!P114</f>
        <v>36.770186335403729</v>
      </c>
      <c r="K131" s="2108"/>
      <c r="L131" s="2106" t="s">
        <v>1201</v>
      </c>
      <c r="M131" s="1275"/>
      <c r="N131" s="2106">
        <f>OP1_TEL!X114</f>
        <v>26.689440993788821</v>
      </c>
      <c r="O131" s="2106">
        <f>SUM(F131,J131,N131)</f>
        <v>110.94409937888199</v>
      </c>
      <c r="P131" s="1123"/>
    </row>
    <row r="132" spans="2:16" s="1128" customFormat="1" ht="21.9" customHeight="1" x14ac:dyDescent="0.25">
      <c r="B132" s="1123"/>
      <c r="C132" s="1123"/>
      <c r="D132" s="2106" t="s">
        <v>1202</v>
      </c>
      <c r="E132" s="2106"/>
      <c r="F132" s="2106">
        <f>OP1_TEL!F114</f>
        <v>6</v>
      </c>
      <c r="G132" s="2111" t="s">
        <v>1203</v>
      </c>
      <c r="H132" s="1275" t="s">
        <v>1225</v>
      </c>
      <c r="I132" s="1275"/>
      <c r="J132" s="2126">
        <f>OP1_TEL!F117</f>
        <v>57000</v>
      </c>
      <c r="K132" s="1274" t="s">
        <v>1099</v>
      </c>
      <c r="L132" s="1261" t="s">
        <v>1204</v>
      </c>
      <c r="M132" s="2110"/>
      <c r="N132" s="2126">
        <f>OP1_TEL!F115</f>
        <v>32000</v>
      </c>
      <c r="O132" s="1274" t="s">
        <v>1099</v>
      </c>
      <c r="P132" s="1123"/>
    </row>
    <row r="133" spans="2:16" s="1128" customFormat="1" ht="21.9" customHeight="1" x14ac:dyDescent="0.25">
      <c r="B133" s="1123"/>
      <c r="C133" s="1123"/>
      <c r="D133" s="2106" t="s">
        <v>1205</v>
      </c>
      <c r="E133" s="2106"/>
      <c r="F133" s="2106">
        <f>OP1_TEL!L115</f>
        <v>7.9140786749482404</v>
      </c>
      <c r="G133" s="2111" t="s">
        <v>118</v>
      </c>
      <c r="H133" s="1275" t="s">
        <v>1226</v>
      </c>
      <c r="I133" s="2127">
        <f>J124*J132</f>
        <v>337440000</v>
      </c>
      <c r="J133" s="2127"/>
      <c r="K133" s="1274" t="s">
        <v>1099</v>
      </c>
      <c r="L133" s="1261" t="s">
        <v>1206</v>
      </c>
      <c r="M133" s="2112">
        <f>M124*N132</f>
        <v>137504000</v>
      </c>
      <c r="N133" s="2112"/>
      <c r="O133" s="1274" t="s">
        <v>1099</v>
      </c>
      <c r="P133" s="1123"/>
    </row>
    <row r="134" spans="2:16" s="1128" customFormat="1" ht="9.9" customHeight="1" x14ac:dyDescent="0.25">
      <c r="B134" s="1123"/>
      <c r="C134" s="1123"/>
      <c r="D134" s="1123"/>
      <c r="E134" s="1272"/>
      <c r="F134" s="1272"/>
      <c r="G134" s="1272"/>
      <c r="H134" s="1272"/>
      <c r="I134" s="1272"/>
      <c r="J134" s="1272"/>
      <c r="K134" s="1272"/>
      <c r="L134" s="1272"/>
      <c r="M134" s="1272"/>
      <c r="N134" s="1273"/>
      <c r="O134" s="1123"/>
      <c r="P134" s="1123"/>
    </row>
    <row r="135" spans="2:16" s="1128" customFormat="1" ht="20.100000000000001" customHeight="1" x14ac:dyDescent="0.25">
      <c r="B135" s="1123"/>
      <c r="C135" s="1123"/>
      <c r="D135" s="1123"/>
      <c r="E135" s="1274"/>
      <c r="F135" s="1253"/>
      <c r="G135" s="1275"/>
      <c r="H135" s="1275"/>
      <c r="I135" s="1275"/>
      <c r="J135" s="1275"/>
      <c r="K135" s="1276"/>
      <c r="L135" s="1277" t="s">
        <v>1207</v>
      </c>
      <c r="M135" s="1253"/>
      <c r="N135" s="1253"/>
      <c r="O135" s="1123"/>
      <c r="P135" s="1123"/>
    </row>
    <row r="136" spans="2:16" s="1128" customFormat="1" ht="20.100000000000001" customHeight="1" x14ac:dyDescent="0.25">
      <c r="B136" s="1123"/>
      <c r="C136" s="1123"/>
      <c r="D136" s="1123"/>
      <c r="E136" s="1274"/>
      <c r="F136" s="1253"/>
      <c r="G136" s="1275"/>
      <c r="H136" s="1275"/>
      <c r="I136" s="1275"/>
      <c r="J136" s="1275"/>
      <c r="K136" s="1276"/>
      <c r="L136" s="1278" t="s">
        <v>1208</v>
      </c>
      <c r="M136" s="1279" t="s">
        <v>1209</v>
      </c>
      <c r="N136" s="1279" t="s">
        <v>1210</v>
      </c>
      <c r="O136" s="1123"/>
      <c r="P136" s="1123"/>
    </row>
    <row r="137" spans="2:16" s="1128" customFormat="1" ht="20.100000000000001" customHeight="1" x14ac:dyDescent="0.25">
      <c r="B137" s="1123"/>
      <c r="C137" s="1123"/>
      <c r="D137" s="1123"/>
      <c r="E137" s="1274"/>
      <c r="F137" s="1253"/>
      <c r="G137" s="1275"/>
      <c r="H137" s="1275"/>
      <c r="I137" s="1275"/>
      <c r="J137" s="1275"/>
      <c r="K137" s="1276"/>
      <c r="L137" s="1280" t="s">
        <v>1211</v>
      </c>
      <c r="M137" s="1281"/>
      <c r="N137" s="1281"/>
      <c r="O137" s="1123"/>
      <c r="P137" s="1123"/>
    </row>
    <row r="138" spans="2:16" s="1128" customFormat="1" ht="20.100000000000001" customHeight="1" x14ac:dyDescent="0.25">
      <c r="B138" s="1123"/>
      <c r="C138" s="1123"/>
      <c r="D138" s="1123"/>
      <c r="E138" s="1274"/>
      <c r="F138" s="1253"/>
      <c r="G138" s="1275"/>
      <c r="H138" s="1275"/>
      <c r="I138" s="1275"/>
      <c r="J138" s="1275"/>
      <c r="K138" s="1276"/>
      <c r="L138" s="1280" t="s">
        <v>1212</v>
      </c>
      <c r="M138" s="1281"/>
      <c r="N138" s="1281"/>
      <c r="O138" s="1123"/>
      <c r="P138" s="1123"/>
    </row>
    <row r="139" spans="2:16" s="1128" customFormat="1" ht="20.100000000000001" customHeight="1" x14ac:dyDescent="0.25">
      <c r="B139" s="1123"/>
      <c r="C139" s="1123"/>
      <c r="D139" s="1123"/>
      <c r="E139" s="1123"/>
      <c r="F139" s="1253"/>
      <c r="G139" s="1253"/>
      <c r="H139" s="1253"/>
      <c r="I139" s="1253"/>
      <c r="J139" s="1253"/>
      <c r="K139" s="1276"/>
      <c r="L139" s="1280" t="s">
        <v>1213</v>
      </c>
      <c r="M139" s="1281"/>
      <c r="N139" s="1281"/>
      <c r="O139" s="1123"/>
      <c r="P139" s="1123"/>
    </row>
    <row r="140" spans="2:16" s="1128" customFormat="1" ht="20.100000000000001" customHeight="1" x14ac:dyDescent="0.25">
      <c r="B140" s="1123"/>
      <c r="C140" s="1123"/>
      <c r="D140" s="1123"/>
      <c r="E140" s="1123"/>
      <c r="F140" s="1253"/>
      <c r="G140" s="1253"/>
      <c r="H140" s="1253"/>
      <c r="I140" s="1253"/>
      <c r="J140" s="1253"/>
      <c r="K140" s="1276"/>
      <c r="L140" s="1280" t="s">
        <v>1182</v>
      </c>
      <c r="M140" s="1281"/>
      <c r="N140" s="1281"/>
      <c r="O140" s="1123"/>
      <c r="P140" s="1123"/>
    </row>
    <row r="141" spans="2:16" s="1128" customFormat="1" ht="20.100000000000001" customHeight="1" x14ac:dyDescent="0.25">
      <c r="B141" s="1123"/>
      <c r="C141" s="1123"/>
      <c r="D141" s="1123"/>
      <c r="E141" s="1123"/>
      <c r="F141" s="1253"/>
      <c r="G141" s="1253"/>
      <c r="H141" s="1253"/>
      <c r="I141" s="1253"/>
      <c r="J141" s="1253"/>
      <c r="K141" s="1276"/>
      <c r="L141" s="1280" t="s">
        <v>1214</v>
      </c>
      <c r="M141" s="1281"/>
      <c r="N141" s="1281"/>
      <c r="O141" s="1123"/>
      <c r="P141" s="1123"/>
    </row>
    <row r="142" spans="2:16" s="1128" customFormat="1" ht="20.100000000000001" customHeight="1" x14ac:dyDescent="0.25">
      <c r="B142" s="1123"/>
      <c r="C142" s="1123"/>
      <c r="D142" s="1123"/>
      <c r="E142" s="1253"/>
      <c r="F142" s="1253"/>
      <c r="G142" s="1253"/>
      <c r="H142" s="1253"/>
      <c r="I142" s="1253"/>
      <c r="J142" s="1253"/>
      <c r="K142" s="1276"/>
      <c r="L142" s="1280" t="s">
        <v>1215</v>
      </c>
      <c r="M142" s="1281"/>
      <c r="N142" s="1281"/>
      <c r="O142" s="1123"/>
      <c r="P142" s="1123"/>
    </row>
    <row r="143" spans="2:16" s="1128" customFormat="1" ht="20.100000000000001" customHeight="1" x14ac:dyDescent="0.25">
      <c r="B143" s="1123"/>
      <c r="C143" s="1123"/>
      <c r="D143" s="1123"/>
      <c r="E143" s="1253"/>
      <c r="F143" s="1253"/>
      <c r="G143" s="1253"/>
      <c r="H143" s="1253"/>
      <c r="I143" s="1253"/>
      <c r="J143" s="1253"/>
      <c r="K143" s="1276"/>
      <c r="L143" s="1280" t="s">
        <v>1216</v>
      </c>
      <c r="M143" s="1281"/>
      <c r="N143" s="1281"/>
      <c r="O143" s="1123"/>
      <c r="P143" s="1123"/>
    </row>
    <row r="144" spans="2:16" s="1128" customFormat="1" ht="12" x14ac:dyDescent="0.25">
      <c r="B144" s="1123"/>
      <c r="C144" s="1123"/>
      <c r="D144" s="1123"/>
      <c r="E144" s="1254"/>
      <c r="F144" s="1274"/>
      <c r="G144" s="1274"/>
      <c r="H144" s="1274"/>
      <c r="I144" s="1274"/>
      <c r="J144" s="1274"/>
      <c r="K144" s="1123"/>
      <c r="L144" s="1123"/>
      <c r="M144" s="1123"/>
      <c r="N144" s="1123"/>
      <c r="O144" s="1123"/>
      <c r="P144" s="1123"/>
    </row>
    <row r="145" spans="2:16" x14ac:dyDescent="0.25">
      <c r="B145" s="1118"/>
      <c r="C145" s="1282"/>
      <c r="D145" s="1118"/>
      <c r="E145" s="1283"/>
      <c r="F145" s="1138"/>
      <c r="G145" s="1138"/>
      <c r="H145" s="1138"/>
      <c r="I145" s="1138"/>
      <c r="J145" s="1138"/>
      <c r="K145" s="1138"/>
      <c r="L145" s="1138"/>
      <c r="M145" s="1138"/>
      <c r="N145" s="1138"/>
      <c r="O145" s="1138"/>
      <c r="P145" s="1118"/>
    </row>
    <row r="147" spans="2:16" x14ac:dyDescent="0.25">
      <c r="E147" s="1284"/>
    </row>
  </sheetData>
  <autoFilter ref="B6:O126" xr:uid="{562445AB-E5AE-4248-A0E2-3215A72AD4CA}"/>
  <mergeCells count="6">
    <mergeCell ref="C4:C5"/>
    <mergeCell ref="D4:D5"/>
    <mergeCell ref="N4:N5"/>
    <mergeCell ref="O4:O5"/>
    <mergeCell ref="I133:J133"/>
    <mergeCell ref="M133:N133"/>
  </mergeCells>
  <printOptions gridLinesSet="0"/>
  <pageMargins left="0.55118110236220474" right="0.15748031496062992" top="0.47244094488188981" bottom="0.43307086614173229" header="0.27559055118110237" footer="0.31496062992125984"/>
  <pageSetup paperSize="8" scale="60" fitToHeight="0" orientation="portrait" r:id="rId1"/>
  <headerFooter alignWithMargins="0"/>
  <rowBreaks count="1" manualBreakCount="1">
    <brk id="69" max="12"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3827F-FB30-484A-8889-BC25B95B459C}">
  <sheetPr>
    <tabColor rgb="FFFFC000"/>
    <pageSetUpPr fitToPage="1"/>
  </sheetPr>
  <dimension ref="B1:Q147"/>
  <sheetViews>
    <sheetView showGridLines="0" showZeros="0" view="pageBreakPreview" zoomScale="70" zoomScaleNormal="85" zoomScaleSheetLayoutView="70" workbookViewId="0">
      <pane xSplit="2" ySplit="5" topLeftCell="C11" activePane="bottomRight" state="frozen"/>
      <selection activeCell="J114" sqref="J114"/>
      <selection pane="topRight" activeCell="J114" sqref="J114"/>
      <selection pane="bottomLeft" activeCell="J114" sqref="J114"/>
      <selection pane="bottomRight" activeCell="J114" sqref="J114"/>
    </sheetView>
  </sheetViews>
  <sheetFormatPr defaultColWidth="8" defaultRowHeight="14.4" x14ac:dyDescent="0.25"/>
  <cols>
    <col min="1" max="1" width="1.796875" style="1120" customWidth="1"/>
    <col min="2" max="2" width="8.796875" style="1120" customWidth="1"/>
    <col min="3" max="3" width="40.796875" style="1120" customWidth="1"/>
    <col min="4" max="4" width="6.796875" style="1120" customWidth="1"/>
    <col min="5" max="6" width="9.796875" style="1120" customWidth="1"/>
    <col min="7" max="10" width="10.59765625" style="1285" customWidth="1"/>
    <col min="11" max="11" width="9.796875" style="1285" customWidth="1"/>
    <col min="12" max="12" width="9.796875" style="1286" customWidth="1"/>
    <col min="13" max="13" width="10.59765625" style="1286" customWidth="1"/>
    <col min="14" max="14" width="16.69921875" style="1286" customWidth="1"/>
    <col min="15" max="15" width="30.796875" style="1285" customWidth="1"/>
    <col min="16" max="16" width="1" style="1120" customWidth="1"/>
    <col min="17" max="16384" width="8" style="1120"/>
  </cols>
  <sheetData>
    <row r="1" spans="2:17" ht="35.1" customHeight="1" x14ac:dyDescent="0.25">
      <c r="B1" s="1115" t="s">
        <v>1575</v>
      </c>
      <c r="C1" s="1116"/>
      <c r="D1" s="1116"/>
      <c r="E1" s="1117"/>
      <c r="F1" s="1117"/>
      <c r="G1" s="1117"/>
      <c r="H1" s="1117"/>
      <c r="I1" s="1117"/>
      <c r="J1" s="1117"/>
      <c r="K1" s="1117"/>
      <c r="L1" s="1117"/>
      <c r="M1" s="1117"/>
      <c r="N1" s="1116"/>
      <c r="O1" s="1116"/>
      <c r="P1" s="1118"/>
      <c r="Q1" s="1119" t="s">
        <v>1590</v>
      </c>
    </row>
    <row r="2" spans="2:17" ht="35.1" customHeight="1" x14ac:dyDescent="0.25">
      <c r="B2" s="1288" t="str">
        <f>CONCATENATE("GEC &amp; 외주-종합 Case [",산출기준_TEL!A5,"]")</f>
        <v>GEC &amp; 외주-종합 Case [일반 Ver.]</v>
      </c>
      <c r="C2" s="1116"/>
      <c r="D2" s="1116"/>
      <c r="E2" s="1117"/>
      <c r="F2" s="1117"/>
      <c r="G2" s="1117"/>
      <c r="H2" s="1117"/>
      <c r="I2" s="1117"/>
      <c r="J2" s="1117"/>
      <c r="K2" s="1117"/>
      <c r="L2" s="1117"/>
      <c r="M2" s="1117"/>
      <c r="N2" s="1116"/>
      <c r="O2" s="1116"/>
      <c r="P2" s="1118"/>
    </row>
    <row r="3" spans="2:17" s="1128" customFormat="1" ht="20.100000000000001" customHeight="1" thickBot="1" x14ac:dyDescent="0.3">
      <c r="B3" s="1274" t="str">
        <f>Input_TEL!$B$5</f>
        <v xml:space="preserve">PROJECT: </v>
      </c>
      <c r="C3" s="1124"/>
      <c r="D3" s="1125"/>
      <c r="E3" s="1126"/>
      <c r="F3" s="1126"/>
      <c r="G3" s="1126"/>
      <c r="H3" s="1126"/>
      <c r="I3" s="1126"/>
      <c r="J3" s="1126"/>
      <c r="K3" s="1126"/>
      <c r="L3" s="1126"/>
      <c r="M3" s="1126"/>
      <c r="N3" s="1125"/>
      <c r="O3" s="1127">
        <f>Input_TEL!AJ5</f>
        <v>45838</v>
      </c>
      <c r="P3" s="1123"/>
    </row>
    <row r="4" spans="2:17" s="1139" customFormat="1" ht="21.9" customHeight="1" x14ac:dyDescent="0.25">
      <c r="B4" s="1129" t="s">
        <v>1112</v>
      </c>
      <c r="C4" s="1130" t="s">
        <v>1113</v>
      </c>
      <c r="D4" s="1131" t="s">
        <v>1114</v>
      </c>
      <c r="E4" s="1132" t="s">
        <v>1115</v>
      </c>
      <c r="F4" s="1133"/>
      <c r="G4" s="1134"/>
      <c r="H4" s="1132" t="s">
        <v>1218</v>
      </c>
      <c r="I4" s="1133"/>
      <c r="J4" s="1134"/>
      <c r="K4" s="1132" t="s">
        <v>1228</v>
      </c>
      <c r="L4" s="1133"/>
      <c r="M4" s="1134"/>
      <c r="N4" s="1136" t="s">
        <v>987</v>
      </c>
      <c r="O4" s="1137" t="s">
        <v>1117</v>
      </c>
      <c r="P4" s="1138"/>
      <c r="Q4" s="2128" t="s">
        <v>1111</v>
      </c>
    </row>
    <row r="5" spans="2:17" s="1139" customFormat="1" ht="21.9" customHeight="1" thickBot="1" x14ac:dyDescent="0.3">
      <c r="B5" s="1140" t="s">
        <v>1118</v>
      </c>
      <c r="C5" s="1141"/>
      <c r="D5" s="1142"/>
      <c r="E5" s="1143" t="s">
        <v>1003</v>
      </c>
      <c r="F5" s="1144" t="s">
        <v>1119</v>
      </c>
      <c r="G5" s="1289" t="s">
        <v>1120</v>
      </c>
      <c r="H5" s="1143" t="s">
        <v>1003</v>
      </c>
      <c r="I5" s="1144" t="s">
        <v>1119</v>
      </c>
      <c r="J5" s="1289" t="s">
        <v>1120</v>
      </c>
      <c r="K5" s="1143" t="s">
        <v>1003</v>
      </c>
      <c r="L5" s="1144" t="s">
        <v>1119</v>
      </c>
      <c r="M5" s="1145" t="s">
        <v>1120</v>
      </c>
      <c r="N5" s="1146"/>
      <c r="O5" s="1147"/>
      <c r="P5" s="1138"/>
    </row>
    <row r="6" spans="2:17" s="1123" customFormat="1" ht="21.9" customHeight="1" thickTop="1" x14ac:dyDescent="0.25">
      <c r="B6" s="1148"/>
      <c r="C6" s="1149"/>
      <c r="D6" s="1150"/>
      <c r="E6" s="1151"/>
      <c r="F6" s="1353"/>
      <c r="G6" s="1153"/>
      <c r="H6" s="1151"/>
      <c r="I6" s="1353"/>
      <c r="J6" s="1153"/>
      <c r="K6" s="1151"/>
      <c r="L6" s="1353"/>
      <c r="M6" s="1153"/>
      <c r="N6" s="1155"/>
      <c r="O6" s="1156"/>
    </row>
    <row r="7" spans="2:17" s="1138" customFormat="1" ht="21.9" customHeight="1" x14ac:dyDescent="0.25">
      <c r="B7" s="1157" t="s">
        <v>1121</v>
      </c>
      <c r="C7" s="1158" t="s">
        <v>1122</v>
      </c>
      <c r="D7" s="1159"/>
      <c r="E7" s="1160"/>
      <c r="F7" s="1358"/>
      <c r="G7" s="1162"/>
      <c r="H7" s="1160"/>
      <c r="I7" s="1358"/>
      <c r="J7" s="1162"/>
      <c r="K7" s="1160"/>
      <c r="L7" s="1358"/>
      <c r="M7" s="1162"/>
      <c r="N7" s="1164"/>
      <c r="O7" s="1165"/>
    </row>
    <row r="8" spans="2:17" s="1138" customFormat="1" ht="21.9" customHeight="1" x14ac:dyDescent="0.25">
      <c r="B8" s="1157">
        <v>1</v>
      </c>
      <c r="C8" s="1166" t="s">
        <v>672</v>
      </c>
      <c r="D8" s="1159"/>
      <c r="E8" s="1160"/>
      <c r="F8" s="1358"/>
      <c r="G8" s="1167"/>
      <c r="H8" s="1160"/>
      <c r="I8" s="1358"/>
      <c r="J8" s="1167"/>
      <c r="K8" s="1160"/>
      <c r="L8" s="1363"/>
      <c r="M8" s="1167"/>
      <c r="N8" s="1169"/>
      <c r="O8" s="1165"/>
    </row>
    <row r="9" spans="2:17" s="1123" customFormat="1" ht="21.9" customHeight="1" x14ac:dyDescent="0.25">
      <c r="B9" s="1170">
        <v>1.1000000000000001</v>
      </c>
      <c r="C9" s="1171" t="s">
        <v>1123</v>
      </c>
      <c r="D9" s="1172" t="s">
        <v>1124</v>
      </c>
      <c r="E9" s="1173">
        <f>OP1_TEL!M21</f>
        <v>24</v>
      </c>
      <c r="F9" s="2080">
        <f>OP1_TEL!G21</f>
        <v>1</v>
      </c>
      <c r="G9" s="1175">
        <f>OP1_TEL!N21</f>
        <v>24</v>
      </c>
      <c r="H9" s="1173">
        <f>OP1_TEL!O21</f>
        <v>17.142857142857142</v>
      </c>
      <c r="I9" s="2080">
        <f t="shared" ref="I9:I24" si="0">F9</f>
        <v>1</v>
      </c>
      <c r="J9" s="1175">
        <f>OP1_TEL!P21</f>
        <v>17</v>
      </c>
      <c r="K9" s="1173">
        <f>OP1_TEL!Y21</f>
        <v>6</v>
      </c>
      <c r="L9" s="2080">
        <f t="shared" ref="L9:L20" si="1">F9</f>
        <v>1</v>
      </c>
      <c r="M9" s="1175">
        <f>OP1_TEL!Z21</f>
        <v>6</v>
      </c>
      <c r="N9" s="1309">
        <f t="shared" ref="N9:N24" si="2">G9+J9+M9</f>
        <v>47</v>
      </c>
      <c r="O9" s="1178"/>
    </row>
    <row r="10" spans="2:17" s="1123" customFormat="1" ht="21.9" customHeight="1" x14ac:dyDescent="0.25">
      <c r="B10" s="1170">
        <v>1.2</v>
      </c>
      <c r="C10" s="1171" t="s">
        <v>103</v>
      </c>
      <c r="D10" s="1172" t="s">
        <v>1124</v>
      </c>
      <c r="E10" s="1173">
        <f>OP1_TEL!M22</f>
        <v>36</v>
      </c>
      <c r="F10" s="2080">
        <f>OP1_TEL!G22</f>
        <v>1</v>
      </c>
      <c r="G10" s="1175">
        <f>OP1_TEL!N22</f>
        <v>36</v>
      </c>
      <c r="H10" s="1173">
        <f>OP1_TEL!O22</f>
        <v>25.714285714285715</v>
      </c>
      <c r="I10" s="2080">
        <f t="shared" si="0"/>
        <v>1</v>
      </c>
      <c r="J10" s="1175">
        <f>OP1_TEL!P22</f>
        <v>26</v>
      </c>
      <c r="K10" s="1173">
        <f>OP1_TEL!Y22</f>
        <v>9</v>
      </c>
      <c r="L10" s="2080">
        <f t="shared" si="1"/>
        <v>1</v>
      </c>
      <c r="M10" s="1175">
        <f>OP1_TEL!Z22</f>
        <v>9</v>
      </c>
      <c r="N10" s="1309">
        <f t="shared" si="2"/>
        <v>71</v>
      </c>
      <c r="O10" s="1178"/>
    </row>
    <row r="11" spans="2:17" s="1123" customFormat="1" ht="21.9" customHeight="1" x14ac:dyDescent="0.25">
      <c r="B11" s="1170"/>
      <c r="C11" s="1171"/>
      <c r="D11" s="1172"/>
      <c r="E11" s="1173"/>
      <c r="F11" s="2080"/>
      <c r="G11" s="1175"/>
      <c r="H11" s="1173"/>
      <c r="I11" s="2080">
        <f t="shared" si="0"/>
        <v>0</v>
      </c>
      <c r="J11" s="1175"/>
      <c r="K11" s="1173"/>
      <c r="L11" s="2080">
        <f t="shared" si="1"/>
        <v>0</v>
      </c>
      <c r="M11" s="1175"/>
      <c r="N11" s="1309">
        <f t="shared" si="2"/>
        <v>0</v>
      </c>
      <c r="O11" s="1178"/>
    </row>
    <row r="12" spans="2:17" s="1123" customFormat="1" ht="21.9" customHeight="1" x14ac:dyDescent="0.25">
      <c r="B12" s="1157">
        <v>2</v>
      </c>
      <c r="C12" s="1166" t="str">
        <f>OP1_TEL!B23</f>
        <v>인허가 지원 업무</v>
      </c>
      <c r="D12" s="1179"/>
      <c r="E12" s="1180"/>
      <c r="F12" s="2082"/>
      <c r="G12" s="1182"/>
      <c r="H12" s="1180"/>
      <c r="I12" s="2080">
        <f t="shared" si="0"/>
        <v>0</v>
      </c>
      <c r="J12" s="1182"/>
      <c r="K12" s="1180"/>
      <c r="L12" s="2082">
        <f t="shared" si="1"/>
        <v>0</v>
      </c>
      <c r="M12" s="1182"/>
      <c r="N12" s="1309">
        <f t="shared" si="2"/>
        <v>0</v>
      </c>
      <c r="O12" s="1185"/>
    </row>
    <row r="13" spans="2:17" s="1123" customFormat="1" ht="21.9" customHeight="1" x14ac:dyDescent="0.25">
      <c r="B13" s="1170">
        <v>2.1</v>
      </c>
      <c r="C13" s="1171" t="str">
        <f>OP1_TEL!E23</f>
        <v>Radio Frequency/장비 License 관련 인허가 Support</v>
      </c>
      <c r="D13" s="1172" t="s">
        <v>1124</v>
      </c>
      <c r="E13" s="1173">
        <f>OP1_TEL!M23</f>
        <v>24</v>
      </c>
      <c r="F13" s="2080">
        <f>OP1_TEL!G23</f>
        <v>1</v>
      </c>
      <c r="G13" s="1175">
        <f>OP1_TEL!N23</f>
        <v>24</v>
      </c>
      <c r="H13" s="1173">
        <f>OP1_TEL!O23</f>
        <v>17.142857142857142</v>
      </c>
      <c r="I13" s="2080">
        <f t="shared" si="0"/>
        <v>1</v>
      </c>
      <c r="J13" s="1175">
        <f>OP1_TEL!P23</f>
        <v>17</v>
      </c>
      <c r="K13" s="1173">
        <f>OP1_TEL!Y23</f>
        <v>6</v>
      </c>
      <c r="L13" s="2080">
        <f t="shared" si="1"/>
        <v>1</v>
      </c>
      <c r="M13" s="1175">
        <f>OP1_TEL!Z23</f>
        <v>6</v>
      </c>
      <c r="N13" s="1309">
        <f t="shared" si="2"/>
        <v>47</v>
      </c>
      <c r="O13" s="1178"/>
    </row>
    <row r="14" spans="2:17" s="1123" customFormat="1" ht="21.9" customHeight="1" x14ac:dyDescent="0.25">
      <c r="B14" s="1170">
        <v>2.2000000000000002</v>
      </c>
      <c r="C14" s="1171" t="str">
        <f>OP1_TEL!E24</f>
        <v>Security Plan (Marine)</v>
      </c>
      <c r="D14" s="1172" t="s">
        <v>1124</v>
      </c>
      <c r="E14" s="1173">
        <f>OP1_TEL!M24</f>
        <v>144</v>
      </c>
      <c r="F14" s="2080">
        <f>OP1_TEL!G24</f>
        <v>0</v>
      </c>
      <c r="G14" s="1175">
        <f>OP1_TEL!N24</f>
        <v>0</v>
      </c>
      <c r="H14" s="1173">
        <f>OP1_TEL!O24</f>
        <v>102.85714285714286</v>
      </c>
      <c r="I14" s="2080">
        <f t="shared" si="0"/>
        <v>0</v>
      </c>
      <c r="J14" s="1175">
        <f>OP1_TEL!P24</f>
        <v>0</v>
      </c>
      <c r="K14" s="1173">
        <f>OP1_TEL!Y24</f>
        <v>34</v>
      </c>
      <c r="L14" s="2080">
        <f t="shared" si="1"/>
        <v>0</v>
      </c>
      <c r="M14" s="1175">
        <f>OP1_TEL!Z24</f>
        <v>0</v>
      </c>
      <c r="N14" s="1309">
        <f t="shared" si="2"/>
        <v>0</v>
      </c>
      <c r="O14" s="1178"/>
    </row>
    <row r="15" spans="2:17" s="1123" customFormat="1" ht="21.75" customHeight="1" x14ac:dyDescent="0.25">
      <c r="B15" s="1170">
        <v>2.2999999999999998</v>
      </c>
      <c r="C15" s="2083" t="str">
        <f>OP1_TEL!E25</f>
        <v xml:space="preserve">Global/Local Regulation </v>
      </c>
      <c r="D15" s="1172" t="s">
        <v>1124</v>
      </c>
      <c r="E15" s="1173">
        <f>OP1_TEL!M25</f>
        <v>144</v>
      </c>
      <c r="F15" s="2080">
        <f>OP1_TEL!G25</f>
        <v>0</v>
      </c>
      <c r="G15" s="1175">
        <f>OP1_TEL!N25</f>
        <v>0</v>
      </c>
      <c r="H15" s="1173">
        <f>OP1_TEL!O25</f>
        <v>102.85714285714286</v>
      </c>
      <c r="I15" s="2080">
        <f t="shared" si="0"/>
        <v>0</v>
      </c>
      <c r="J15" s="1175">
        <f>OP1_TEL!P25</f>
        <v>0</v>
      </c>
      <c r="K15" s="1173">
        <f>OP1_TEL!Y25</f>
        <v>34</v>
      </c>
      <c r="L15" s="2080">
        <f t="shared" si="1"/>
        <v>0</v>
      </c>
      <c r="M15" s="1175">
        <f>OP1_TEL!Z25</f>
        <v>0</v>
      </c>
      <c r="N15" s="1309">
        <f t="shared" si="2"/>
        <v>0</v>
      </c>
      <c r="O15" s="1178"/>
    </row>
    <row r="16" spans="2:17" s="1123" customFormat="1" ht="21.9" customHeight="1" x14ac:dyDescent="0.25">
      <c r="B16" s="1170">
        <v>2.4</v>
      </c>
      <c r="C16" s="1171" t="str">
        <f>OP1_TEL!E27</f>
        <v>GSM</v>
      </c>
      <c r="D16" s="1172" t="s">
        <v>1124</v>
      </c>
      <c r="E16" s="1173">
        <f>OP1_TEL!M27</f>
        <v>72</v>
      </c>
      <c r="F16" s="2080">
        <f>OP1_TEL!G27</f>
        <v>0</v>
      </c>
      <c r="G16" s="1175">
        <f>OP1_TEL!N27</f>
        <v>0</v>
      </c>
      <c r="H16" s="1173">
        <f>OP1_TEL!O27</f>
        <v>51.428571428571431</v>
      </c>
      <c r="I16" s="2080">
        <f t="shared" si="0"/>
        <v>0</v>
      </c>
      <c r="J16" s="1175">
        <f>OP1_TEL!P27</f>
        <v>0</v>
      </c>
      <c r="K16" s="1173">
        <f>OP1_TEL!Y27</f>
        <v>17</v>
      </c>
      <c r="L16" s="2080">
        <f t="shared" si="1"/>
        <v>0</v>
      </c>
      <c r="M16" s="1175">
        <f>OP1_TEL!Z27</f>
        <v>0</v>
      </c>
      <c r="N16" s="1309">
        <f t="shared" si="2"/>
        <v>0</v>
      </c>
      <c r="O16" s="1178"/>
    </row>
    <row r="17" spans="2:16" s="1123" customFormat="1" ht="21.9" customHeight="1" x14ac:dyDescent="0.25">
      <c r="B17" s="1170">
        <v>2.5</v>
      </c>
      <c r="C17" s="1171" t="str">
        <f>OP1_TEL!E28</f>
        <v>국내 - 통신설비 건축인허가</v>
      </c>
      <c r="D17" s="1172" t="s">
        <v>1124</v>
      </c>
      <c r="E17" s="1173">
        <f>OP1_TEL!M28</f>
        <v>72</v>
      </c>
      <c r="F17" s="2080">
        <f>OP1_TEL!G28</f>
        <v>0</v>
      </c>
      <c r="G17" s="1175">
        <f>OP1_TEL!N28</f>
        <v>0</v>
      </c>
      <c r="H17" s="1173">
        <f>OP1_TEL!O28</f>
        <v>81.428571428571431</v>
      </c>
      <c r="I17" s="2080">
        <f t="shared" si="0"/>
        <v>0</v>
      </c>
      <c r="J17" s="1175">
        <f>OP1_TEL!P28</f>
        <v>0</v>
      </c>
      <c r="K17" s="1173">
        <f>OP1_TEL!Y28</f>
        <v>87</v>
      </c>
      <c r="L17" s="2080">
        <f t="shared" si="1"/>
        <v>0</v>
      </c>
      <c r="M17" s="1175">
        <f>OP1_TEL!Z28</f>
        <v>0</v>
      </c>
      <c r="N17" s="1309">
        <f t="shared" si="2"/>
        <v>0</v>
      </c>
      <c r="O17" s="1178"/>
    </row>
    <row r="18" spans="2:16" s="1123" customFormat="1" ht="21.9" customHeight="1" x14ac:dyDescent="0.25">
      <c r="B18" s="1170">
        <v>2.6</v>
      </c>
      <c r="C18" s="1171" t="str">
        <f>OP1_TEL!E29</f>
        <v>국내 - 비상방송설비 소방인허가</v>
      </c>
      <c r="D18" s="1172" t="s">
        <v>1124</v>
      </c>
      <c r="E18" s="1173">
        <f>OP1_TEL!M29</f>
        <v>72</v>
      </c>
      <c r="F18" s="2080">
        <f>OP1_TEL!G29</f>
        <v>0</v>
      </c>
      <c r="G18" s="1175">
        <f>OP1_TEL!N29</f>
        <v>0</v>
      </c>
      <c r="H18" s="1173">
        <f>OP1_TEL!O29</f>
        <v>81.428571428571431</v>
      </c>
      <c r="I18" s="2080">
        <f t="shared" si="0"/>
        <v>0</v>
      </c>
      <c r="J18" s="1175">
        <f>OP1_TEL!P29</f>
        <v>0</v>
      </c>
      <c r="K18" s="1173">
        <f>OP1_TEL!Y29</f>
        <v>87</v>
      </c>
      <c r="L18" s="2080">
        <f t="shared" si="1"/>
        <v>0</v>
      </c>
      <c r="M18" s="1175">
        <f>OP1_TEL!Z29</f>
        <v>0</v>
      </c>
      <c r="N18" s="1309">
        <f t="shared" si="2"/>
        <v>0</v>
      </c>
      <c r="O18" s="1178"/>
    </row>
    <row r="19" spans="2:16" s="1123" customFormat="1" ht="21.9" customHeight="1" x14ac:dyDescent="0.25">
      <c r="B19" s="1170"/>
      <c r="C19" s="1171"/>
      <c r="D19" s="1172"/>
      <c r="E19" s="1173"/>
      <c r="F19" s="2080"/>
      <c r="G19" s="1175"/>
      <c r="H19" s="1173"/>
      <c r="I19" s="2080">
        <f t="shared" si="0"/>
        <v>0</v>
      </c>
      <c r="J19" s="1175"/>
      <c r="K19" s="1173"/>
      <c r="L19" s="2080">
        <f t="shared" si="1"/>
        <v>0</v>
      </c>
      <c r="M19" s="1175"/>
      <c r="N19" s="1309">
        <f t="shared" si="2"/>
        <v>0</v>
      </c>
      <c r="O19" s="1178"/>
    </row>
    <row r="20" spans="2:16" s="1123" customFormat="1" ht="21.9" customHeight="1" x14ac:dyDescent="0.25">
      <c r="B20" s="1157">
        <v>3</v>
      </c>
      <c r="C20" s="1166" t="str">
        <f>OP1_TEL!B30</f>
        <v>ITB Review / FEED Verification</v>
      </c>
      <c r="D20" s="1172"/>
      <c r="E20" s="1173"/>
      <c r="F20" s="2080"/>
      <c r="G20" s="1175"/>
      <c r="H20" s="1173"/>
      <c r="I20" s="2080">
        <f t="shared" si="0"/>
        <v>0</v>
      </c>
      <c r="J20" s="1175"/>
      <c r="K20" s="1173"/>
      <c r="L20" s="2080">
        <f t="shared" si="1"/>
        <v>0</v>
      </c>
      <c r="M20" s="1175"/>
      <c r="N20" s="1309">
        <f t="shared" si="2"/>
        <v>0</v>
      </c>
      <c r="O20" s="1178"/>
    </row>
    <row r="21" spans="2:16" s="1123" customFormat="1" ht="21.9" customHeight="1" x14ac:dyDescent="0.25">
      <c r="B21" s="1170">
        <v>3.1</v>
      </c>
      <c r="C21" s="1171" t="str">
        <f>OP1_TEL!E30</f>
        <v>ITB Review &amp; Interface work.</v>
      </c>
      <c r="D21" s="1172" t="s">
        <v>1124</v>
      </c>
      <c r="E21" s="1173">
        <f>OP1_TEL!M30</f>
        <v>72</v>
      </c>
      <c r="F21" s="2080">
        <f>OP1_TEL!G30</f>
        <v>1</v>
      </c>
      <c r="G21" s="1175">
        <f>OP1_TEL!N30</f>
        <v>72</v>
      </c>
      <c r="H21" s="1173">
        <f>OP1_TEL!O30</f>
        <v>51.428571428571431</v>
      </c>
      <c r="I21" s="2080">
        <f t="shared" si="0"/>
        <v>1</v>
      </c>
      <c r="J21" s="1175">
        <f>OP1_TEL!P30</f>
        <v>51</v>
      </c>
      <c r="K21" s="1173"/>
      <c r="L21" s="2080"/>
      <c r="M21" s="1175">
        <f>OP1_TEL!Z30</f>
        <v>17</v>
      </c>
      <c r="N21" s="1309">
        <f t="shared" si="2"/>
        <v>140</v>
      </c>
      <c r="O21" s="1178"/>
    </row>
    <row r="22" spans="2:16" s="1123" customFormat="1" ht="21.9" customHeight="1" x14ac:dyDescent="0.25">
      <c r="B22" s="1170">
        <v>3.2</v>
      </c>
      <c r="C22" s="1171" t="str">
        <f>OP1_TEL!E31</f>
        <v>발주처 협의</v>
      </c>
      <c r="D22" s="1172" t="s">
        <v>1124</v>
      </c>
      <c r="E22" s="1222" t="s">
        <v>98</v>
      </c>
      <c r="F22" s="2080">
        <v>1</v>
      </c>
      <c r="G22" s="1175">
        <f>OP1_TEL!N31</f>
        <v>144</v>
      </c>
      <c r="H22" s="1222" t="s">
        <v>98</v>
      </c>
      <c r="I22" s="2080">
        <f t="shared" si="0"/>
        <v>1</v>
      </c>
      <c r="J22" s="1175">
        <f>OP1_TEL!P31</f>
        <v>103</v>
      </c>
      <c r="K22" s="1222" t="s">
        <v>98</v>
      </c>
      <c r="L22" s="2080">
        <v>1</v>
      </c>
      <c r="M22" s="1175">
        <f>OP1_TEL!Z31</f>
        <v>33</v>
      </c>
      <c r="N22" s="1309">
        <f t="shared" si="2"/>
        <v>280</v>
      </c>
      <c r="O22" s="1368"/>
    </row>
    <row r="23" spans="2:16" s="1123" customFormat="1" ht="21.9" customHeight="1" x14ac:dyDescent="0.25">
      <c r="B23" s="1170">
        <v>3.3</v>
      </c>
      <c r="C23" s="1171" t="str">
        <f>OP1_TEL!E32</f>
        <v>Feed Verification</v>
      </c>
      <c r="D23" s="1172" t="s">
        <v>1124</v>
      </c>
      <c r="E23" s="1222" t="s">
        <v>98</v>
      </c>
      <c r="F23" s="2080">
        <v>1</v>
      </c>
      <c r="G23" s="1175">
        <f>OP1_TEL!N32</f>
        <v>144</v>
      </c>
      <c r="H23" s="1222" t="s">
        <v>98</v>
      </c>
      <c r="I23" s="2080">
        <f t="shared" si="0"/>
        <v>1</v>
      </c>
      <c r="J23" s="1175">
        <f>OP1_TEL!P32</f>
        <v>103</v>
      </c>
      <c r="K23" s="1222" t="s">
        <v>98</v>
      </c>
      <c r="L23" s="2080">
        <v>1</v>
      </c>
      <c r="M23" s="1175">
        <f>OP1_TEL!Z32</f>
        <v>33</v>
      </c>
      <c r="N23" s="1309">
        <f t="shared" si="2"/>
        <v>280</v>
      </c>
      <c r="O23" s="1368"/>
    </row>
    <row r="24" spans="2:16" s="1123" customFormat="1" ht="21.9" customHeight="1" x14ac:dyDescent="0.25">
      <c r="B24" s="1170">
        <v>3.4</v>
      </c>
      <c r="C24" s="1171" t="str">
        <f>OP1_TEL!E33</f>
        <v>Early Work</v>
      </c>
      <c r="D24" s="1172" t="s">
        <v>1124</v>
      </c>
      <c r="E24" s="1222" t="s">
        <v>98</v>
      </c>
      <c r="F24" s="2080">
        <v>1</v>
      </c>
      <c r="G24" s="1175">
        <f>OP1_TEL!N33</f>
        <v>0</v>
      </c>
      <c r="H24" s="1222" t="s">
        <v>98</v>
      </c>
      <c r="I24" s="2080">
        <f t="shared" si="0"/>
        <v>1</v>
      </c>
      <c r="J24" s="1175">
        <f>OP1_TEL!P33</f>
        <v>0</v>
      </c>
      <c r="K24" s="1222" t="s">
        <v>98</v>
      </c>
      <c r="L24" s="2080">
        <v>1</v>
      </c>
      <c r="M24" s="1175">
        <f>OP1_TEL!Z33</f>
        <v>0</v>
      </c>
      <c r="N24" s="1309">
        <f t="shared" si="2"/>
        <v>0</v>
      </c>
      <c r="O24" s="1368"/>
    </row>
    <row r="25" spans="2:16" s="1123" customFormat="1" ht="21.9" customHeight="1" x14ac:dyDescent="0.25">
      <c r="B25" s="1186"/>
      <c r="C25" s="1187"/>
      <c r="D25" s="1172"/>
      <c r="E25" s="1173"/>
      <c r="F25" s="2084"/>
      <c r="G25" s="1175"/>
      <c r="H25" s="1173"/>
      <c r="I25" s="2084"/>
      <c r="J25" s="1175"/>
      <c r="K25" s="1173"/>
      <c r="L25" s="2084">
        <f t="shared" ref="L25:L76" si="3">F25</f>
        <v>0</v>
      </c>
      <c r="M25" s="1175"/>
      <c r="N25" s="1189"/>
      <c r="O25" s="1178"/>
    </row>
    <row r="26" spans="2:16" s="1139" customFormat="1" ht="21.9" customHeight="1" thickBot="1" x14ac:dyDescent="0.3">
      <c r="B26" s="1190" t="s">
        <v>1129</v>
      </c>
      <c r="C26" s="1191"/>
      <c r="D26" s="1192"/>
      <c r="E26" s="1193"/>
      <c r="F26" s="2086"/>
      <c r="G26" s="1195">
        <f>SUM(G7:G25)</f>
        <v>444</v>
      </c>
      <c r="H26" s="1193"/>
      <c r="I26" s="2086"/>
      <c r="J26" s="1195">
        <f>SUM(J7:J25)</f>
        <v>317</v>
      </c>
      <c r="K26" s="1193"/>
      <c r="L26" s="2086">
        <f t="shared" si="3"/>
        <v>0</v>
      </c>
      <c r="M26" s="1195">
        <f>SUM(M7:M25)</f>
        <v>104</v>
      </c>
      <c r="N26" s="1195">
        <f>SUM(N7:N25)</f>
        <v>865</v>
      </c>
      <c r="O26" s="1198"/>
      <c r="P26" s="1138"/>
    </row>
    <row r="27" spans="2:16" s="1139" customFormat="1" ht="21.9" customHeight="1" x14ac:dyDescent="0.25">
      <c r="B27" s="1170"/>
      <c r="C27" s="1199"/>
      <c r="D27" s="1172"/>
      <c r="E27" s="1173"/>
      <c r="F27" s="2084"/>
      <c r="G27" s="1175"/>
      <c r="H27" s="1173"/>
      <c r="I27" s="2084"/>
      <c r="J27" s="1175"/>
      <c r="K27" s="1173"/>
      <c r="L27" s="2084">
        <f t="shared" si="3"/>
        <v>0</v>
      </c>
      <c r="M27" s="1175"/>
      <c r="N27" s="1177"/>
      <c r="O27" s="1178"/>
      <c r="P27" s="1138"/>
    </row>
    <row r="28" spans="2:16" s="1139" customFormat="1" ht="21.9" customHeight="1" x14ac:dyDescent="0.25">
      <c r="B28" s="1157" t="s">
        <v>1130</v>
      </c>
      <c r="C28" s="1158" t="s">
        <v>1131</v>
      </c>
      <c r="D28" s="1172"/>
      <c r="E28" s="1173"/>
      <c r="F28" s="2084"/>
      <c r="G28" s="1175"/>
      <c r="H28" s="1173"/>
      <c r="I28" s="2084"/>
      <c r="J28" s="1175"/>
      <c r="K28" s="1173"/>
      <c r="L28" s="2084">
        <f t="shared" si="3"/>
        <v>0</v>
      </c>
      <c r="M28" s="1175"/>
      <c r="N28" s="1189"/>
      <c r="O28" s="1178"/>
      <c r="P28" s="1138"/>
    </row>
    <row r="29" spans="2:16" s="1138" customFormat="1" ht="21.9" customHeight="1" x14ac:dyDescent="0.25">
      <c r="B29" s="1157">
        <v>1</v>
      </c>
      <c r="C29" s="1166" t="str">
        <f>OP1_TEL!B35</f>
        <v>Design Basis / Specification</v>
      </c>
      <c r="D29" s="1159"/>
      <c r="E29" s="1200"/>
      <c r="F29" s="2088"/>
      <c r="G29" s="1202"/>
      <c r="H29" s="1200"/>
      <c r="I29" s="2088"/>
      <c r="J29" s="1202"/>
      <c r="K29" s="1200"/>
      <c r="L29" s="2088">
        <f t="shared" si="3"/>
        <v>0</v>
      </c>
      <c r="M29" s="1202"/>
      <c r="N29" s="1205"/>
      <c r="O29" s="1165"/>
    </row>
    <row r="30" spans="2:16" s="1123" customFormat="1" ht="21.9" customHeight="1" x14ac:dyDescent="0.25">
      <c r="B30" s="1170">
        <v>1.1000000000000001</v>
      </c>
      <c r="C30" s="1199" t="str">
        <f>OP1_TEL!E35</f>
        <v>Technical Specification</v>
      </c>
      <c r="D30" s="1172"/>
      <c r="E30" s="1173"/>
      <c r="F30" s="2084"/>
      <c r="G30" s="1175"/>
      <c r="H30" s="1173"/>
      <c r="I30" s="2084"/>
      <c r="J30" s="1175"/>
      <c r="K30" s="1173"/>
      <c r="L30" s="2084">
        <f t="shared" si="3"/>
        <v>0</v>
      </c>
      <c r="M30" s="1175"/>
      <c r="N30" s="1177"/>
      <c r="O30" s="1178"/>
    </row>
    <row r="31" spans="2:16" s="1123" customFormat="1" ht="21.9" customHeight="1" x14ac:dyDescent="0.25">
      <c r="B31" s="1170"/>
      <c r="C31" s="1206" t="str">
        <f>OP1_TEL!E36</f>
        <v>- Telecommunication System</v>
      </c>
      <c r="D31" s="1172" t="s">
        <v>1134</v>
      </c>
      <c r="E31" s="1173" t="str">
        <f>OP1_TEL!M36</f>
        <v>-</v>
      </c>
      <c r="F31" s="2080">
        <f>OP1_TEL!G36</f>
        <v>9</v>
      </c>
      <c r="G31" s="1175">
        <f>OP1_TEL!N36</f>
        <v>864</v>
      </c>
      <c r="H31" s="1173" t="str">
        <f>OP1_TEL!O36</f>
        <v>-</v>
      </c>
      <c r="I31" s="2080">
        <f t="shared" ref="I31:I68" si="4">F31</f>
        <v>9</v>
      </c>
      <c r="J31" s="1175">
        <f>OP1_TEL!P36</f>
        <v>617</v>
      </c>
      <c r="K31" s="1173" t="str">
        <f>OP1_TEL!Y36</f>
        <v>-</v>
      </c>
      <c r="L31" s="2080">
        <f t="shared" si="3"/>
        <v>9</v>
      </c>
      <c r="M31" s="1175">
        <f>OP1_TEL!Z36</f>
        <v>205.7</v>
      </c>
      <c r="N31" s="1309">
        <f t="shared" ref="N31:N78" si="5">G31+J31+M31</f>
        <v>1686.7</v>
      </c>
      <c r="O31" s="1178"/>
    </row>
    <row r="32" spans="2:16" s="1123" customFormat="1" ht="21.9" customHeight="1" x14ac:dyDescent="0.25">
      <c r="B32" s="1170"/>
      <c r="C32" s="1206" t="str">
        <f>OP1_TEL!E37</f>
        <v>- Security System</v>
      </c>
      <c r="D32" s="1172" t="s">
        <v>1134</v>
      </c>
      <c r="E32" s="1173" t="str">
        <f>OP1_TEL!M37</f>
        <v>-</v>
      </c>
      <c r="F32" s="2080">
        <f>OP1_TEL!G37</f>
        <v>3</v>
      </c>
      <c r="G32" s="1175">
        <f>OP1_TEL!N37</f>
        <v>942</v>
      </c>
      <c r="H32" s="1173" t="str">
        <f>OP1_TEL!O37</f>
        <v>-</v>
      </c>
      <c r="I32" s="2080">
        <f t="shared" si="4"/>
        <v>3</v>
      </c>
      <c r="J32" s="1175">
        <f>OP1_TEL!P37</f>
        <v>673</v>
      </c>
      <c r="K32" s="1173" t="str">
        <f>OP1_TEL!Y37</f>
        <v>-</v>
      </c>
      <c r="L32" s="2080">
        <f t="shared" si="3"/>
        <v>3</v>
      </c>
      <c r="M32" s="1175">
        <f>OP1_TEL!Z37</f>
        <v>224.3</v>
      </c>
      <c r="N32" s="1309">
        <f t="shared" si="5"/>
        <v>1839.3</v>
      </c>
      <c r="O32" s="1178"/>
    </row>
    <row r="33" spans="2:16" s="1123" customFormat="1" ht="21.9" customHeight="1" x14ac:dyDescent="0.25">
      <c r="B33" s="1170">
        <v>1.2</v>
      </c>
      <c r="C33" s="1206" t="str">
        <f>OP1_TEL!E38</f>
        <v>Block Diagram</v>
      </c>
      <c r="D33" s="1172"/>
      <c r="E33" s="1173">
        <f>OP1_TEL!M38</f>
        <v>0</v>
      </c>
      <c r="F33" s="2080"/>
      <c r="G33" s="1175"/>
      <c r="H33" s="1173">
        <f>OP1_TEL!O38</f>
        <v>0</v>
      </c>
      <c r="I33" s="2080">
        <f t="shared" si="4"/>
        <v>0</v>
      </c>
      <c r="J33" s="1175"/>
      <c r="K33" s="1173">
        <f>OP1_TEL!Y38</f>
        <v>0</v>
      </c>
      <c r="L33" s="2080">
        <f t="shared" si="3"/>
        <v>0</v>
      </c>
      <c r="M33" s="1175"/>
      <c r="N33" s="1309">
        <f t="shared" si="5"/>
        <v>0</v>
      </c>
      <c r="O33" s="1178"/>
    </row>
    <row r="34" spans="2:16" s="1123" customFormat="1" ht="21.9" customHeight="1" x14ac:dyDescent="0.25">
      <c r="B34" s="1170"/>
      <c r="C34" s="1206" t="str">
        <f>OP1_TEL!E39</f>
        <v>- Telecommunication System</v>
      </c>
      <c r="D34" s="1172" t="s">
        <v>1134</v>
      </c>
      <c r="E34" s="1173" t="str">
        <f>OP1_TEL!M39</f>
        <v>-</v>
      </c>
      <c r="F34" s="2080">
        <f>OP1_TEL!G39</f>
        <v>10</v>
      </c>
      <c r="G34" s="1175">
        <f>OP1_TEL!N39</f>
        <v>906</v>
      </c>
      <c r="H34" s="1173" t="str">
        <f>OP1_TEL!O39</f>
        <v>-</v>
      </c>
      <c r="I34" s="2080">
        <f t="shared" si="4"/>
        <v>10</v>
      </c>
      <c r="J34" s="1175">
        <f>OP1_TEL!P39</f>
        <v>707</v>
      </c>
      <c r="K34" s="1173" t="str">
        <f>OP1_TEL!Y39</f>
        <v>-</v>
      </c>
      <c r="L34" s="2080">
        <f t="shared" si="3"/>
        <v>10</v>
      </c>
      <c r="M34" s="1175">
        <f>OP1_TEL!Z39</f>
        <v>355.7</v>
      </c>
      <c r="N34" s="1309">
        <f t="shared" si="5"/>
        <v>1968.7</v>
      </c>
      <c r="O34" s="1178"/>
    </row>
    <row r="35" spans="2:16" s="1123" customFormat="1" ht="21.9" customHeight="1" x14ac:dyDescent="0.25">
      <c r="B35" s="1170"/>
      <c r="C35" s="1206" t="str">
        <f>OP1_TEL!E40</f>
        <v>- Security System</v>
      </c>
      <c r="D35" s="1172" t="s">
        <v>97</v>
      </c>
      <c r="E35" s="1173" t="str">
        <f>OP1_TEL!M40</f>
        <v>-</v>
      </c>
      <c r="F35" s="2080">
        <f>OP1_TEL!G40</f>
        <v>3</v>
      </c>
      <c r="G35" s="1175">
        <f>OP1_TEL!N40</f>
        <v>984</v>
      </c>
      <c r="H35" s="1173" t="str">
        <f>OP1_TEL!O40</f>
        <v>-</v>
      </c>
      <c r="I35" s="2080">
        <f t="shared" si="4"/>
        <v>3</v>
      </c>
      <c r="J35" s="1175">
        <f>OP1_TEL!P40</f>
        <v>721</v>
      </c>
      <c r="K35" s="1173" t="str">
        <f>OP1_TEL!Y40</f>
        <v>-</v>
      </c>
      <c r="L35" s="2080">
        <f t="shared" si="3"/>
        <v>3</v>
      </c>
      <c r="M35" s="1175">
        <f>OP1_TEL!Z40</f>
        <v>276.3</v>
      </c>
      <c r="N35" s="1309">
        <f t="shared" si="5"/>
        <v>1981.3</v>
      </c>
      <c r="O35" s="1178"/>
    </row>
    <row r="36" spans="2:16" s="1123" customFormat="1" ht="21.9" customHeight="1" x14ac:dyDescent="0.25">
      <c r="B36" s="1170"/>
      <c r="C36" s="1206"/>
      <c r="D36" s="1172"/>
      <c r="E36" s="1173"/>
      <c r="F36" s="2080"/>
      <c r="G36" s="1175"/>
      <c r="H36" s="1173"/>
      <c r="I36" s="2080">
        <f t="shared" si="4"/>
        <v>0</v>
      </c>
      <c r="J36" s="1175"/>
      <c r="K36" s="1173"/>
      <c r="L36" s="2080">
        <f t="shared" si="3"/>
        <v>0</v>
      </c>
      <c r="M36" s="1175"/>
      <c r="N36" s="1309">
        <f t="shared" si="5"/>
        <v>0</v>
      </c>
      <c r="O36" s="1178"/>
    </row>
    <row r="37" spans="2:16" s="1123" customFormat="1" ht="21.9" customHeight="1" x14ac:dyDescent="0.25">
      <c r="B37" s="1157">
        <v>2</v>
      </c>
      <c r="C37" s="1166" t="s">
        <v>1135</v>
      </c>
      <c r="D37" s="1172"/>
      <c r="E37" s="1173"/>
      <c r="F37" s="2080"/>
      <c r="G37" s="1175"/>
      <c r="H37" s="1173"/>
      <c r="I37" s="2080">
        <f t="shared" si="4"/>
        <v>0</v>
      </c>
      <c r="J37" s="1175"/>
      <c r="K37" s="1173"/>
      <c r="L37" s="2080">
        <f t="shared" si="3"/>
        <v>0</v>
      </c>
      <c r="M37" s="1175"/>
      <c r="N37" s="1309">
        <f t="shared" si="5"/>
        <v>0</v>
      </c>
      <c r="O37" s="1178"/>
    </row>
    <row r="38" spans="2:16" s="1128" customFormat="1" ht="21.9" customHeight="1" x14ac:dyDescent="0.25">
      <c r="B38" s="1170">
        <v>2.1</v>
      </c>
      <c r="C38" s="1199" t="s">
        <v>1452</v>
      </c>
      <c r="D38" s="1172" t="s">
        <v>97</v>
      </c>
      <c r="E38" s="1173">
        <f>OP1_TEL!M41</f>
        <v>30</v>
      </c>
      <c r="F38" s="1188">
        <f>OP1_TEL!G41</f>
        <v>1</v>
      </c>
      <c r="G38" s="1175">
        <f>OP1_TEL!N41</f>
        <v>30</v>
      </c>
      <c r="H38" s="1173">
        <f>OP1_TEL!O41</f>
        <v>66.428571428571431</v>
      </c>
      <c r="I38" s="2080">
        <f t="shared" si="4"/>
        <v>1</v>
      </c>
      <c r="J38" s="1175">
        <f>OP1_TEL!P41</f>
        <v>66</v>
      </c>
      <c r="K38" s="1222">
        <f>OP1_TEL!Y41</f>
        <v>112</v>
      </c>
      <c r="L38" s="1188">
        <f t="shared" si="3"/>
        <v>1</v>
      </c>
      <c r="M38" s="1175">
        <f>OP1_TEL!Z41</f>
        <v>112</v>
      </c>
      <c r="N38" s="1309">
        <f t="shared" si="5"/>
        <v>208</v>
      </c>
      <c r="O38" s="1178"/>
      <c r="P38" s="1123"/>
    </row>
    <row r="39" spans="2:16" s="1128" customFormat="1" ht="21.9" customHeight="1" x14ac:dyDescent="0.25">
      <c r="B39" s="1170">
        <v>2.2000000000000002</v>
      </c>
      <c r="C39" s="1209" t="s">
        <v>1453</v>
      </c>
      <c r="D39" s="1172" t="s">
        <v>97</v>
      </c>
      <c r="E39" s="1173">
        <f>OP1_TEL!M42</f>
        <v>30</v>
      </c>
      <c r="F39" s="1188">
        <f>OP1_TEL!G42</f>
        <v>1</v>
      </c>
      <c r="G39" s="1175">
        <f>OP1_TEL!N42</f>
        <v>30</v>
      </c>
      <c r="H39" s="1173">
        <f>OP1_TEL!O42</f>
        <v>66.428571428571431</v>
      </c>
      <c r="I39" s="2080">
        <f t="shared" si="4"/>
        <v>1</v>
      </c>
      <c r="J39" s="1175">
        <f>OP1_TEL!P42</f>
        <v>66</v>
      </c>
      <c r="K39" s="1222">
        <f>OP1_TEL!Y42</f>
        <v>112</v>
      </c>
      <c r="L39" s="1188">
        <f t="shared" si="3"/>
        <v>1</v>
      </c>
      <c r="M39" s="1175">
        <f>OP1_TEL!Z42</f>
        <v>112</v>
      </c>
      <c r="N39" s="1309">
        <f t="shared" si="5"/>
        <v>208</v>
      </c>
      <c r="O39" s="1178"/>
      <c r="P39" s="1123"/>
    </row>
    <row r="40" spans="2:16" s="1128" customFormat="1" ht="21.9" customHeight="1" x14ac:dyDescent="0.25">
      <c r="B40" s="1170">
        <v>2.2999999999999998</v>
      </c>
      <c r="C40" s="1199" t="s">
        <v>1454</v>
      </c>
      <c r="D40" s="1172" t="s">
        <v>97</v>
      </c>
      <c r="E40" s="1173">
        <f>OP1_TEL!M43</f>
        <v>14.399999999999999</v>
      </c>
      <c r="F40" s="1188">
        <f>OP1_TEL!G43</f>
        <v>1</v>
      </c>
      <c r="G40" s="1175">
        <f>OP1_TEL!N43</f>
        <v>14</v>
      </c>
      <c r="H40" s="1173">
        <f>OP1_TEL!O43</f>
        <v>55.285714285714285</v>
      </c>
      <c r="I40" s="2080">
        <f t="shared" si="4"/>
        <v>1</v>
      </c>
      <c r="J40" s="1175">
        <f>OP1_TEL!P43</f>
        <v>55</v>
      </c>
      <c r="K40" s="1222">
        <f>OP1_TEL!Y43</f>
        <v>108</v>
      </c>
      <c r="L40" s="1188">
        <f t="shared" si="3"/>
        <v>1</v>
      </c>
      <c r="M40" s="1175">
        <f>OP1_TEL!Z43</f>
        <v>108</v>
      </c>
      <c r="N40" s="1309">
        <f t="shared" si="5"/>
        <v>177</v>
      </c>
      <c r="O40" s="1178"/>
      <c r="P40" s="1123"/>
    </row>
    <row r="41" spans="2:16" s="1128" customFormat="1" ht="21.9" customHeight="1" x14ac:dyDescent="0.25">
      <c r="B41" s="1170">
        <v>2.4</v>
      </c>
      <c r="C41" s="1199" t="s">
        <v>1455</v>
      </c>
      <c r="D41" s="1172" t="s">
        <v>97</v>
      </c>
      <c r="E41" s="1173">
        <f>OP1_TEL!M44</f>
        <v>60</v>
      </c>
      <c r="F41" s="1188">
        <f>OP1_TEL!G44</f>
        <v>1</v>
      </c>
      <c r="G41" s="1175">
        <f>OP1_TEL!N44</f>
        <v>60</v>
      </c>
      <c r="H41" s="1173">
        <f>OP1_TEL!O44</f>
        <v>72.857142857142861</v>
      </c>
      <c r="I41" s="2080">
        <f t="shared" si="4"/>
        <v>1</v>
      </c>
      <c r="J41" s="1175">
        <f>OP1_TEL!P44</f>
        <v>73</v>
      </c>
      <c r="K41" s="1222">
        <f>OP1_TEL!Y44</f>
        <v>84</v>
      </c>
      <c r="L41" s="1188">
        <f t="shared" si="3"/>
        <v>1</v>
      </c>
      <c r="M41" s="1175">
        <f>OP1_TEL!Z44</f>
        <v>84</v>
      </c>
      <c r="N41" s="1309">
        <f t="shared" si="5"/>
        <v>217</v>
      </c>
      <c r="O41" s="1178"/>
      <c r="P41" s="1123"/>
    </row>
    <row r="42" spans="2:16" s="1128" customFormat="1" ht="21.9" customHeight="1" x14ac:dyDescent="0.25">
      <c r="B42" s="1170">
        <v>2.5</v>
      </c>
      <c r="C42" s="1199" t="s">
        <v>1456</v>
      </c>
      <c r="D42" s="1172" t="s">
        <v>97</v>
      </c>
      <c r="E42" s="1173">
        <f>OP1_TEL!M45</f>
        <v>30</v>
      </c>
      <c r="F42" s="1188">
        <f>OP1_TEL!G45</f>
        <v>1</v>
      </c>
      <c r="G42" s="1175">
        <f>OP1_TEL!N45</f>
        <v>30</v>
      </c>
      <c r="H42" s="1173">
        <f>OP1_TEL!O45</f>
        <v>51.428571428571431</v>
      </c>
      <c r="I42" s="2080">
        <f t="shared" si="4"/>
        <v>1</v>
      </c>
      <c r="J42" s="1175">
        <f>OP1_TEL!P45</f>
        <v>51</v>
      </c>
      <c r="K42" s="1222">
        <f>OP1_TEL!Y45</f>
        <v>77</v>
      </c>
      <c r="L42" s="1188">
        <f t="shared" si="3"/>
        <v>1</v>
      </c>
      <c r="M42" s="1175">
        <f>OP1_TEL!Z45</f>
        <v>77</v>
      </c>
      <c r="N42" s="1309">
        <f t="shared" si="5"/>
        <v>158</v>
      </c>
      <c r="O42" s="1178"/>
      <c r="P42" s="1123"/>
    </row>
    <row r="43" spans="2:16" s="1128" customFormat="1" ht="21.9" customHeight="1" x14ac:dyDescent="0.25">
      <c r="B43" s="1170">
        <v>2.6</v>
      </c>
      <c r="C43" s="1199" t="s">
        <v>1457</v>
      </c>
      <c r="D43" s="1172" t="s">
        <v>97</v>
      </c>
      <c r="E43" s="1173">
        <f>OP1_TEL!M46</f>
        <v>24</v>
      </c>
      <c r="F43" s="1188">
        <f>OP1_TEL!G46</f>
        <v>1</v>
      </c>
      <c r="G43" s="1175">
        <f>OP1_TEL!N46</f>
        <v>24</v>
      </c>
      <c r="H43" s="1173">
        <f>OP1_TEL!O46</f>
        <v>47.142857142857139</v>
      </c>
      <c r="I43" s="2080">
        <f t="shared" si="4"/>
        <v>1</v>
      </c>
      <c r="J43" s="1175">
        <f>OP1_TEL!P46</f>
        <v>47</v>
      </c>
      <c r="K43" s="1222">
        <f>OP1_TEL!Y46</f>
        <v>76</v>
      </c>
      <c r="L43" s="1188">
        <f t="shared" si="3"/>
        <v>1</v>
      </c>
      <c r="M43" s="1175">
        <f>OP1_TEL!Z46</f>
        <v>76</v>
      </c>
      <c r="N43" s="1309">
        <f t="shared" si="5"/>
        <v>147</v>
      </c>
      <c r="O43" s="1178"/>
      <c r="P43" s="1123"/>
    </row>
    <row r="44" spans="2:16" s="1128" customFormat="1" ht="21.9" customHeight="1" x14ac:dyDescent="0.25">
      <c r="B44" s="1170">
        <v>2.7</v>
      </c>
      <c r="C44" s="1199" t="s">
        <v>1019</v>
      </c>
      <c r="D44" s="1172" t="s">
        <v>97</v>
      </c>
      <c r="E44" s="1173">
        <f>OP1_TEL!M47</f>
        <v>24</v>
      </c>
      <c r="F44" s="1188">
        <f>OP1_TEL!G47</f>
        <v>1</v>
      </c>
      <c r="G44" s="1175">
        <f>OP1_TEL!N47</f>
        <v>24</v>
      </c>
      <c r="H44" s="1173">
        <f>OP1_TEL!O47</f>
        <v>17.142857142857142</v>
      </c>
      <c r="I44" s="2080">
        <f t="shared" si="4"/>
        <v>1</v>
      </c>
      <c r="J44" s="1175">
        <f>OP1_TEL!P47</f>
        <v>17</v>
      </c>
      <c r="K44" s="1222">
        <f>OP1_TEL!Y47</f>
        <v>6</v>
      </c>
      <c r="L44" s="1188">
        <f t="shared" si="3"/>
        <v>1</v>
      </c>
      <c r="M44" s="1175">
        <f>OP1_TEL!Z47</f>
        <v>6</v>
      </c>
      <c r="N44" s="1309">
        <f t="shared" si="5"/>
        <v>47</v>
      </c>
      <c r="O44" s="1178"/>
      <c r="P44" s="1123"/>
    </row>
    <row r="45" spans="2:16" s="1128" customFormat="1" ht="21.9" customHeight="1" x14ac:dyDescent="0.25">
      <c r="B45" s="1170">
        <v>2.8</v>
      </c>
      <c r="C45" s="1199" t="s">
        <v>1458</v>
      </c>
      <c r="D45" s="1172" t="s">
        <v>97</v>
      </c>
      <c r="E45" s="1173">
        <f>OP1_TEL!M48</f>
        <v>24</v>
      </c>
      <c r="F45" s="1188">
        <f>OP1_TEL!G48</f>
        <v>1</v>
      </c>
      <c r="G45" s="1175">
        <f>OP1_TEL!N48</f>
        <v>24</v>
      </c>
      <c r="H45" s="1173">
        <f>OP1_TEL!O48</f>
        <v>17.142857142857142</v>
      </c>
      <c r="I45" s="2080">
        <f t="shared" si="4"/>
        <v>1</v>
      </c>
      <c r="J45" s="1175">
        <f>OP1_TEL!P48</f>
        <v>17</v>
      </c>
      <c r="K45" s="1222">
        <f>OP1_TEL!Y48</f>
        <v>6</v>
      </c>
      <c r="L45" s="1188">
        <f t="shared" si="3"/>
        <v>1</v>
      </c>
      <c r="M45" s="1175">
        <f>OP1_TEL!Z48</f>
        <v>6</v>
      </c>
      <c r="N45" s="1309">
        <f t="shared" si="5"/>
        <v>47</v>
      </c>
      <c r="O45" s="1178"/>
      <c r="P45" s="1123"/>
    </row>
    <row r="46" spans="2:16" s="1128" customFormat="1" ht="21.9" customHeight="1" x14ac:dyDescent="0.25">
      <c r="B46" s="1170">
        <v>2.9</v>
      </c>
      <c r="C46" s="1199" t="s">
        <v>1459</v>
      </c>
      <c r="D46" s="1172" t="s">
        <v>97</v>
      </c>
      <c r="E46" s="1173">
        <f>OP1_TEL!M49</f>
        <v>24</v>
      </c>
      <c r="F46" s="1188">
        <f>OP1_TEL!G49</f>
        <v>1</v>
      </c>
      <c r="G46" s="1175">
        <f>OP1_TEL!N49</f>
        <v>24</v>
      </c>
      <c r="H46" s="1173">
        <f>OP1_TEL!O49</f>
        <v>17.142857142857142</v>
      </c>
      <c r="I46" s="2080">
        <f t="shared" si="4"/>
        <v>1</v>
      </c>
      <c r="J46" s="1175">
        <f>OP1_TEL!P49</f>
        <v>17</v>
      </c>
      <c r="K46" s="1222">
        <f>OP1_TEL!Y49</f>
        <v>6</v>
      </c>
      <c r="L46" s="1188">
        <f t="shared" si="3"/>
        <v>1</v>
      </c>
      <c r="M46" s="1175">
        <f>OP1_TEL!Z49</f>
        <v>6</v>
      </c>
      <c r="N46" s="1309">
        <f t="shared" si="5"/>
        <v>47</v>
      </c>
      <c r="O46" s="1178"/>
      <c r="P46" s="1123"/>
    </row>
    <row r="47" spans="2:16" s="1128" customFormat="1" ht="21.9" customHeight="1" x14ac:dyDescent="0.25">
      <c r="B47" s="2091" t="s">
        <v>1578</v>
      </c>
      <c r="C47" s="1199" t="s">
        <v>1579</v>
      </c>
      <c r="D47" s="1172" t="s">
        <v>97</v>
      </c>
      <c r="E47" s="1173">
        <f>OP1_TEL!M50</f>
        <v>60</v>
      </c>
      <c r="F47" s="1188">
        <f>OP1_TEL!G50</f>
        <v>1</v>
      </c>
      <c r="G47" s="1175">
        <f>OP1_TEL!N50</f>
        <v>60</v>
      </c>
      <c r="H47" s="1173">
        <f>OP1_TEL!O50</f>
        <v>42.857142857142861</v>
      </c>
      <c r="I47" s="2080">
        <f t="shared" si="4"/>
        <v>1</v>
      </c>
      <c r="J47" s="1175">
        <f>OP1_TEL!P50</f>
        <v>43</v>
      </c>
      <c r="K47" s="1222">
        <f>OP1_TEL!Y50</f>
        <v>14</v>
      </c>
      <c r="L47" s="1188">
        <f t="shared" si="3"/>
        <v>1</v>
      </c>
      <c r="M47" s="1175">
        <f>OP1_TEL!Z50</f>
        <v>14</v>
      </c>
      <c r="N47" s="1309">
        <f t="shared" si="5"/>
        <v>117</v>
      </c>
      <c r="O47" s="1178"/>
      <c r="P47" s="1123"/>
    </row>
    <row r="48" spans="2:16" s="1128" customFormat="1" ht="21.9" customHeight="1" x14ac:dyDescent="0.25">
      <c r="B48" s="1170">
        <v>2.11</v>
      </c>
      <c r="C48" s="1199" t="s">
        <v>1580</v>
      </c>
      <c r="D48" s="1172" t="s">
        <v>97</v>
      </c>
      <c r="E48" s="1173">
        <f>OP1_TEL!M51</f>
        <v>216</v>
      </c>
      <c r="F48" s="1188">
        <f>OP1_TEL!G51</f>
        <v>1</v>
      </c>
      <c r="G48" s="1175">
        <f>OP1_TEL!N51</f>
        <v>216</v>
      </c>
      <c r="H48" s="1173">
        <f>OP1_TEL!O51</f>
        <v>754.28571428571433</v>
      </c>
      <c r="I48" s="2080">
        <f t="shared" si="4"/>
        <v>1</v>
      </c>
      <c r="J48" s="1175">
        <f>OP1_TEL!P51</f>
        <v>754</v>
      </c>
      <c r="K48" s="1222">
        <f>OP1_TEL!Y51</f>
        <v>1451</v>
      </c>
      <c r="L48" s="1188">
        <f t="shared" si="3"/>
        <v>1</v>
      </c>
      <c r="M48" s="1175">
        <f>OP1_TEL!Z51</f>
        <v>1451</v>
      </c>
      <c r="N48" s="1309">
        <f t="shared" si="5"/>
        <v>2421</v>
      </c>
      <c r="O48" s="1178"/>
      <c r="P48" s="1123"/>
    </row>
    <row r="49" spans="2:16" s="1128" customFormat="1" ht="21.9" customHeight="1" x14ac:dyDescent="0.25">
      <c r="B49" s="1170"/>
      <c r="C49" s="1199"/>
      <c r="D49" s="1172"/>
      <c r="E49" s="1173"/>
      <c r="F49" s="2084"/>
      <c r="G49" s="1175"/>
      <c r="H49" s="1173"/>
      <c r="I49" s="2080">
        <f t="shared" si="4"/>
        <v>0</v>
      </c>
      <c r="J49" s="1175"/>
      <c r="K49" s="1173"/>
      <c r="L49" s="2084">
        <f t="shared" si="3"/>
        <v>0</v>
      </c>
      <c r="M49" s="1175"/>
      <c r="N49" s="1309">
        <f t="shared" si="5"/>
        <v>0</v>
      </c>
      <c r="O49" s="1178"/>
      <c r="P49" s="1123"/>
    </row>
    <row r="50" spans="2:16" s="1139" customFormat="1" ht="21.9" customHeight="1" x14ac:dyDescent="0.25">
      <c r="B50" s="1157">
        <v>3</v>
      </c>
      <c r="C50" s="1166" t="s">
        <v>1144</v>
      </c>
      <c r="D50" s="1159"/>
      <c r="E50" s="1200"/>
      <c r="F50" s="2088"/>
      <c r="G50" s="1202"/>
      <c r="H50" s="1200"/>
      <c r="I50" s="2080">
        <f t="shared" si="4"/>
        <v>0</v>
      </c>
      <c r="J50" s="1202"/>
      <c r="K50" s="1200"/>
      <c r="L50" s="2088">
        <f t="shared" si="3"/>
        <v>0</v>
      </c>
      <c r="M50" s="1202"/>
      <c r="N50" s="1309">
        <f t="shared" si="5"/>
        <v>0</v>
      </c>
      <c r="O50" s="1165"/>
      <c r="P50" s="1138"/>
    </row>
    <row r="51" spans="2:16" s="1128" customFormat="1" ht="21.9" customHeight="1" x14ac:dyDescent="0.25">
      <c r="B51" s="1170">
        <v>3.1</v>
      </c>
      <c r="C51" s="1199" t="s">
        <v>1460</v>
      </c>
      <c r="D51" s="1172" t="s">
        <v>97</v>
      </c>
      <c r="E51" s="1173">
        <f>OP1_TEL!M52</f>
        <v>14.399999999999999</v>
      </c>
      <c r="F51" s="2084">
        <f>OP1_TEL!G52</f>
        <v>1</v>
      </c>
      <c r="G51" s="1175">
        <f>OP1_TEL!N52</f>
        <v>14</v>
      </c>
      <c r="H51" s="1173">
        <f>OP1_TEL!O52</f>
        <v>10.285714285714285</v>
      </c>
      <c r="I51" s="2080">
        <f t="shared" si="4"/>
        <v>1</v>
      </c>
      <c r="J51" s="1175">
        <f>OP1_TEL!P52</f>
        <v>10</v>
      </c>
      <c r="K51" s="1222">
        <f>OP1_TEL!Y52</f>
        <v>3</v>
      </c>
      <c r="L51" s="1188">
        <f t="shared" si="3"/>
        <v>1</v>
      </c>
      <c r="M51" s="1175">
        <f>OP1_TEL!Z52</f>
        <v>3</v>
      </c>
      <c r="N51" s="1309">
        <f t="shared" si="5"/>
        <v>27</v>
      </c>
      <c r="O51" s="1165"/>
      <c r="P51" s="1123"/>
    </row>
    <row r="52" spans="2:16" s="1128" customFormat="1" ht="21.9" customHeight="1" x14ac:dyDescent="0.25">
      <c r="B52" s="1170">
        <v>3.2</v>
      </c>
      <c r="C52" s="1199" t="s">
        <v>1462</v>
      </c>
      <c r="D52" s="1172" t="s">
        <v>97</v>
      </c>
      <c r="E52" s="1173">
        <f>OP1_TEL!M53</f>
        <v>14.399999999999999</v>
      </c>
      <c r="F52" s="2084">
        <f>OP1_TEL!G53</f>
        <v>1</v>
      </c>
      <c r="G52" s="1175">
        <f>OP1_TEL!N53</f>
        <v>14</v>
      </c>
      <c r="H52" s="1173">
        <f>OP1_TEL!O53</f>
        <v>10.285714285714285</v>
      </c>
      <c r="I52" s="2080">
        <f t="shared" si="4"/>
        <v>1</v>
      </c>
      <c r="J52" s="1175">
        <f>OP1_TEL!P53</f>
        <v>10</v>
      </c>
      <c r="K52" s="1222">
        <f>OP1_TEL!Y53</f>
        <v>3</v>
      </c>
      <c r="L52" s="1188">
        <f t="shared" si="3"/>
        <v>1</v>
      </c>
      <c r="M52" s="1175">
        <f>OP1_TEL!Z53</f>
        <v>3</v>
      </c>
      <c r="N52" s="1309">
        <f t="shared" si="5"/>
        <v>27</v>
      </c>
      <c r="O52" s="1165"/>
      <c r="P52" s="1123"/>
    </row>
    <row r="53" spans="2:16" s="1128" customFormat="1" ht="21.9" customHeight="1" x14ac:dyDescent="0.25">
      <c r="B53" s="1170">
        <v>3.3</v>
      </c>
      <c r="C53" s="1199" t="s">
        <v>1463</v>
      </c>
      <c r="D53" s="1172" t="s">
        <v>97</v>
      </c>
      <c r="E53" s="1173">
        <f>OP1_TEL!M54</f>
        <v>14.399999999999999</v>
      </c>
      <c r="F53" s="2084">
        <f>OP1_TEL!G54</f>
        <v>0</v>
      </c>
      <c r="G53" s="1175">
        <f>OP1_TEL!N54</f>
        <v>0</v>
      </c>
      <c r="H53" s="1173">
        <f>OP1_TEL!O54</f>
        <v>10.285714285714285</v>
      </c>
      <c r="I53" s="2080">
        <f t="shared" si="4"/>
        <v>0</v>
      </c>
      <c r="J53" s="1175">
        <f>OP1_TEL!P54</f>
        <v>0</v>
      </c>
      <c r="K53" s="1222">
        <f>OP1_TEL!Y54</f>
        <v>3</v>
      </c>
      <c r="L53" s="1188">
        <f t="shared" si="3"/>
        <v>0</v>
      </c>
      <c r="M53" s="1175">
        <f>OP1_TEL!Z54</f>
        <v>0</v>
      </c>
      <c r="N53" s="1309">
        <f t="shared" si="5"/>
        <v>0</v>
      </c>
      <c r="O53" s="1165"/>
      <c r="P53" s="1123"/>
    </row>
    <row r="54" spans="2:16" s="1128" customFormat="1" ht="21.9" customHeight="1" x14ac:dyDescent="0.25">
      <c r="B54" s="1170">
        <v>3.4</v>
      </c>
      <c r="C54" s="1199" t="s">
        <v>1464</v>
      </c>
      <c r="D54" s="1172" t="s">
        <v>97</v>
      </c>
      <c r="E54" s="1173">
        <f>OP1_TEL!M55</f>
        <v>14.399999999999999</v>
      </c>
      <c r="F54" s="2084">
        <f>OP1_TEL!G55</f>
        <v>1</v>
      </c>
      <c r="G54" s="1175">
        <f>OP1_TEL!N55</f>
        <v>14</v>
      </c>
      <c r="H54" s="1173">
        <f>OP1_TEL!O55</f>
        <v>10.285714285714285</v>
      </c>
      <c r="I54" s="2080">
        <f t="shared" si="4"/>
        <v>1</v>
      </c>
      <c r="J54" s="1175">
        <f>OP1_TEL!P55</f>
        <v>10</v>
      </c>
      <c r="K54" s="1222">
        <f>OP1_TEL!Y55</f>
        <v>3</v>
      </c>
      <c r="L54" s="1188">
        <f t="shared" si="3"/>
        <v>1</v>
      </c>
      <c r="M54" s="1175">
        <f>OP1_TEL!Z55</f>
        <v>3</v>
      </c>
      <c r="N54" s="1309">
        <f t="shared" si="5"/>
        <v>27</v>
      </c>
      <c r="O54" s="1165"/>
      <c r="P54" s="1123"/>
    </row>
    <row r="55" spans="2:16" s="1128" customFormat="1" ht="21.9" customHeight="1" x14ac:dyDescent="0.25">
      <c r="B55" s="1170">
        <v>3.5</v>
      </c>
      <c r="C55" s="1199" t="s">
        <v>1465</v>
      </c>
      <c r="D55" s="1172" t="s">
        <v>97</v>
      </c>
      <c r="E55" s="1173">
        <f>OP1_TEL!M56</f>
        <v>14.399999999999999</v>
      </c>
      <c r="F55" s="2084">
        <f>OP1_TEL!G56</f>
        <v>1</v>
      </c>
      <c r="G55" s="1175">
        <f>OP1_TEL!N56</f>
        <v>14</v>
      </c>
      <c r="H55" s="1173">
        <f>OP1_TEL!O56</f>
        <v>10.285714285714285</v>
      </c>
      <c r="I55" s="2080">
        <f t="shared" si="4"/>
        <v>1</v>
      </c>
      <c r="J55" s="1175">
        <f>OP1_TEL!P56</f>
        <v>10</v>
      </c>
      <c r="K55" s="1222">
        <f>OP1_TEL!Y56</f>
        <v>3</v>
      </c>
      <c r="L55" s="1188">
        <f t="shared" si="3"/>
        <v>1</v>
      </c>
      <c r="M55" s="1175">
        <f>OP1_TEL!Z56</f>
        <v>3</v>
      </c>
      <c r="N55" s="1309">
        <f t="shared" si="5"/>
        <v>27</v>
      </c>
      <c r="O55" s="1165"/>
      <c r="P55" s="1123"/>
    </row>
    <row r="56" spans="2:16" s="1128" customFormat="1" ht="21.9" customHeight="1" x14ac:dyDescent="0.25">
      <c r="B56" s="1170">
        <v>3.6</v>
      </c>
      <c r="C56" s="1199" t="s">
        <v>1466</v>
      </c>
      <c r="D56" s="1172" t="s">
        <v>97</v>
      </c>
      <c r="E56" s="1173">
        <f>OP1_TEL!M57</f>
        <v>14.399999999999999</v>
      </c>
      <c r="F56" s="2084">
        <f>OP1_TEL!G57</f>
        <v>1</v>
      </c>
      <c r="G56" s="1175">
        <f>OP1_TEL!N57</f>
        <v>14</v>
      </c>
      <c r="H56" s="1173">
        <f>OP1_TEL!O57</f>
        <v>10.285714285714285</v>
      </c>
      <c r="I56" s="2080">
        <f t="shared" si="4"/>
        <v>1</v>
      </c>
      <c r="J56" s="1175">
        <f>OP1_TEL!P57</f>
        <v>10</v>
      </c>
      <c r="K56" s="1222">
        <f>OP1_TEL!Y57</f>
        <v>3</v>
      </c>
      <c r="L56" s="1188">
        <f t="shared" si="3"/>
        <v>1</v>
      </c>
      <c r="M56" s="1175">
        <f>OP1_TEL!Z57</f>
        <v>3</v>
      </c>
      <c r="N56" s="1309">
        <f t="shared" si="5"/>
        <v>27</v>
      </c>
      <c r="O56" s="1165"/>
      <c r="P56" s="1123"/>
    </row>
    <row r="57" spans="2:16" s="1128" customFormat="1" ht="21.9" customHeight="1" x14ac:dyDescent="0.25">
      <c r="B57" s="1210"/>
      <c r="C57" s="1199"/>
      <c r="D57" s="1211"/>
      <c r="E57" s="1173"/>
      <c r="F57" s="2084"/>
      <c r="G57" s="1175"/>
      <c r="H57" s="1173"/>
      <c r="I57" s="2080">
        <f t="shared" si="4"/>
        <v>0</v>
      </c>
      <c r="J57" s="1175"/>
      <c r="K57" s="1173"/>
      <c r="L57" s="2084">
        <f t="shared" si="3"/>
        <v>0</v>
      </c>
      <c r="M57" s="1175"/>
      <c r="N57" s="1309">
        <f t="shared" si="5"/>
        <v>0</v>
      </c>
      <c r="O57" s="1165"/>
      <c r="P57" s="1123"/>
    </row>
    <row r="58" spans="2:16" s="1139" customFormat="1" ht="21.9" customHeight="1" x14ac:dyDescent="0.25">
      <c r="B58" s="1157">
        <v>4</v>
      </c>
      <c r="C58" s="1166" t="s">
        <v>1145</v>
      </c>
      <c r="D58" s="1159"/>
      <c r="E58" s="1200"/>
      <c r="F58" s="2088"/>
      <c r="G58" s="1202"/>
      <c r="H58" s="1200"/>
      <c r="I58" s="2080">
        <f t="shared" si="4"/>
        <v>0</v>
      </c>
      <c r="J58" s="1202"/>
      <c r="K58" s="1200"/>
      <c r="L58" s="2088">
        <f t="shared" si="3"/>
        <v>0</v>
      </c>
      <c r="M58" s="1202"/>
      <c r="N58" s="1309">
        <f t="shared" si="5"/>
        <v>0</v>
      </c>
      <c r="O58" s="1165"/>
      <c r="P58" s="1138"/>
    </row>
    <row r="59" spans="2:16" s="1128" customFormat="1" ht="21.9" customHeight="1" x14ac:dyDescent="0.25">
      <c r="B59" s="1170">
        <v>4.0999999999999996</v>
      </c>
      <c r="C59" s="1199" t="s">
        <v>1467</v>
      </c>
      <c r="D59" s="1172" t="s">
        <v>1147</v>
      </c>
      <c r="E59" s="1173">
        <f>OP1_TEL!M58</f>
        <v>3</v>
      </c>
      <c r="F59" s="2084">
        <f>OP1_TEL!G58</f>
        <v>1</v>
      </c>
      <c r="G59" s="1175">
        <f>OP1_TEL!N58</f>
        <v>3</v>
      </c>
      <c r="H59" s="1173">
        <f>OP1_TEL!O58</f>
        <v>14.142857142857142</v>
      </c>
      <c r="I59" s="2080">
        <f t="shared" si="4"/>
        <v>1</v>
      </c>
      <c r="J59" s="1175">
        <f>OP1_TEL!P58</f>
        <v>14</v>
      </c>
      <c r="K59" s="1173">
        <f>OP1_TEL!Y58</f>
        <v>28.7</v>
      </c>
      <c r="L59" s="2084">
        <f t="shared" si="3"/>
        <v>1</v>
      </c>
      <c r="M59" s="1175">
        <f>OP1_TEL!Z58</f>
        <v>29</v>
      </c>
      <c r="N59" s="1309">
        <f t="shared" si="5"/>
        <v>46</v>
      </c>
      <c r="O59" s="1165"/>
      <c r="P59" s="1123"/>
    </row>
    <row r="60" spans="2:16" s="1128" customFormat="1" ht="21.9" customHeight="1" x14ac:dyDescent="0.25">
      <c r="B60" s="1170">
        <v>4.2</v>
      </c>
      <c r="C60" s="1199" t="s">
        <v>1468</v>
      </c>
      <c r="D60" s="1172" t="s">
        <v>1149</v>
      </c>
      <c r="E60" s="1173">
        <f>OP1_TEL!M59</f>
        <v>2.4</v>
      </c>
      <c r="F60" s="2084">
        <f>OP1_TEL!G59</f>
        <v>5.8368000000000002</v>
      </c>
      <c r="G60" s="1175">
        <f>OP1_TEL!N59</f>
        <v>14</v>
      </c>
      <c r="H60" s="1173">
        <f>OP1_TEL!O59</f>
        <v>16.714285714285715</v>
      </c>
      <c r="I60" s="2080">
        <f t="shared" si="4"/>
        <v>5.8368000000000002</v>
      </c>
      <c r="J60" s="1175">
        <f>OP1_TEL!P59</f>
        <v>98</v>
      </c>
      <c r="K60" s="1173">
        <f>OP1_TEL!Y59</f>
        <v>35.6</v>
      </c>
      <c r="L60" s="2084">
        <f t="shared" si="3"/>
        <v>5.8368000000000002</v>
      </c>
      <c r="M60" s="1175">
        <f>OP1_TEL!Z59</f>
        <v>208</v>
      </c>
      <c r="N60" s="1309">
        <f t="shared" si="5"/>
        <v>320</v>
      </c>
      <c r="O60" s="1215"/>
      <c r="P60" s="1123"/>
    </row>
    <row r="61" spans="2:16" s="1128" customFormat="1" ht="21.9" customHeight="1" x14ac:dyDescent="0.25">
      <c r="B61" s="1170">
        <v>4.3</v>
      </c>
      <c r="C61" s="1199" t="s">
        <v>1469</v>
      </c>
      <c r="D61" s="1172" t="s">
        <v>1149</v>
      </c>
      <c r="E61" s="1173">
        <f>OP1_TEL!M60</f>
        <v>2.4</v>
      </c>
      <c r="F61" s="2084">
        <f>OP1_TEL!G60</f>
        <v>5.8368000000000002</v>
      </c>
      <c r="G61" s="1175">
        <f>OP1_TEL!N60</f>
        <v>14</v>
      </c>
      <c r="H61" s="1173">
        <f>OP1_TEL!O60</f>
        <v>16.714285714285715</v>
      </c>
      <c r="I61" s="2080">
        <f t="shared" si="4"/>
        <v>5.8368000000000002</v>
      </c>
      <c r="J61" s="1175">
        <f>OP1_TEL!P60</f>
        <v>98</v>
      </c>
      <c r="K61" s="1173">
        <f>OP1_TEL!Y60</f>
        <v>35.6</v>
      </c>
      <c r="L61" s="2084">
        <f t="shared" si="3"/>
        <v>5.8368000000000002</v>
      </c>
      <c r="M61" s="1175">
        <f>OP1_TEL!Z60</f>
        <v>208</v>
      </c>
      <c r="N61" s="1309">
        <f t="shared" si="5"/>
        <v>320</v>
      </c>
      <c r="O61" s="1208"/>
      <c r="P61" s="1123"/>
    </row>
    <row r="62" spans="2:16" s="1128" customFormat="1" ht="21.9" customHeight="1" x14ac:dyDescent="0.25">
      <c r="B62" s="1170">
        <v>4.4000000000000004</v>
      </c>
      <c r="C62" s="1199" t="s">
        <v>1470</v>
      </c>
      <c r="D62" s="1172" t="s">
        <v>1147</v>
      </c>
      <c r="E62" s="1173">
        <f>OP1_TEL!M61</f>
        <v>2.4</v>
      </c>
      <c r="F62" s="2084">
        <f>OP1_TEL!G61</f>
        <v>1</v>
      </c>
      <c r="G62" s="1175">
        <f>OP1_TEL!N61</f>
        <v>2</v>
      </c>
      <c r="H62" s="1173">
        <f>OP1_TEL!O61</f>
        <v>16.714285714285715</v>
      </c>
      <c r="I62" s="2080">
        <f t="shared" si="4"/>
        <v>1</v>
      </c>
      <c r="J62" s="1175">
        <f>OP1_TEL!P61</f>
        <v>17</v>
      </c>
      <c r="K62" s="1173">
        <f>OP1_TEL!Y61</f>
        <v>35.6</v>
      </c>
      <c r="L62" s="2084">
        <f t="shared" si="3"/>
        <v>1</v>
      </c>
      <c r="M62" s="1175">
        <f>OP1_TEL!Z61</f>
        <v>36</v>
      </c>
      <c r="N62" s="1309">
        <f t="shared" si="5"/>
        <v>55</v>
      </c>
      <c r="O62" s="1208"/>
      <c r="P62" s="1123"/>
    </row>
    <row r="63" spans="2:16" s="1128" customFormat="1" ht="21.9" customHeight="1" x14ac:dyDescent="0.25">
      <c r="B63" s="1170">
        <v>4.5</v>
      </c>
      <c r="C63" s="1199" t="s">
        <v>1471</v>
      </c>
      <c r="D63" s="1172" t="s">
        <v>1149</v>
      </c>
      <c r="E63" s="1173">
        <f>OP1_TEL!M62</f>
        <v>2.4</v>
      </c>
      <c r="F63" s="2084">
        <f>OP1_TEL!G62</f>
        <v>1</v>
      </c>
      <c r="G63" s="1175">
        <f>OP1_TEL!N62</f>
        <v>2</v>
      </c>
      <c r="H63" s="1173">
        <f>OP1_TEL!O62</f>
        <v>16.714285714285715</v>
      </c>
      <c r="I63" s="2080">
        <f t="shared" si="4"/>
        <v>1</v>
      </c>
      <c r="J63" s="1175">
        <f>OP1_TEL!P62</f>
        <v>17</v>
      </c>
      <c r="K63" s="1173">
        <f>OP1_TEL!Y62</f>
        <v>35.6</v>
      </c>
      <c r="L63" s="2084">
        <f t="shared" si="3"/>
        <v>1</v>
      </c>
      <c r="M63" s="1175">
        <f>OP1_TEL!Z62</f>
        <v>36</v>
      </c>
      <c r="N63" s="1309">
        <f t="shared" si="5"/>
        <v>55</v>
      </c>
      <c r="O63" s="1208"/>
      <c r="P63" s="1123"/>
    </row>
    <row r="64" spans="2:16" s="1128" customFormat="1" ht="21.9" customHeight="1" x14ac:dyDescent="0.25">
      <c r="B64" s="1170">
        <v>4.5999999999999996</v>
      </c>
      <c r="C64" s="1199" t="s">
        <v>1472</v>
      </c>
      <c r="D64" s="1172" t="s">
        <v>1149</v>
      </c>
      <c r="E64" s="1173">
        <f>OP1_TEL!M63</f>
        <v>2.4</v>
      </c>
      <c r="F64" s="2084">
        <f>OP1_TEL!G63</f>
        <v>5.8368000000000002</v>
      </c>
      <c r="G64" s="1175">
        <f>OP1_TEL!N63</f>
        <v>14</v>
      </c>
      <c r="H64" s="1173">
        <f>OP1_TEL!O63</f>
        <v>21.814285714285713</v>
      </c>
      <c r="I64" s="2080">
        <f t="shared" si="4"/>
        <v>5.8368000000000002</v>
      </c>
      <c r="J64" s="1175">
        <f>OP1_TEL!P63</f>
        <v>127</v>
      </c>
      <c r="K64" s="1173">
        <f>OP1_TEL!Y63</f>
        <v>47.5</v>
      </c>
      <c r="L64" s="2084">
        <f t="shared" si="3"/>
        <v>5.8368000000000002</v>
      </c>
      <c r="M64" s="1175">
        <f>OP1_TEL!Z63</f>
        <v>277</v>
      </c>
      <c r="N64" s="1309">
        <f t="shared" si="5"/>
        <v>418</v>
      </c>
      <c r="O64" s="1208"/>
      <c r="P64" s="1123"/>
    </row>
    <row r="65" spans="2:16" s="1128" customFormat="1" ht="21.9" customHeight="1" x14ac:dyDescent="0.25">
      <c r="B65" s="1170">
        <v>4.7</v>
      </c>
      <c r="C65" s="1199" t="s">
        <v>1473</v>
      </c>
      <c r="D65" s="1172" t="s">
        <v>1149</v>
      </c>
      <c r="E65" s="1173">
        <f>OP1_TEL!M64</f>
        <v>3</v>
      </c>
      <c r="F65" s="2084">
        <f>OP1_TEL!G64</f>
        <v>2.3368000000000002</v>
      </c>
      <c r="G65" s="1175">
        <f>OP1_TEL!N64</f>
        <v>7</v>
      </c>
      <c r="H65" s="1173">
        <f>OP1_TEL!O64</f>
        <v>22.24285714285714</v>
      </c>
      <c r="I65" s="2080">
        <f t="shared" si="4"/>
        <v>2.3368000000000002</v>
      </c>
      <c r="J65" s="1175">
        <f>OP1_TEL!P64</f>
        <v>52</v>
      </c>
      <c r="K65" s="1173">
        <f>OP1_TEL!Y64</f>
        <v>47.6</v>
      </c>
      <c r="L65" s="2084">
        <f t="shared" si="3"/>
        <v>2.3368000000000002</v>
      </c>
      <c r="M65" s="1175">
        <f>OP1_TEL!Z64</f>
        <v>111</v>
      </c>
      <c r="N65" s="1309">
        <f t="shared" si="5"/>
        <v>170</v>
      </c>
      <c r="O65" s="1208"/>
      <c r="P65" s="1123"/>
    </row>
    <row r="66" spans="2:16" s="1128" customFormat="1" ht="21.9" customHeight="1" x14ac:dyDescent="0.25">
      <c r="B66" s="1170">
        <v>4.8</v>
      </c>
      <c r="C66" s="1199" t="s">
        <v>1474</v>
      </c>
      <c r="D66" s="1172" t="s">
        <v>1149</v>
      </c>
      <c r="E66" s="1173">
        <f>OP1_TEL!M65</f>
        <v>2.4</v>
      </c>
      <c r="F66" s="2084">
        <f>OP1_TEL!G65</f>
        <v>3.5</v>
      </c>
      <c r="G66" s="1175">
        <f>OP1_TEL!N65</f>
        <v>8</v>
      </c>
      <c r="H66" s="1173">
        <f>OP1_TEL!O65</f>
        <v>21.814285714285713</v>
      </c>
      <c r="I66" s="2080">
        <f t="shared" si="4"/>
        <v>3.5</v>
      </c>
      <c r="J66" s="1175">
        <f>OP1_TEL!P65</f>
        <v>76</v>
      </c>
      <c r="K66" s="1173">
        <f>OP1_TEL!Y65</f>
        <v>47.5</v>
      </c>
      <c r="L66" s="2084">
        <f t="shared" si="3"/>
        <v>3.5</v>
      </c>
      <c r="M66" s="1175">
        <f>OP1_TEL!Z65</f>
        <v>166</v>
      </c>
      <c r="N66" s="1309">
        <f t="shared" si="5"/>
        <v>250</v>
      </c>
      <c r="O66" s="1208"/>
      <c r="P66" s="1123"/>
    </row>
    <row r="67" spans="2:16" s="1128" customFormat="1" ht="21.9" customHeight="1" x14ac:dyDescent="0.25">
      <c r="B67" s="1170">
        <v>4.9000000000000004</v>
      </c>
      <c r="C67" s="1199" t="s">
        <v>1475</v>
      </c>
      <c r="D67" s="1172" t="s">
        <v>1149</v>
      </c>
      <c r="E67" s="1173">
        <f>OP1_TEL!M66</f>
        <v>1.7999999999999998</v>
      </c>
      <c r="F67" s="2084">
        <f>OP1_TEL!G66</f>
        <v>7</v>
      </c>
      <c r="G67" s="1175">
        <f>OP1_TEL!N66</f>
        <v>13</v>
      </c>
      <c r="H67" s="1173">
        <f>OP1_TEL!O66</f>
        <v>11.485714285714284</v>
      </c>
      <c r="I67" s="2080">
        <f t="shared" si="4"/>
        <v>7</v>
      </c>
      <c r="J67" s="1175">
        <f>OP1_TEL!P66</f>
        <v>80</v>
      </c>
      <c r="K67" s="1173">
        <f>OP1_TEL!Y66</f>
        <v>24.2</v>
      </c>
      <c r="L67" s="2084">
        <f t="shared" si="3"/>
        <v>7</v>
      </c>
      <c r="M67" s="1175">
        <f>OP1_TEL!Z66</f>
        <v>169</v>
      </c>
      <c r="N67" s="1309">
        <f t="shared" si="5"/>
        <v>262</v>
      </c>
      <c r="O67" s="1208"/>
      <c r="P67" s="1123"/>
    </row>
    <row r="68" spans="2:16" s="1128" customFormat="1" ht="21.9" customHeight="1" x14ac:dyDescent="0.25">
      <c r="B68" s="1216">
        <v>4.0999999999999996</v>
      </c>
      <c r="C68" s="1199" t="s">
        <v>1157</v>
      </c>
      <c r="D68" s="1172" t="s">
        <v>1147</v>
      </c>
      <c r="E68" s="1173">
        <f>OP1_TEL!M67</f>
        <v>0.3</v>
      </c>
      <c r="F68" s="2084">
        <f>OP1_TEL!G67</f>
        <v>50</v>
      </c>
      <c r="G68" s="1175">
        <f>OP1_TEL!N67</f>
        <v>15</v>
      </c>
      <c r="H68" s="1173">
        <f>OP1_TEL!O67</f>
        <v>0.81428571428571428</v>
      </c>
      <c r="I68" s="2080">
        <f t="shared" si="4"/>
        <v>50</v>
      </c>
      <c r="J68" s="1175">
        <f>OP1_TEL!P67</f>
        <v>41</v>
      </c>
      <c r="K68" s="1173">
        <f>OP1_TEL!Y67</f>
        <v>1.5</v>
      </c>
      <c r="L68" s="2084">
        <f t="shared" si="3"/>
        <v>50</v>
      </c>
      <c r="M68" s="1175">
        <f>OP1_TEL!Z67</f>
        <v>75</v>
      </c>
      <c r="N68" s="1309">
        <f t="shared" si="5"/>
        <v>131</v>
      </c>
      <c r="O68" s="1208"/>
      <c r="P68" s="1123"/>
    </row>
    <row r="69" spans="2:16" s="1128" customFormat="1" ht="21.9" customHeight="1" x14ac:dyDescent="0.25">
      <c r="B69" s="1216">
        <v>4.1100000000000003</v>
      </c>
      <c r="C69" s="1199" t="s">
        <v>1583</v>
      </c>
      <c r="D69" s="1172" t="s">
        <v>1147</v>
      </c>
      <c r="E69" s="1173">
        <f>OP1_TEL!M68</f>
        <v>2.4</v>
      </c>
      <c r="F69" s="2084">
        <f>OP1_TEL!G68</f>
        <v>0</v>
      </c>
      <c r="G69" s="1175">
        <f>OP1_TEL!N68</f>
        <v>0</v>
      </c>
      <c r="H69" s="1173">
        <f>OP1_TEL!O68</f>
        <v>2.9142857142857146</v>
      </c>
      <c r="I69" s="2084">
        <f>OP1_TEL!J68</f>
        <v>0</v>
      </c>
      <c r="J69" s="1175">
        <f>OP1_TEL!P68</f>
        <v>0</v>
      </c>
      <c r="K69" s="1173">
        <f>OP1_TEL!Y68</f>
        <v>3.4</v>
      </c>
      <c r="L69" s="2084">
        <f t="shared" si="3"/>
        <v>0</v>
      </c>
      <c r="M69" s="1175">
        <f>OP1_TEL!Z68</f>
        <v>0</v>
      </c>
      <c r="N69" s="1309">
        <f t="shared" si="5"/>
        <v>0</v>
      </c>
      <c r="O69" s="1208"/>
      <c r="P69" s="1123"/>
    </row>
    <row r="70" spans="2:16" s="1128" customFormat="1" ht="21.9" customHeight="1" x14ac:dyDescent="0.25">
      <c r="B70" s="1170"/>
      <c r="C70" s="1199"/>
      <c r="D70" s="1172"/>
      <c r="E70" s="1173"/>
      <c r="F70" s="2084"/>
      <c r="G70" s="1175"/>
      <c r="H70" s="1173"/>
      <c r="I70" s="2084"/>
      <c r="J70" s="1175"/>
      <c r="K70" s="1173"/>
      <c r="L70" s="2084">
        <f t="shared" si="3"/>
        <v>0</v>
      </c>
      <c r="M70" s="1175"/>
      <c r="N70" s="1309">
        <f t="shared" si="5"/>
        <v>0</v>
      </c>
      <c r="O70" s="1215"/>
      <c r="P70" s="1123"/>
    </row>
    <row r="71" spans="2:16" s="1139" customFormat="1" ht="21.9" customHeight="1" x14ac:dyDescent="0.25">
      <c r="B71" s="1157">
        <v>5</v>
      </c>
      <c r="C71" s="1166" t="s">
        <v>1159</v>
      </c>
      <c r="D71" s="1159"/>
      <c r="E71" s="1200"/>
      <c r="F71" s="2088"/>
      <c r="G71" s="1202"/>
      <c r="H71" s="1200"/>
      <c r="I71" s="2088"/>
      <c r="J71" s="1202"/>
      <c r="K71" s="1200"/>
      <c r="L71" s="2088">
        <f t="shared" si="3"/>
        <v>0</v>
      </c>
      <c r="M71" s="1202"/>
      <c r="N71" s="1309">
        <f t="shared" si="5"/>
        <v>0</v>
      </c>
      <c r="O71" s="1165"/>
      <c r="P71" s="1138"/>
    </row>
    <row r="72" spans="2:16" s="1128" customFormat="1" ht="21.9" customHeight="1" x14ac:dyDescent="0.25">
      <c r="B72" s="1170">
        <v>5.0999999999999996</v>
      </c>
      <c r="C72" s="1199" t="s">
        <v>1159</v>
      </c>
      <c r="D72" s="1172" t="s">
        <v>1124</v>
      </c>
      <c r="E72" s="1200" t="s">
        <v>1566</v>
      </c>
      <c r="F72" s="2084">
        <f>OP1_TEL!G70+OP1_TEL!G71</f>
        <v>2</v>
      </c>
      <c r="G72" s="1175">
        <f>OP1_TEL!N70+OP1_TEL!N71</f>
        <v>480</v>
      </c>
      <c r="H72" s="1200" t="s">
        <v>1566</v>
      </c>
      <c r="I72" s="2080">
        <f t="shared" ref="I72:I76" si="6">F72</f>
        <v>2</v>
      </c>
      <c r="J72" s="1175">
        <f>OP1_TEL!P70+OP1_TEL!P71</f>
        <v>582</v>
      </c>
      <c r="K72" s="1200" t="s">
        <v>1566</v>
      </c>
      <c r="L72" s="2084">
        <f t="shared" si="3"/>
        <v>2</v>
      </c>
      <c r="M72" s="1175">
        <f>OP1_TEL!Z70+OP1_TEL!Z71</f>
        <v>674</v>
      </c>
      <c r="N72" s="1309">
        <f t="shared" si="5"/>
        <v>1736</v>
      </c>
      <c r="O72" s="1215"/>
      <c r="P72" s="1123"/>
    </row>
    <row r="73" spans="2:16" s="1128" customFormat="1" ht="21.9" customHeight="1" x14ac:dyDescent="0.25">
      <c r="B73" s="1170"/>
      <c r="C73" s="1199"/>
      <c r="D73" s="1172"/>
      <c r="E73" s="1173"/>
      <c r="F73" s="2084"/>
      <c r="G73" s="1175"/>
      <c r="H73" s="1173"/>
      <c r="I73" s="2080">
        <f t="shared" si="6"/>
        <v>0</v>
      </c>
      <c r="J73" s="1175"/>
      <c r="K73" s="1173"/>
      <c r="L73" s="2084">
        <f t="shared" si="3"/>
        <v>0</v>
      </c>
      <c r="M73" s="1175"/>
      <c r="N73" s="1309">
        <f t="shared" si="5"/>
        <v>0</v>
      </c>
      <c r="O73" s="1215"/>
      <c r="P73" s="1123"/>
    </row>
    <row r="74" spans="2:16" s="1128" customFormat="1" ht="21.9" customHeight="1" x14ac:dyDescent="0.25">
      <c r="B74" s="1157">
        <v>6</v>
      </c>
      <c r="C74" s="1166" t="s">
        <v>1160</v>
      </c>
      <c r="D74" s="1172"/>
      <c r="E74" s="1173"/>
      <c r="F74" s="2084"/>
      <c r="G74" s="1175"/>
      <c r="H74" s="1173"/>
      <c r="I74" s="2080">
        <f t="shared" si="6"/>
        <v>0</v>
      </c>
      <c r="J74" s="1175"/>
      <c r="K74" s="1173"/>
      <c r="L74" s="2084">
        <f t="shared" si="3"/>
        <v>0</v>
      </c>
      <c r="M74" s="1175"/>
      <c r="N74" s="1309">
        <f t="shared" si="5"/>
        <v>0</v>
      </c>
      <c r="O74" s="1178"/>
      <c r="P74" s="1123"/>
    </row>
    <row r="75" spans="2:16" s="1139" customFormat="1" ht="21.9" customHeight="1" x14ac:dyDescent="0.25">
      <c r="B75" s="1219">
        <v>6.1</v>
      </c>
      <c r="C75" s="1187" t="s">
        <v>1169</v>
      </c>
      <c r="D75" s="1159"/>
      <c r="E75" s="1200"/>
      <c r="F75" s="2088"/>
      <c r="G75" s="1202"/>
      <c r="H75" s="1200"/>
      <c r="I75" s="2080">
        <f t="shared" si="6"/>
        <v>0</v>
      </c>
      <c r="J75" s="1202"/>
      <c r="K75" s="1200"/>
      <c r="L75" s="2088">
        <f t="shared" si="3"/>
        <v>0</v>
      </c>
      <c r="M75" s="1202"/>
      <c r="N75" s="1309">
        <f t="shared" si="5"/>
        <v>0</v>
      </c>
      <c r="O75" s="1165"/>
      <c r="P75" s="1138"/>
    </row>
    <row r="76" spans="2:16" s="1128" customFormat="1" ht="21.9" customHeight="1" x14ac:dyDescent="0.25">
      <c r="B76" s="1170" t="s">
        <v>1584</v>
      </c>
      <c r="C76" s="1209" t="s">
        <v>1171</v>
      </c>
      <c r="D76" s="1172" t="s">
        <v>97</v>
      </c>
      <c r="E76" s="1173">
        <f>OP1_TEL!M73</f>
        <v>162</v>
      </c>
      <c r="F76" s="2084">
        <f>OP1_TEL!G73</f>
        <v>1</v>
      </c>
      <c r="G76" s="1175">
        <f>OP1_TEL!N73</f>
        <v>162</v>
      </c>
      <c r="H76" s="1173">
        <f>OP1_TEL!O73</f>
        <v>250.71428571428572</v>
      </c>
      <c r="I76" s="2080">
        <f t="shared" si="6"/>
        <v>1</v>
      </c>
      <c r="J76" s="1175">
        <f>OP1_TEL!P73</f>
        <v>251</v>
      </c>
      <c r="K76" s="1222">
        <f>OP1_TEL!Y73</f>
        <v>354</v>
      </c>
      <c r="L76" s="2088">
        <f t="shared" si="3"/>
        <v>1</v>
      </c>
      <c r="M76" s="1202">
        <f>OP1_TEL!Z73</f>
        <v>354</v>
      </c>
      <c r="N76" s="1309">
        <f t="shared" si="5"/>
        <v>767</v>
      </c>
      <c r="O76" s="1165"/>
      <c r="P76" s="1123"/>
    </row>
    <row r="77" spans="2:16" s="1128" customFormat="1" ht="21.9" customHeight="1" x14ac:dyDescent="0.25">
      <c r="B77" s="1170" t="s">
        <v>1585</v>
      </c>
      <c r="C77" s="1221" t="s">
        <v>767</v>
      </c>
      <c r="D77" s="1172" t="s">
        <v>147</v>
      </c>
      <c r="E77" s="1173"/>
      <c r="F77" s="2084"/>
      <c r="G77" s="1175"/>
      <c r="H77" s="2115">
        <f>OP1_TEL!O74</f>
        <v>191.4</v>
      </c>
      <c r="I77" s="2116">
        <f>OP1_TEL!G74</f>
        <v>0</v>
      </c>
      <c r="J77" s="2097">
        <f>OP1_TEL!P74</f>
        <v>0</v>
      </c>
      <c r="K77" s="1222">
        <f>OP1_TEL!Y74</f>
        <v>447</v>
      </c>
      <c r="L77" s="2088">
        <f>OP1_TEL!G74</f>
        <v>0</v>
      </c>
      <c r="M77" s="1202">
        <f>OP1_TEL!Z74</f>
        <v>0</v>
      </c>
      <c r="N77" s="1309">
        <f t="shared" si="5"/>
        <v>0</v>
      </c>
      <c r="O77" s="1165"/>
      <c r="P77" s="1123"/>
    </row>
    <row r="78" spans="2:16" s="1128" customFormat="1" ht="21.9" customHeight="1" x14ac:dyDescent="0.25">
      <c r="B78" s="1219">
        <v>6.2</v>
      </c>
      <c r="C78" s="1187" t="s">
        <v>1221</v>
      </c>
      <c r="D78" s="1172" t="s">
        <v>1124</v>
      </c>
      <c r="E78" s="1173" t="s">
        <v>1566</v>
      </c>
      <c r="F78" s="2084">
        <f>OP1_TEL!G76+OP1_TEL!G77</f>
        <v>0</v>
      </c>
      <c r="G78" s="1175">
        <f>OP1_TEL!N76+OP1_TEL!N76</f>
        <v>0</v>
      </c>
      <c r="H78" s="1173" t="s">
        <v>1566</v>
      </c>
      <c r="I78" s="2080">
        <f>OP1_TEL!G76+OP1_TEL!G77</f>
        <v>0</v>
      </c>
      <c r="J78" s="1175">
        <f>OP1_TEL!P76+OP1_TEL!P77</f>
        <v>0</v>
      </c>
      <c r="K78" s="1200" t="s">
        <v>1566</v>
      </c>
      <c r="L78" s="2088">
        <f>OP1_TEL!G76+OP1_TEL!G77</f>
        <v>0</v>
      </c>
      <c r="M78" s="1202">
        <f>OP1_TEL!Z76+OP1_TEL!Z77</f>
        <v>0</v>
      </c>
      <c r="N78" s="1309">
        <f t="shared" si="5"/>
        <v>0</v>
      </c>
      <c r="O78" s="1165"/>
      <c r="P78" s="1123"/>
    </row>
    <row r="79" spans="2:16" s="1128" customFormat="1" ht="21.9" customHeight="1" x14ac:dyDescent="0.25">
      <c r="B79" s="1170"/>
      <c r="C79" s="1221"/>
      <c r="D79" s="1172"/>
      <c r="E79" s="1173"/>
      <c r="F79" s="2084"/>
      <c r="G79" s="1175"/>
      <c r="H79" s="1173"/>
      <c r="I79" s="2080"/>
      <c r="J79" s="1175"/>
      <c r="K79" s="1200"/>
      <c r="L79" s="2088"/>
      <c r="M79" s="1202"/>
      <c r="N79" s="1318"/>
      <c r="O79" s="1215"/>
      <c r="P79" s="1123"/>
    </row>
    <row r="80" spans="2:16" s="1128" customFormat="1" ht="21.9" customHeight="1" x14ac:dyDescent="0.25">
      <c r="B80" s="1157">
        <v>7</v>
      </c>
      <c r="C80" s="1166" t="s">
        <v>1222</v>
      </c>
      <c r="D80" s="1172"/>
      <c r="E80" s="1173"/>
      <c r="F80" s="2084"/>
      <c r="G80" s="1175"/>
      <c r="H80" s="1173"/>
      <c r="I80" s="1188"/>
      <c r="J80" s="1307"/>
      <c r="K80" s="1173"/>
      <c r="L80" s="1174"/>
      <c r="M80" s="1308"/>
      <c r="N80" s="1309"/>
      <c r="O80" s="1215"/>
      <c r="P80" s="1123"/>
    </row>
    <row r="81" spans="2:16" s="1128" customFormat="1" ht="21.9" customHeight="1" x14ac:dyDescent="0.25">
      <c r="B81" s="1219">
        <v>7.1</v>
      </c>
      <c r="C81" s="1187" t="s">
        <v>1223</v>
      </c>
      <c r="D81" s="1172" t="s">
        <v>1174</v>
      </c>
      <c r="E81" s="1173">
        <f>OP1_TEL!M83</f>
        <v>161</v>
      </c>
      <c r="F81" s="2084">
        <f>OP1_TEL!G83</f>
        <v>6</v>
      </c>
      <c r="G81" s="1175">
        <f>OP1_TEL!N83</f>
        <v>966</v>
      </c>
      <c r="H81" s="1173"/>
      <c r="I81" s="1188"/>
      <c r="J81" s="1307"/>
      <c r="K81" s="1173"/>
      <c r="L81" s="1174"/>
      <c r="M81" s="1308"/>
      <c r="N81" s="1309">
        <f>G81+J81+M81</f>
        <v>966</v>
      </c>
      <c r="O81" s="1215"/>
      <c r="P81" s="1123"/>
    </row>
    <row r="82" spans="2:16" s="1123" customFormat="1" ht="21.9" customHeight="1" x14ac:dyDescent="0.25">
      <c r="B82" s="1186"/>
      <c r="C82" s="1187"/>
      <c r="D82" s="1172"/>
      <c r="E82" s="1173"/>
      <c r="F82" s="2084"/>
      <c r="G82" s="1175"/>
      <c r="H82" s="1173"/>
      <c r="I82" s="2084"/>
      <c r="J82" s="1175"/>
      <c r="K82" s="1173"/>
      <c r="L82" s="2084">
        <f t="shared" ref="L82:L121" si="7">F82</f>
        <v>0</v>
      </c>
      <c r="M82" s="1175"/>
      <c r="N82" s="1189"/>
      <c r="O82" s="1178"/>
    </row>
    <row r="83" spans="2:16" s="1139" customFormat="1" ht="21.9" customHeight="1" thickBot="1" x14ac:dyDescent="0.3">
      <c r="B83" s="1190" t="s">
        <v>1175</v>
      </c>
      <c r="C83" s="1191"/>
      <c r="D83" s="1192"/>
      <c r="E83" s="1236"/>
      <c r="F83" s="2095"/>
      <c r="G83" s="1195">
        <f>SUM(G28:G82)</f>
        <v>6002</v>
      </c>
      <c r="H83" s="1236"/>
      <c r="I83" s="2095"/>
      <c r="J83" s="1195">
        <f>SUM(J28:J82)</f>
        <v>5427</v>
      </c>
      <c r="K83" s="1236"/>
      <c r="L83" s="2095">
        <f t="shared" si="7"/>
        <v>0</v>
      </c>
      <c r="M83" s="1195">
        <f>SUM(M28:M82)</f>
        <v>5472</v>
      </c>
      <c r="N83" s="1195">
        <f>SUM(N28:N82)</f>
        <v>16901</v>
      </c>
      <c r="O83" s="1198"/>
      <c r="P83" s="1138"/>
    </row>
    <row r="84" spans="2:16" s="1139" customFormat="1" ht="21.9" customHeight="1" x14ac:dyDescent="0.25">
      <c r="B84" s="1170"/>
      <c r="C84" s="1199"/>
      <c r="D84" s="1172"/>
      <c r="E84" s="1173"/>
      <c r="F84" s="2084"/>
      <c r="G84" s="1175"/>
      <c r="H84" s="1173"/>
      <c r="I84" s="2084"/>
      <c r="J84" s="1175"/>
      <c r="K84" s="1173"/>
      <c r="L84" s="2084">
        <f t="shared" si="7"/>
        <v>0</v>
      </c>
      <c r="M84" s="1175"/>
      <c r="N84" s="1177"/>
      <c r="O84" s="1178"/>
      <c r="P84" s="1138"/>
    </row>
    <row r="85" spans="2:16" s="1128" customFormat="1" ht="21.9" customHeight="1" x14ac:dyDescent="0.25">
      <c r="B85" s="1157" t="s">
        <v>1176</v>
      </c>
      <c r="C85" s="1158" t="s">
        <v>1177</v>
      </c>
      <c r="D85" s="1172"/>
      <c r="E85" s="1173"/>
      <c r="F85" s="2084"/>
      <c r="G85" s="1175"/>
      <c r="H85" s="1173"/>
      <c r="I85" s="2084"/>
      <c r="J85" s="1175"/>
      <c r="K85" s="1173"/>
      <c r="L85" s="2084">
        <f t="shared" si="7"/>
        <v>0</v>
      </c>
      <c r="M85" s="1175"/>
      <c r="N85" s="1207"/>
      <c r="O85" s="1178"/>
      <c r="P85" s="1123"/>
    </row>
    <row r="86" spans="2:16" s="1138" customFormat="1" ht="21.9" customHeight="1" x14ac:dyDescent="0.25">
      <c r="B86" s="1157">
        <v>1</v>
      </c>
      <c r="C86" s="1166" t="s">
        <v>1182</v>
      </c>
      <c r="D86" s="1159"/>
      <c r="E86" s="1200"/>
      <c r="F86" s="2088"/>
      <c r="G86" s="1202"/>
      <c r="H86" s="1200"/>
      <c r="I86" s="2088"/>
      <c r="J86" s="1202"/>
      <c r="K86" s="1200"/>
      <c r="L86" s="2088">
        <f t="shared" si="7"/>
        <v>0</v>
      </c>
      <c r="M86" s="1202"/>
      <c r="N86" s="1205"/>
      <c r="O86" s="1165"/>
    </row>
    <row r="87" spans="2:16" s="1123" customFormat="1" ht="21.9" customHeight="1" x14ac:dyDescent="0.25">
      <c r="B87" s="1170">
        <v>1.1000000000000001</v>
      </c>
      <c r="C87" s="1199" t="s">
        <v>347</v>
      </c>
      <c r="D87" s="1172"/>
      <c r="E87" s="1173"/>
      <c r="F87" s="2084"/>
      <c r="G87" s="1175"/>
      <c r="H87" s="1173"/>
      <c r="I87" s="2084"/>
      <c r="J87" s="1175"/>
      <c r="K87" s="1173"/>
      <c r="L87" s="2084">
        <f t="shared" si="7"/>
        <v>0</v>
      </c>
      <c r="M87" s="1175"/>
      <c r="N87" s="1177"/>
      <c r="O87" s="1178"/>
    </row>
    <row r="88" spans="2:16" s="1123" customFormat="1" ht="21.9" customHeight="1" x14ac:dyDescent="0.25">
      <c r="B88" s="1170"/>
      <c r="C88" s="1206" t="s">
        <v>1562</v>
      </c>
      <c r="D88" s="1172" t="s">
        <v>1134</v>
      </c>
      <c r="E88" s="1222">
        <f>OP1_TEL!M86</f>
        <v>120</v>
      </c>
      <c r="F88" s="2084">
        <f>OP1_TEL!G86</f>
        <v>1</v>
      </c>
      <c r="G88" s="1175">
        <f>OP1_TEL!N86</f>
        <v>120</v>
      </c>
      <c r="H88" s="1222">
        <f>OP1_TEL!O86</f>
        <v>88.114285714285728</v>
      </c>
      <c r="I88" s="2080">
        <f t="shared" ref="I88:I115" si="8">F88</f>
        <v>1</v>
      </c>
      <c r="J88" s="1175">
        <f>OP1_TEL!P86</f>
        <v>88</v>
      </c>
      <c r="K88" s="1222">
        <f>OP1_TEL!Y86</f>
        <v>34</v>
      </c>
      <c r="L88" s="2084">
        <f t="shared" si="7"/>
        <v>1</v>
      </c>
      <c r="M88" s="1175">
        <f>OP1_TEL!Z86</f>
        <v>34</v>
      </c>
      <c r="N88" s="1309">
        <f t="shared" ref="N88:N113" si="9">G88+J88+M88</f>
        <v>242</v>
      </c>
      <c r="O88" s="1178"/>
    </row>
    <row r="89" spans="2:16" s="1123" customFormat="1" ht="21.9" customHeight="1" x14ac:dyDescent="0.25">
      <c r="B89" s="1170"/>
      <c r="C89" s="1221" t="s">
        <v>1574</v>
      </c>
      <c r="D89" s="1172" t="s">
        <v>1134</v>
      </c>
      <c r="E89" s="1222">
        <f>OP1_TEL!M87</f>
        <v>180</v>
      </c>
      <c r="F89" s="2084">
        <f>OP1_TEL!G87</f>
        <v>0</v>
      </c>
      <c r="G89" s="1175">
        <f>OP1_TEL!N87</f>
        <v>0</v>
      </c>
      <c r="H89" s="1222">
        <f>OP1_TEL!O87</f>
        <v>130.97142857142859</v>
      </c>
      <c r="I89" s="2080">
        <f t="shared" si="8"/>
        <v>0</v>
      </c>
      <c r="J89" s="1175">
        <f>OP1_TEL!P87</f>
        <v>0</v>
      </c>
      <c r="K89" s="1222">
        <f>OP1_TEL!Y87</f>
        <v>48</v>
      </c>
      <c r="L89" s="2084">
        <f t="shared" si="7"/>
        <v>0</v>
      </c>
      <c r="M89" s="1175">
        <f>OP1_TEL!Z87</f>
        <v>0</v>
      </c>
      <c r="N89" s="1309">
        <f t="shared" si="9"/>
        <v>0</v>
      </c>
      <c r="O89" s="1178"/>
    </row>
    <row r="90" spans="2:16" s="1123" customFormat="1" ht="21.9" customHeight="1" x14ac:dyDescent="0.25">
      <c r="B90" s="1170"/>
      <c r="C90" s="1206" t="s">
        <v>1565</v>
      </c>
      <c r="D90" s="1172" t="s">
        <v>1134</v>
      </c>
      <c r="E90" s="1222">
        <f>OP1_TEL!M88</f>
        <v>120</v>
      </c>
      <c r="F90" s="2084">
        <f>OP1_TEL!G88</f>
        <v>1</v>
      </c>
      <c r="G90" s="1175">
        <f>OP1_TEL!N88</f>
        <v>120</v>
      </c>
      <c r="H90" s="1222">
        <f>OP1_TEL!O88</f>
        <v>88.114285714285728</v>
      </c>
      <c r="I90" s="2080">
        <f t="shared" si="8"/>
        <v>1</v>
      </c>
      <c r="J90" s="1175">
        <f>OP1_TEL!P88</f>
        <v>88</v>
      </c>
      <c r="K90" s="1222">
        <f>OP1_TEL!Y88</f>
        <v>34</v>
      </c>
      <c r="L90" s="2084">
        <f t="shared" si="7"/>
        <v>1</v>
      </c>
      <c r="M90" s="1175">
        <f>OP1_TEL!Z88</f>
        <v>34</v>
      </c>
      <c r="N90" s="1309">
        <f t="shared" si="9"/>
        <v>242</v>
      </c>
      <c r="O90" s="1178"/>
    </row>
    <row r="91" spans="2:16" s="1123" customFormat="1" ht="21.9" customHeight="1" x14ac:dyDescent="0.25">
      <c r="B91" s="1170"/>
      <c r="C91" s="1206" t="s">
        <v>1571</v>
      </c>
      <c r="D91" s="1172" t="s">
        <v>1134</v>
      </c>
      <c r="E91" s="1222">
        <f>OP1_TEL!M89</f>
        <v>36</v>
      </c>
      <c r="F91" s="2084">
        <f>OP1_TEL!G89</f>
        <v>0</v>
      </c>
      <c r="G91" s="1175">
        <f>OP1_TEL!N89</f>
        <v>0</v>
      </c>
      <c r="H91" s="1222">
        <f>OP1_TEL!O89</f>
        <v>28.114285714285714</v>
      </c>
      <c r="I91" s="2080">
        <f t="shared" si="8"/>
        <v>0</v>
      </c>
      <c r="J91" s="1175">
        <f>OP1_TEL!P89</f>
        <v>0</v>
      </c>
      <c r="K91" s="1222">
        <f>OP1_TEL!Y89</f>
        <v>14</v>
      </c>
      <c r="L91" s="2084">
        <f t="shared" si="7"/>
        <v>0</v>
      </c>
      <c r="M91" s="1175">
        <f>OP1_TEL!Z89</f>
        <v>0</v>
      </c>
      <c r="N91" s="1309">
        <f t="shared" si="9"/>
        <v>0</v>
      </c>
      <c r="O91" s="1178"/>
    </row>
    <row r="92" spans="2:16" s="1123" customFormat="1" ht="21.9" customHeight="1" x14ac:dyDescent="0.25">
      <c r="B92" s="1170"/>
      <c r="C92" s="1206" t="s">
        <v>1572</v>
      </c>
      <c r="D92" s="1172" t="s">
        <v>1134</v>
      </c>
      <c r="E92" s="1222">
        <f>OP1_TEL!M90</f>
        <v>36</v>
      </c>
      <c r="F92" s="2084">
        <f>OP1_TEL!G90</f>
        <v>0</v>
      </c>
      <c r="G92" s="1175">
        <f>OP1_TEL!N90</f>
        <v>0</v>
      </c>
      <c r="H92" s="1222">
        <f>OP1_TEL!O90</f>
        <v>28.114285714285714</v>
      </c>
      <c r="I92" s="2080">
        <f t="shared" si="8"/>
        <v>0</v>
      </c>
      <c r="J92" s="1175">
        <f>OP1_TEL!P90</f>
        <v>0</v>
      </c>
      <c r="K92" s="1222">
        <f>OP1_TEL!Y90</f>
        <v>14</v>
      </c>
      <c r="L92" s="2084">
        <f t="shared" si="7"/>
        <v>0</v>
      </c>
      <c r="M92" s="1175">
        <f>OP1_TEL!Z90</f>
        <v>0</v>
      </c>
      <c r="N92" s="1309">
        <f t="shared" si="9"/>
        <v>0</v>
      </c>
      <c r="O92" s="1178"/>
    </row>
    <row r="93" spans="2:16" s="1123" customFormat="1" ht="21.9" customHeight="1" x14ac:dyDescent="0.25">
      <c r="B93" s="1170"/>
      <c r="C93" s="1206"/>
      <c r="D93" s="1172"/>
      <c r="E93" s="1173"/>
      <c r="F93" s="2084"/>
      <c r="G93" s="1175"/>
      <c r="H93" s="1173"/>
      <c r="I93" s="2080">
        <f t="shared" si="8"/>
        <v>0</v>
      </c>
      <c r="J93" s="1175"/>
      <c r="K93" s="1173"/>
      <c r="L93" s="2084">
        <f t="shared" si="7"/>
        <v>0</v>
      </c>
      <c r="M93" s="1175"/>
      <c r="N93" s="1309">
        <f t="shared" si="9"/>
        <v>0</v>
      </c>
      <c r="O93" s="1178"/>
    </row>
    <row r="94" spans="2:16" s="1123" customFormat="1" ht="21.9" customHeight="1" x14ac:dyDescent="0.25">
      <c r="B94" s="1157">
        <v>2</v>
      </c>
      <c r="C94" s="1166" t="s">
        <v>1183</v>
      </c>
      <c r="D94" s="1172"/>
      <c r="E94" s="1173"/>
      <c r="F94" s="2084"/>
      <c r="G94" s="1175"/>
      <c r="H94" s="1173"/>
      <c r="I94" s="2080">
        <f t="shared" si="8"/>
        <v>0</v>
      </c>
      <c r="J94" s="1175"/>
      <c r="K94" s="1173"/>
      <c r="L94" s="2084">
        <f t="shared" si="7"/>
        <v>0</v>
      </c>
      <c r="M94" s="1175"/>
      <c r="N94" s="1309">
        <f t="shared" si="9"/>
        <v>0</v>
      </c>
      <c r="O94" s="1178"/>
    </row>
    <row r="95" spans="2:16" s="1123" customFormat="1" ht="21.9" customHeight="1" x14ac:dyDescent="0.25">
      <c r="B95" s="1170">
        <v>2.1</v>
      </c>
      <c r="C95" s="1199" t="s">
        <v>355</v>
      </c>
      <c r="D95" s="1172"/>
      <c r="E95" s="1173"/>
      <c r="F95" s="2088"/>
      <c r="G95" s="1175"/>
      <c r="H95" s="1173"/>
      <c r="I95" s="2080">
        <f t="shared" si="8"/>
        <v>0</v>
      </c>
      <c r="J95" s="1175"/>
      <c r="K95" s="1173"/>
      <c r="L95" s="2088">
        <f t="shared" si="7"/>
        <v>0</v>
      </c>
      <c r="M95" s="1175"/>
      <c r="N95" s="1309">
        <f t="shared" si="9"/>
        <v>0</v>
      </c>
      <c r="O95" s="1178"/>
    </row>
    <row r="96" spans="2:16" s="1123" customFormat="1" ht="21.9" customHeight="1" x14ac:dyDescent="0.25">
      <c r="B96" s="1170"/>
      <c r="C96" s="1206" t="s">
        <v>1562</v>
      </c>
      <c r="D96" s="1172" t="s">
        <v>1134</v>
      </c>
      <c r="E96" s="1222">
        <f>OP1_TEL!M92</f>
        <v>300</v>
      </c>
      <c r="F96" s="2084">
        <f>OP1_TEL!G92</f>
        <v>0</v>
      </c>
      <c r="G96" s="1175">
        <f>OP1_TEL!N92</f>
        <v>0</v>
      </c>
      <c r="H96" s="1222">
        <f>OP1_TEL!O92</f>
        <v>216.68571428571431</v>
      </c>
      <c r="I96" s="2080">
        <f t="shared" si="8"/>
        <v>0</v>
      </c>
      <c r="J96" s="1175">
        <f>OP1_TEL!P92</f>
        <v>0</v>
      </c>
      <c r="K96" s="1222">
        <f>OP1_TEL!Y92</f>
        <v>77</v>
      </c>
      <c r="L96" s="2084">
        <f t="shared" si="7"/>
        <v>0</v>
      </c>
      <c r="M96" s="1175">
        <f>OP1_TEL!Z92</f>
        <v>0</v>
      </c>
      <c r="N96" s="1309">
        <f t="shared" si="9"/>
        <v>0</v>
      </c>
      <c r="O96" s="1178"/>
    </row>
    <row r="97" spans="2:16" s="1123" customFormat="1" ht="21.9" customHeight="1" x14ac:dyDescent="0.25">
      <c r="B97" s="1170"/>
      <c r="C97" s="1221" t="s">
        <v>1574</v>
      </c>
      <c r="D97" s="1172" t="s">
        <v>1134</v>
      </c>
      <c r="E97" s="1222">
        <f>OP1_TEL!M93</f>
        <v>180</v>
      </c>
      <c r="F97" s="2084">
        <f>OP1_TEL!G93</f>
        <v>0</v>
      </c>
      <c r="G97" s="1175">
        <f>OP1_TEL!N93</f>
        <v>0</v>
      </c>
      <c r="H97" s="1222">
        <f>OP1_TEL!O93</f>
        <v>130.97142857142859</v>
      </c>
      <c r="I97" s="2080">
        <f t="shared" si="8"/>
        <v>0</v>
      </c>
      <c r="J97" s="1175">
        <f>OP1_TEL!P93</f>
        <v>0</v>
      </c>
      <c r="K97" s="1222">
        <f>OP1_TEL!Y93</f>
        <v>48</v>
      </c>
      <c r="L97" s="2084">
        <f t="shared" si="7"/>
        <v>0</v>
      </c>
      <c r="M97" s="1175">
        <f>OP1_TEL!Z93</f>
        <v>0</v>
      </c>
      <c r="N97" s="1309">
        <f t="shared" si="9"/>
        <v>0</v>
      </c>
      <c r="O97" s="1178"/>
    </row>
    <row r="98" spans="2:16" s="1123" customFormat="1" ht="21.9" customHeight="1" x14ac:dyDescent="0.25">
      <c r="B98" s="1170"/>
      <c r="C98" s="1206" t="s">
        <v>1565</v>
      </c>
      <c r="D98" s="1172" t="s">
        <v>1134</v>
      </c>
      <c r="E98" s="1222">
        <f>OP1_TEL!M94</f>
        <v>300</v>
      </c>
      <c r="F98" s="2084">
        <f>OP1_TEL!G94</f>
        <v>0</v>
      </c>
      <c r="G98" s="1175">
        <f>OP1_TEL!N94</f>
        <v>0</v>
      </c>
      <c r="H98" s="1222">
        <f>OP1_TEL!O94</f>
        <v>216.68571428571431</v>
      </c>
      <c r="I98" s="2080">
        <f t="shared" si="8"/>
        <v>0</v>
      </c>
      <c r="J98" s="1175">
        <f>OP1_TEL!P94</f>
        <v>0</v>
      </c>
      <c r="K98" s="1222">
        <f>OP1_TEL!Y94</f>
        <v>77</v>
      </c>
      <c r="L98" s="2084">
        <f t="shared" si="7"/>
        <v>0</v>
      </c>
      <c r="M98" s="1175">
        <f>OP1_TEL!Z94</f>
        <v>0</v>
      </c>
      <c r="N98" s="1309">
        <f t="shared" si="9"/>
        <v>0</v>
      </c>
      <c r="O98" s="1178"/>
    </row>
    <row r="99" spans="2:16" s="1123" customFormat="1" ht="21.9" customHeight="1" x14ac:dyDescent="0.25">
      <c r="B99" s="1170"/>
      <c r="C99" s="1206" t="s">
        <v>1571</v>
      </c>
      <c r="D99" s="1172" t="s">
        <v>1134</v>
      </c>
      <c r="E99" s="1222">
        <f>OP1_TEL!M95</f>
        <v>54</v>
      </c>
      <c r="F99" s="2084">
        <f>OP1_TEL!G95</f>
        <v>0</v>
      </c>
      <c r="G99" s="1175">
        <f>OP1_TEL!N95</f>
        <v>0</v>
      </c>
      <c r="H99" s="1222">
        <f>OP1_TEL!O95</f>
        <v>40.971428571428575</v>
      </c>
      <c r="I99" s="2080">
        <f t="shared" si="8"/>
        <v>0</v>
      </c>
      <c r="J99" s="1175">
        <f>OP1_TEL!P95</f>
        <v>0</v>
      </c>
      <c r="K99" s="1222">
        <f>OP1_TEL!Y95</f>
        <v>18</v>
      </c>
      <c r="L99" s="2084">
        <f t="shared" si="7"/>
        <v>0</v>
      </c>
      <c r="M99" s="1175">
        <f>OP1_TEL!Z95</f>
        <v>0</v>
      </c>
      <c r="N99" s="1309">
        <f t="shared" si="9"/>
        <v>0</v>
      </c>
      <c r="O99" s="1178"/>
    </row>
    <row r="100" spans="2:16" s="1123" customFormat="1" ht="21.9" customHeight="1" x14ac:dyDescent="0.25">
      <c r="B100" s="1170"/>
      <c r="C100" s="1206" t="s">
        <v>1572</v>
      </c>
      <c r="D100" s="1172" t="s">
        <v>1134</v>
      </c>
      <c r="E100" s="1222">
        <f>OP1_TEL!M96</f>
        <v>54</v>
      </c>
      <c r="F100" s="2084">
        <f>OP1_TEL!G96</f>
        <v>0</v>
      </c>
      <c r="G100" s="1175">
        <f>OP1_TEL!N96</f>
        <v>0</v>
      </c>
      <c r="H100" s="1222">
        <f>OP1_TEL!O96</f>
        <v>40.971428571428575</v>
      </c>
      <c r="I100" s="2080">
        <f t="shared" si="8"/>
        <v>0</v>
      </c>
      <c r="J100" s="1175">
        <f>OP1_TEL!P96</f>
        <v>0</v>
      </c>
      <c r="K100" s="1222">
        <f>OP1_TEL!Y96</f>
        <v>18</v>
      </c>
      <c r="L100" s="2084">
        <f t="shared" si="7"/>
        <v>0</v>
      </c>
      <c r="M100" s="1175">
        <f>OP1_TEL!Z96</f>
        <v>0</v>
      </c>
      <c r="N100" s="1309">
        <f t="shared" si="9"/>
        <v>0</v>
      </c>
      <c r="O100" s="1178"/>
    </row>
    <row r="101" spans="2:16" s="1128" customFormat="1" ht="21.9" customHeight="1" x14ac:dyDescent="0.25">
      <c r="B101" s="1170"/>
      <c r="C101" s="1199"/>
      <c r="D101" s="1172"/>
      <c r="E101" s="1173"/>
      <c r="F101" s="2084"/>
      <c r="G101" s="1175"/>
      <c r="H101" s="1173"/>
      <c r="I101" s="2080">
        <f t="shared" si="8"/>
        <v>0</v>
      </c>
      <c r="J101" s="1175"/>
      <c r="K101" s="1173"/>
      <c r="L101" s="2084">
        <f t="shared" si="7"/>
        <v>0</v>
      </c>
      <c r="M101" s="1175"/>
      <c r="N101" s="1309">
        <f t="shared" si="9"/>
        <v>0</v>
      </c>
      <c r="O101" s="1178"/>
      <c r="P101" s="1123"/>
    </row>
    <row r="102" spans="2:16" s="1123" customFormat="1" ht="21.9" customHeight="1" x14ac:dyDescent="0.25">
      <c r="B102" s="1157">
        <v>3</v>
      </c>
      <c r="C102" s="1166" t="s">
        <v>1186</v>
      </c>
      <c r="D102" s="1172"/>
      <c r="E102" s="1173"/>
      <c r="F102" s="2084"/>
      <c r="G102" s="1175"/>
      <c r="H102" s="1173"/>
      <c r="I102" s="2080">
        <f t="shared" si="8"/>
        <v>0</v>
      </c>
      <c r="J102" s="1175"/>
      <c r="K102" s="1173"/>
      <c r="L102" s="2084">
        <f t="shared" si="7"/>
        <v>0</v>
      </c>
      <c r="M102" s="1175"/>
      <c r="N102" s="1309">
        <f t="shared" si="9"/>
        <v>0</v>
      </c>
      <c r="O102" s="1178"/>
    </row>
    <row r="103" spans="2:16" s="1123" customFormat="1" ht="21.9" customHeight="1" x14ac:dyDescent="0.25">
      <c r="B103" s="1170">
        <v>3.1</v>
      </c>
      <c r="C103" s="1199" t="s">
        <v>372</v>
      </c>
      <c r="D103" s="1172"/>
      <c r="E103" s="1173"/>
      <c r="F103" s="2088"/>
      <c r="G103" s="1175"/>
      <c r="H103" s="1173"/>
      <c r="I103" s="2080">
        <f t="shared" si="8"/>
        <v>0</v>
      </c>
      <c r="J103" s="1175"/>
      <c r="K103" s="1173"/>
      <c r="L103" s="2088">
        <f t="shared" si="7"/>
        <v>0</v>
      </c>
      <c r="M103" s="1175"/>
      <c r="N103" s="1309">
        <f t="shared" si="9"/>
        <v>0</v>
      </c>
      <c r="O103" s="1178"/>
    </row>
    <row r="104" spans="2:16" s="1123" customFormat="1" ht="21.9" customHeight="1" x14ac:dyDescent="0.25">
      <c r="B104" s="1170"/>
      <c r="C104" s="1206" t="s">
        <v>1562</v>
      </c>
      <c r="D104" s="1172" t="s">
        <v>1134</v>
      </c>
      <c r="E104" s="1222">
        <f>OP1_TEL!M98</f>
        <v>300</v>
      </c>
      <c r="F104" s="2084">
        <f>OP1_TEL!G98</f>
        <v>0</v>
      </c>
      <c r="G104" s="1175">
        <f>OP1_TEL!N98</f>
        <v>0</v>
      </c>
      <c r="H104" s="1222">
        <f>OP1_TEL!O98</f>
        <v>214.28571428571431</v>
      </c>
      <c r="I104" s="2080">
        <f t="shared" si="8"/>
        <v>0</v>
      </c>
      <c r="J104" s="1175">
        <f>OP1_TEL!P98</f>
        <v>0</v>
      </c>
      <c r="K104" s="1222">
        <f>OP1_TEL!Y98</f>
        <v>71</v>
      </c>
      <c r="L104" s="2084">
        <f t="shared" si="7"/>
        <v>0</v>
      </c>
      <c r="M104" s="1175">
        <f>OP1_TEL!Z98</f>
        <v>0</v>
      </c>
      <c r="N104" s="1309">
        <f t="shared" si="9"/>
        <v>0</v>
      </c>
      <c r="O104" s="1178"/>
    </row>
    <row r="105" spans="2:16" s="1123" customFormat="1" ht="21.9" customHeight="1" x14ac:dyDescent="0.25">
      <c r="B105" s="1170"/>
      <c r="C105" s="1221" t="s">
        <v>1574</v>
      </c>
      <c r="D105" s="1172" t="s">
        <v>1134</v>
      </c>
      <c r="E105" s="1222">
        <f>OP1_TEL!M99</f>
        <v>180</v>
      </c>
      <c r="F105" s="2084">
        <f>OP1_TEL!G99</f>
        <v>0</v>
      </c>
      <c r="G105" s="1175">
        <f>OP1_TEL!N99</f>
        <v>0</v>
      </c>
      <c r="H105" s="1222">
        <f>OP1_TEL!O99</f>
        <v>128.57142857142858</v>
      </c>
      <c r="I105" s="2080">
        <f t="shared" si="8"/>
        <v>0</v>
      </c>
      <c r="J105" s="1175">
        <f>OP1_TEL!P99</f>
        <v>0</v>
      </c>
      <c r="K105" s="1222">
        <f>OP1_TEL!Y99</f>
        <v>43</v>
      </c>
      <c r="L105" s="2084">
        <f t="shared" si="7"/>
        <v>0</v>
      </c>
      <c r="M105" s="1175">
        <f>OP1_TEL!Z99</f>
        <v>0</v>
      </c>
      <c r="N105" s="1309">
        <f t="shared" si="9"/>
        <v>0</v>
      </c>
      <c r="O105" s="1178"/>
    </row>
    <row r="106" spans="2:16" s="1123" customFormat="1" ht="21.9" customHeight="1" x14ac:dyDescent="0.25">
      <c r="B106" s="1170"/>
      <c r="C106" s="1206" t="s">
        <v>1565</v>
      </c>
      <c r="D106" s="1172" t="s">
        <v>1134</v>
      </c>
      <c r="E106" s="1222">
        <f>OP1_TEL!M100</f>
        <v>300</v>
      </c>
      <c r="F106" s="2084">
        <f>OP1_TEL!G100</f>
        <v>0</v>
      </c>
      <c r="G106" s="1175">
        <f>OP1_TEL!N100</f>
        <v>0</v>
      </c>
      <c r="H106" s="1222">
        <f>OP1_TEL!O100</f>
        <v>214.28571428571431</v>
      </c>
      <c r="I106" s="2080">
        <f t="shared" si="8"/>
        <v>0</v>
      </c>
      <c r="J106" s="1175">
        <f>OP1_TEL!P100</f>
        <v>0</v>
      </c>
      <c r="K106" s="1222">
        <f>OP1_TEL!Y100</f>
        <v>71</v>
      </c>
      <c r="L106" s="2084">
        <f t="shared" si="7"/>
        <v>0</v>
      </c>
      <c r="M106" s="1175">
        <f>OP1_TEL!Z100</f>
        <v>0</v>
      </c>
      <c r="N106" s="1309">
        <f t="shared" si="9"/>
        <v>0</v>
      </c>
      <c r="O106" s="1178"/>
    </row>
    <row r="107" spans="2:16" s="1123" customFormat="1" ht="21.9" customHeight="1" x14ac:dyDescent="0.25">
      <c r="B107" s="1170"/>
      <c r="C107" s="1206" t="s">
        <v>1571</v>
      </c>
      <c r="D107" s="1172" t="s">
        <v>1134</v>
      </c>
      <c r="E107" s="1222">
        <f>OP1_TEL!M101</f>
        <v>54</v>
      </c>
      <c r="F107" s="2084">
        <f>OP1_TEL!G101</f>
        <v>0</v>
      </c>
      <c r="G107" s="1175">
        <f>OP1_TEL!N101</f>
        <v>0</v>
      </c>
      <c r="H107" s="1222">
        <f>OP1_TEL!O101</f>
        <v>38.571428571428577</v>
      </c>
      <c r="I107" s="2080">
        <f t="shared" si="8"/>
        <v>0</v>
      </c>
      <c r="J107" s="1175">
        <f>OP1_TEL!P101</f>
        <v>0</v>
      </c>
      <c r="K107" s="1222">
        <f>OP1_TEL!Y101</f>
        <v>13</v>
      </c>
      <c r="L107" s="2084">
        <f t="shared" si="7"/>
        <v>0</v>
      </c>
      <c r="M107" s="1175">
        <f>OP1_TEL!Z101</f>
        <v>0</v>
      </c>
      <c r="N107" s="1309">
        <f t="shared" si="9"/>
        <v>0</v>
      </c>
      <c r="O107" s="1178"/>
    </row>
    <row r="108" spans="2:16" s="1123" customFormat="1" ht="21.9" customHeight="1" x14ac:dyDescent="0.25">
      <c r="B108" s="1170"/>
      <c r="C108" s="1206" t="s">
        <v>1572</v>
      </c>
      <c r="D108" s="1172" t="s">
        <v>1134</v>
      </c>
      <c r="E108" s="1222">
        <f>OP1_TEL!M102</f>
        <v>54</v>
      </c>
      <c r="F108" s="2084">
        <f>OP1_TEL!G102</f>
        <v>0</v>
      </c>
      <c r="G108" s="1175">
        <f>OP1_TEL!N102</f>
        <v>0</v>
      </c>
      <c r="H108" s="1222">
        <f>OP1_TEL!O102</f>
        <v>38.571428571428577</v>
      </c>
      <c r="I108" s="2080">
        <f t="shared" si="8"/>
        <v>0</v>
      </c>
      <c r="J108" s="1175">
        <f>OP1_TEL!P102</f>
        <v>0</v>
      </c>
      <c r="K108" s="1222">
        <f>OP1_TEL!Y102</f>
        <v>13</v>
      </c>
      <c r="L108" s="2084">
        <f t="shared" si="7"/>
        <v>0</v>
      </c>
      <c r="M108" s="1175">
        <f>OP1_TEL!Z102</f>
        <v>0</v>
      </c>
      <c r="N108" s="1309">
        <f t="shared" si="9"/>
        <v>0</v>
      </c>
      <c r="O108" s="1178"/>
    </row>
    <row r="109" spans="2:16" s="1128" customFormat="1" ht="21.9" customHeight="1" x14ac:dyDescent="0.25">
      <c r="B109" s="1170"/>
      <c r="C109" s="1199"/>
      <c r="D109" s="1172"/>
      <c r="E109" s="1173"/>
      <c r="F109" s="2084"/>
      <c r="G109" s="1175"/>
      <c r="H109" s="1173"/>
      <c r="I109" s="2080">
        <f t="shared" si="8"/>
        <v>0</v>
      </c>
      <c r="J109" s="1175"/>
      <c r="K109" s="1173"/>
      <c r="L109" s="2084">
        <f t="shared" si="7"/>
        <v>0</v>
      </c>
      <c r="M109" s="1175"/>
      <c r="N109" s="1309">
        <f t="shared" si="9"/>
        <v>0</v>
      </c>
      <c r="O109" s="1178"/>
      <c r="P109" s="1123"/>
    </row>
    <row r="110" spans="2:16" s="1128" customFormat="1" ht="21.9" customHeight="1" x14ac:dyDescent="0.25">
      <c r="B110" s="1157">
        <v>4</v>
      </c>
      <c r="C110" s="1166" t="s">
        <v>1188</v>
      </c>
      <c r="D110" s="1172"/>
      <c r="E110" s="1173"/>
      <c r="F110" s="2084"/>
      <c r="G110" s="1175"/>
      <c r="H110" s="1173"/>
      <c r="I110" s="2080">
        <f t="shared" si="8"/>
        <v>0</v>
      </c>
      <c r="J110" s="1175"/>
      <c r="K110" s="1173"/>
      <c r="L110" s="2084">
        <f t="shared" si="7"/>
        <v>0</v>
      </c>
      <c r="M110" s="1175"/>
      <c r="N110" s="1309">
        <f t="shared" si="9"/>
        <v>0</v>
      </c>
      <c r="O110" s="1215"/>
      <c r="P110" s="1123"/>
    </row>
    <row r="111" spans="2:16" s="1128" customFormat="1" ht="21.9" customHeight="1" x14ac:dyDescent="0.25">
      <c r="B111" s="1170">
        <v>4.0999999999999996</v>
      </c>
      <c r="C111" s="1206" t="s">
        <v>1189</v>
      </c>
      <c r="D111" s="1172"/>
      <c r="E111" s="1173"/>
      <c r="F111" s="2084"/>
      <c r="G111" s="1175"/>
      <c r="H111" s="1173"/>
      <c r="I111" s="2080">
        <f t="shared" si="8"/>
        <v>0</v>
      </c>
      <c r="J111" s="1175"/>
      <c r="K111" s="1173"/>
      <c r="L111" s="2084">
        <f t="shared" si="7"/>
        <v>0</v>
      </c>
      <c r="M111" s="1175"/>
      <c r="N111" s="1309">
        <f t="shared" si="9"/>
        <v>0</v>
      </c>
      <c r="O111" s="1215"/>
      <c r="P111" s="1123"/>
    </row>
    <row r="112" spans="2:16" s="1128" customFormat="1" ht="21.9" customHeight="1" x14ac:dyDescent="0.25">
      <c r="B112" s="1170">
        <v>4.2</v>
      </c>
      <c r="C112" s="1206" t="s">
        <v>1562</v>
      </c>
      <c r="D112" s="1172" t="s">
        <v>1291</v>
      </c>
      <c r="E112" s="1173">
        <f>OP1_TEL!M104</f>
        <v>72</v>
      </c>
      <c r="F112" s="2084">
        <f>OP1_TEL!G104</f>
        <v>0</v>
      </c>
      <c r="G112" s="1175">
        <f>OP1_TEL!N104</f>
        <v>0</v>
      </c>
      <c r="H112" s="1173">
        <f>OP1_TEL!O104</f>
        <v>51.428571428571431</v>
      </c>
      <c r="I112" s="2080">
        <f t="shared" si="8"/>
        <v>0</v>
      </c>
      <c r="J112" s="1175">
        <f>OP1_TEL!P104</f>
        <v>0</v>
      </c>
      <c r="K112" s="1173">
        <f>OP1_TEL!Y104</f>
        <v>17</v>
      </c>
      <c r="L112" s="2084">
        <f t="shared" si="7"/>
        <v>0</v>
      </c>
      <c r="M112" s="1175">
        <f>OP1_TEL!Z104</f>
        <v>0</v>
      </c>
      <c r="N112" s="1309">
        <f t="shared" si="9"/>
        <v>0</v>
      </c>
      <c r="O112" s="1215"/>
      <c r="P112" s="1123"/>
    </row>
    <row r="113" spans="2:16" s="1128" customFormat="1" ht="21.9" customHeight="1" x14ac:dyDescent="0.25">
      <c r="B113" s="1170">
        <v>4.3</v>
      </c>
      <c r="C113" s="1206" t="s">
        <v>1565</v>
      </c>
      <c r="D113" s="1172" t="s">
        <v>1291</v>
      </c>
      <c r="E113" s="1173">
        <f>OP1_TEL!M105</f>
        <v>48</v>
      </c>
      <c r="F113" s="2084">
        <f>OP1_TEL!G105</f>
        <v>0</v>
      </c>
      <c r="G113" s="1175">
        <f>OP1_TEL!N105</f>
        <v>0</v>
      </c>
      <c r="H113" s="1173">
        <f>OP1_TEL!O105</f>
        <v>34.285714285714285</v>
      </c>
      <c r="I113" s="2080">
        <f t="shared" si="8"/>
        <v>0</v>
      </c>
      <c r="J113" s="1175">
        <f>OP1_TEL!P105</f>
        <v>0</v>
      </c>
      <c r="K113" s="1173">
        <f>OP1_TEL!Y105</f>
        <v>11</v>
      </c>
      <c r="L113" s="2084">
        <f t="shared" si="7"/>
        <v>0</v>
      </c>
      <c r="M113" s="1175">
        <f>OP1_TEL!Z105</f>
        <v>0</v>
      </c>
      <c r="N113" s="2124">
        <f t="shared" si="9"/>
        <v>0</v>
      </c>
      <c r="O113" s="1215"/>
      <c r="P113" s="1123"/>
    </row>
    <row r="114" spans="2:16" s="1128" customFormat="1" ht="21.9" customHeight="1" x14ac:dyDescent="0.25">
      <c r="B114" s="1170">
        <v>4.4000000000000004</v>
      </c>
      <c r="C114" s="1206" t="s">
        <v>1571</v>
      </c>
      <c r="D114" s="1172" t="s">
        <v>1291</v>
      </c>
      <c r="E114" s="1173">
        <f>OP1_TEL!M106</f>
        <v>9.6</v>
      </c>
      <c r="F114" s="2084">
        <f>OP1_TEL!G106</f>
        <v>0</v>
      </c>
      <c r="G114" s="1175">
        <f>OP1_TEL!N106</f>
        <v>0</v>
      </c>
      <c r="H114" s="1173">
        <f>OP1_TEL!O106</f>
        <v>6.8571428571428577</v>
      </c>
      <c r="I114" s="2080">
        <f t="shared" si="8"/>
        <v>0</v>
      </c>
      <c r="J114" s="1175">
        <f>OP1_TEL!P106</f>
        <v>0</v>
      </c>
      <c r="K114" s="1173">
        <f>OP1_TEL!Y106</f>
        <v>2</v>
      </c>
      <c r="L114" s="2084">
        <f t="shared" si="7"/>
        <v>0</v>
      </c>
      <c r="M114" s="1175">
        <f>OP1_TEL!Z106</f>
        <v>0</v>
      </c>
      <c r="N114" s="1309">
        <f>G114+J114+M114</f>
        <v>0</v>
      </c>
      <c r="O114" s="1215"/>
      <c r="P114" s="1123"/>
    </row>
    <row r="115" spans="2:16" s="1128" customFormat="1" ht="21.9" customHeight="1" x14ac:dyDescent="0.25">
      <c r="B115" s="1170">
        <v>4.5</v>
      </c>
      <c r="C115" s="1206" t="s">
        <v>1586</v>
      </c>
      <c r="D115" s="1172" t="s">
        <v>1291</v>
      </c>
      <c r="E115" s="1173">
        <f>OP1_TEL!M107</f>
        <v>9.6</v>
      </c>
      <c r="F115" s="2084">
        <f>OP1_TEL!G107</f>
        <v>0</v>
      </c>
      <c r="G115" s="1175">
        <f>OP1_TEL!N107</f>
        <v>0</v>
      </c>
      <c r="H115" s="1173">
        <f>OP1_TEL!O107</f>
        <v>6.8571428571428577</v>
      </c>
      <c r="I115" s="2080">
        <f t="shared" si="8"/>
        <v>0</v>
      </c>
      <c r="J115" s="1175">
        <f>OP1_TEL!P107</f>
        <v>0</v>
      </c>
      <c r="K115" s="1173">
        <f>OP1_TEL!Y107</f>
        <v>2</v>
      </c>
      <c r="L115" s="2084">
        <f t="shared" si="7"/>
        <v>0</v>
      </c>
      <c r="M115" s="1175">
        <f>OP1_TEL!Z107</f>
        <v>0</v>
      </c>
      <c r="N115" s="1309">
        <f>G115+J115+M115</f>
        <v>0</v>
      </c>
      <c r="O115" s="1215"/>
      <c r="P115" s="1123"/>
    </row>
    <row r="116" spans="2:16" s="1128" customFormat="1" ht="21.9" customHeight="1" x14ac:dyDescent="0.25">
      <c r="B116" s="1170"/>
      <c r="C116" s="1199"/>
      <c r="D116" s="1172"/>
      <c r="E116" s="1173"/>
      <c r="F116" s="2084"/>
      <c r="G116" s="1175"/>
      <c r="H116" s="1173"/>
      <c r="I116" s="2084"/>
      <c r="J116" s="1175"/>
      <c r="K116" s="1173"/>
      <c r="L116" s="2084">
        <f t="shared" si="7"/>
        <v>0</v>
      </c>
      <c r="M116" s="1175"/>
      <c r="N116" s="1189"/>
      <c r="O116" s="1178"/>
      <c r="P116" s="1123"/>
    </row>
    <row r="117" spans="2:16" s="1139" customFormat="1" ht="21.9" customHeight="1" thickBot="1" x14ac:dyDescent="0.3">
      <c r="B117" s="1190" t="s">
        <v>1190</v>
      </c>
      <c r="C117" s="1191"/>
      <c r="D117" s="1192"/>
      <c r="E117" s="1236"/>
      <c r="F117" s="2095"/>
      <c r="G117" s="1195">
        <f>SUM(G85:G116)</f>
        <v>240</v>
      </c>
      <c r="H117" s="1236"/>
      <c r="I117" s="2095"/>
      <c r="J117" s="2129">
        <f>SUM(J85:J116)</f>
        <v>176</v>
      </c>
      <c r="K117" s="1236"/>
      <c r="L117" s="2095">
        <f t="shared" si="7"/>
        <v>0</v>
      </c>
      <c r="M117" s="1195">
        <f>SUM(M85:M116)</f>
        <v>68</v>
      </c>
      <c r="N117" s="1195">
        <f>SUM(N85:N116)</f>
        <v>484</v>
      </c>
      <c r="O117" s="1198"/>
      <c r="P117" s="1138"/>
    </row>
    <row r="118" spans="2:16" s="1128" customFormat="1" ht="21.9" customHeight="1" x14ac:dyDescent="0.25">
      <c r="B118" s="1210"/>
      <c r="C118" s="1199"/>
      <c r="D118" s="1172"/>
      <c r="E118" s="1173"/>
      <c r="F118" s="2084"/>
      <c r="G118" s="1175"/>
      <c r="H118" s="1173"/>
      <c r="I118" s="2084"/>
      <c r="J118" s="1175"/>
      <c r="K118" s="1173"/>
      <c r="L118" s="2084">
        <f t="shared" si="7"/>
        <v>0</v>
      </c>
      <c r="M118" s="1175"/>
      <c r="N118" s="1207"/>
      <c r="O118" s="1178"/>
      <c r="P118" s="1123"/>
    </row>
    <row r="119" spans="2:16" s="1139" customFormat="1" ht="21.9" customHeight="1" x14ac:dyDescent="0.25">
      <c r="B119" s="1157" t="s">
        <v>1191</v>
      </c>
      <c r="C119" s="1158" t="s">
        <v>1192</v>
      </c>
      <c r="D119" s="1159"/>
      <c r="E119" s="1200"/>
      <c r="F119" s="2088"/>
      <c r="G119" s="1202"/>
      <c r="H119" s="1200"/>
      <c r="I119" s="2088"/>
      <c r="J119" s="1202"/>
      <c r="K119" s="1200"/>
      <c r="L119" s="2088">
        <f t="shared" si="7"/>
        <v>0</v>
      </c>
      <c r="M119" s="1202"/>
      <c r="N119" s="1213"/>
      <c r="O119" s="1165"/>
      <c r="P119" s="1138"/>
    </row>
    <row r="120" spans="2:16" s="1139" customFormat="1" ht="21.9" customHeight="1" x14ac:dyDescent="0.25">
      <c r="B120" s="1157">
        <v>1</v>
      </c>
      <c r="C120" s="1166" t="s">
        <v>1193</v>
      </c>
      <c r="D120" s="1159"/>
      <c r="E120" s="1200"/>
      <c r="F120" s="2088"/>
      <c r="G120" s="1202"/>
      <c r="H120" s="1200"/>
      <c r="I120" s="2088"/>
      <c r="J120" s="1202"/>
      <c r="K120" s="1200"/>
      <c r="L120" s="2088">
        <f t="shared" si="7"/>
        <v>0</v>
      </c>
      <c r="M120" s="1202"/>
      <c r="N120" s="1213"/>
      <c r="O120" s="1165"/>
      <c r="P120" s="1138"/>
    </row>
    <row r="121" spans="2:16" s="1128" customFormat="1" ht="21.9" customHeight="1" x14ac:dyDescent="0.25">
      <c r="B121" s="1170">
        <v>1.1000000000000001</v>
      </c>
      <c r="C121" s="1199" t="s">
        <v>1194</v>
      </c>
      <c r="D121" s="1172" t="s">
        <v>1124</v>
      </c>
      <c r="E121" s="1173" t="str">
        <f>OP1_TEL!M109</f>
        <v>-</v>
      </c>
      <c r="F121" s="2084">
        <f>OP1_TEL!G109</f>
        <v>0</v>
      </c>
      <c r="G121" s="1175">
        <f>OP1_TEL!N109</f>
        <v>0</v>
      </c>
      <c r="H121" s="1173" t="str">
        <f>OP1_TEL!O109</f>
        <v>-</v>
      </c>
      <c r="I121" s="2080">
        <f>F121</f>
        <v>0</v>
      </c>
      <c r="J121" s="1175">
        <f>OP1_TEL!P109</f>
        <v>0</v>
      </c>
      <c r="K121" s="1173" t="str">
        <f>OP1_TEL!Y109</f>
        <v>-</v>
      </c>
      <c r="L121" s="2084">
        <f t="shared" si="7"/>
        <v>0</v>
      </c>
      <c r="M121" s="1175">
        <f>OP1_TEL!Z109</f>
        <v>0</v>
      </c>
      <c r="N121" s="1309">
        <f>G121+J121+M121</f>
        <v>0</v>
      </c>
      <c r="O121" s="1215"/>
      <c r="P121" s="1123"/>
    </row>
    <row r="122" spans="2:16" s="1128" customFormat="1" ht="21.9" customHeight="1" x14ac:dyDescent="0.25">
      <c r="B122" s="1228"/>
      <c r="C122" s="1229"/>
      <c r="D122" s="1230"/>
      <c r="E122" s="2130"/>
      <c r="F122" s="2101"/>
      <c r="G122" s="1175"/>
      <c r="H122" s="2130"/>
      <c r="I122" s="2101"/>
      <c r="J122" s="1175"/>
      <c r="K122" s="2125"/>
      <c r="L122" s="2103"/>
      <c r="M122" s="1175"/>
      <c r="N122" s="1214"/>
      <c r="O122" s="1235"/>
      <c r="P122" s="1123"/>
    </row>
    <row r="123" spans="2:16" s="1139" customFormat="1" ht="21.9" customHeight="1" thickBot="1" x14ac:dyDescent="0.3">
      <c r="B123" s="1190" t="s">
        <v>1195</v>
      </c>
      <c r="C123" s="1191"/>
      <c r="D123" s="1192"/>
      <c r="E123" s="1236"/>
      <c r="F123" s="2104"/>
      <c r="G123" s="1195">
        <f>SUM(G119:G122)</f>
        <v>0</v>
      </c>
      <c r="H123" s="1236"/>
      <c r="I123" s="2104"/>
      <c r="J123" s="1195">
        <f>SUM(J119:J122)</f>
        <v>0</v>
      </c>
      <c r="K123" s="1193"/>
      <c r="L123" s="1345"/>
      <c r="M123" s="1195">
        <f>SUM(M119:M122)</f>
        <v>0</v>
      </c>
      <c r="N123" s="1195">
        <f>SUM(N119:N122)</f>
        <v>0</v>
      </c>
      <c r="O123" s="1238"/>
      <c r="P123" s="1138"/>
    </row>
    <row r="124" spans="2:16" s="1139" customFormat="1" ht="21.9" customHeight="1" thickBot="1" x14ac:dyDescent="0.3">
      <c r="B124" s="1239" t="s">
        <v>1196</v>
      </c>
      <c r="C124" s="1240"/>
      <c r="D124" s="1241"/>
      <c r="E124" s="1242"/>
      <c r="F124" s="1243"/>
      <c r="G124" s="1244">
        <f>G26+G83+G117+G123</f>
        <v>6686</v>
      </c>
      <c r="H124" s="1242"/>
      <c r="I124" s="1243"/>
      <c r="J124" s="1244">
        <f>J26+J83+J117+J123</f>
        <v>5920</v>
      </c>
      <c r="K124" s="1242"/>
      <c r="L124" s="1245"/>
      <c r="M124" s="1244">
        <f>M26+M83+M117+M123</f>
        <v>5644</v>
      </c>
      <c r="N124" s="1244">
        <f>N26+N83+N117+N123</f>
        <v>18250</v>
      </c>
      <c r="O124" s="1246"/>
      <c r="P124" s="1247"/>
    </row>
    <row r="125" spans="2:16" s="1128" customFormat="1" ht="21.9" customHeight="1" x14ac:dyDescent="0.25">
      <c r="B125" s="1248" t="s">
        <v>1197</v>
      </c>
      <c r="C125" s="1249"/>
      <c r="D125" s="1249"/>
      <c r="E125" s="1250"/>
      <c r="F125" s="1250"/>
      <c r="G125" s="1250"/>
      <c r="H125" s="1250"/>
      <c r="I125" s="1250"/>
      <c r="J125" s="1250"/>
      <c r="K125" s="1250"/>
      <c r="L125" s="1250"/>
      <c r="M125" s="1250"/>
      <c r="N125" s="1249"/>
      <c r="O125" s="1251"/>
      <c r="P125" s="1123"/>
    </row>
    <row r="126" spans="2:16" s="1128" customFormat="1" ht="21.9" customHeight="1" x14ac:dyDescent="0.25">
      <c r="B126" s="1252" t="s">
        <v>1198</v>
      </c>
      <c r="D126" s="1123"/>
      <c r="E126" s="1253"/>
      <c r="F126" s="1123"/>
      <c r="G126" s="1253"/>
      <c r="H126" s="1253"/>
      <c r="I126" s="1253"/>
      <c r="J126" s="1253"/>
      <c r="K126" s="1254"/>
      <c r="L126" s="1123"/>
      <c r="M126" s="1123"/>
      <c r="N126" s="1123"/>
      <c r="O126" s="1255"/>
      <c r="P126" s="1123"/>
    </row>
    <row r="127" spans="2:16" s="1128" customFormat="1" ht="21.9" customHeight="1" x14ac:dyDescent="0.25">
      <c r="B127" s="1252"/>
      <c r="D127" s="1123"/>
      <c r="E127" s="1253"/>
      <c r="F127" s="1253"/>
      <c r="G127" s="1253"/>
      <c r="H127" s="1253"/>
      <c r="I127" s="1253"/>
      <c r="J127" s="1253"/>
      <c r="K127" s="1253"/>
      <c r="L127" s="1253"/>
      <c r="M127" s="1253"/>
      <c r="N127" s="1123"/>
      <c r="O127" s="1255"/>
      <c r="P127" s="1123"/>
    </row>
    <row r="128" spans="2:16" s="1128" customFormat="1" ht="21.9" customHeight="1" thickBot="1" x14ac:dyDescent="0.3">
      <c r="B128" s="1256"/>
      <c r="C128" s="1257"/>
      <c r="D128" s="1257"/>
      <c r="E128" s="1258"/>
      <c r="F128" s="1258"/>
      <c r="G128" s="1258"/>
      <c r="H128" s="1258"/>
      <c r="I128" s="1258"/>
      <c r="J128" s="1258"/>
      <c r="K128" s="1258"/>
      <c r="L128" s="1258"/>
      <c r="M128" s="1258"/>
      <c r="N128" s="1257"/>
      <c r="O128" s="1259"/>
      <c r="P128" s="1123"/>
    </row>
    <row r="129" spans="2:16" s="1128" customFormat="1" ht="9.9" customHeight="1" x14ac:dyDescent="0.25">
      <c r="B129" s="1123"/>
      <c r="C129" s="1124"/>
      <c r="D129" s="1124"/>
      <c r="E129" s="1253"/>
      <c r="F129" s="1253"/>
      <c r="G129" s="1253"/>
      <c r="H129" s="1253"/>
      <c r="I129" s="1253"/>
      <c r="J129" s="1253"/>
      <c r="K129" s="1253"/>
      <c r="L129" s="1253"/>
      <c r="M129" s="1253"/>
      <c r="N129" s="1123"/>
      <c r="O129" s="1123"/>
      <c r="P129" s="1123"/>
    </row>
    <row r="130" spans="2:16" s="1128" customFormat="1" ht="21.9" customHeight="1" x14ac:dyDescent="0.25">
      <c r="B130" s="1123"/>
      <c r="C130" s="1123"/>
      <c r="D130" s="2106" t="s">
        <v>1199</v>
      </c>
      <c r="E130" s="2106"/>
      <c r="F130" s="2106">
        <f>OP1_TEL!F113</f>
        <v>161</v>
      </c>
      <c r="G130" s="2107"/>
      <c r="H130" s="2107"/>
      <c r="I130" s="2107"/>
      <c r="J130" s="2107"/>
      <c r="K130" s="2108"/>
      <c r="L130" s="1254"/>
      <c r="M130" s="2107"/>
      <c r="N130" s="2109"/>
      <c r="O130" s="1123"/>
      <c r="P130" s="1123"/>
    </row>
    <row r="131" spans="2:16" s="1128" customFormat="1" ht="21.9" customHeight="1" x14ac:dyDescent="0.25">
      <c r="B131" s="1123"/>
      <c r="C131" s="1123"/>
      <c r="D131" s="2106" t="s">
        <v>1200</v>
      </c>
      <c r="E131" s="2106"/>
      <c r="F131" s="2106">
        <f>OP1_TEL!N114</f>
        <v>41.527950310559007</v>
      </c>
      <c r="G131" s="1275"/>
      <c r="H131" s="2106" t="s">
        <v>1224</v>
      </c>
      <c r="I131" s="1275"/>
      <c r="J131" s="1254">
        <f>OP1_TEL!P114</f>
        <v>36.770186335403729</v>
      </c>
      <c r="K131" s="2109"/>
      <c r="L131" s="2106" t="s">
        <v>1201</v>
      </c>
      <c r="M131" s="1254"/>
      <c r="N131" s="1254">
        <f>OP1_TEL!Z114</f>
        <v>35.055900621118013</v>
      </c>
      <c r="O131" s="2106">
        <f>SUM(F131,J131,N131)</f>
        <v>113.35403726708074</v>
      </c>
      <c r="P131" s="1123"/>
    </row>
    <row r="132" spans="2:16" s="1128" customFormat="1" ht="21.9" customHeight="1" x14ac:dyDescent="0.25">
      <c r="B132" s="1123"/>
      <c r="C132" s="1123"/>
      <c r="D132" s="2106" t="s">
        <v>1202</v>
      </c>
      <c r="E132" s="2106"/>
      <c r="F132" s="2106">
        <f>OP1_TEL!F114</f>
        <v>6</v>
      </c>
      <c r="G132" s="1275"/>
      <c r="H132" s="1275" t="s">
        <v>1225</v>
      </c>
      <c r="I132" s="1275"/>
      <c r="J132" s="2110">
        <f>OP1_TEL!F117</f>
        <v>57000</v>
      </c>
      <c r="K132" s="1274" t="s">
        <v>1099</v>
      </c>
      <c r="L132" s="1261" t="s">
        <v>1204</v>
      </c>
      <c r="M132" s="2110"/>
      <c r="N132" s="2110">
        <f>OP1_TEL!F116</f>
        <v>39000</v>
      </c>
      <c r="O132" s="1274" t="s">
        <v>1099</v>
      </c>
      <c r="P132" s="1123"/>
    </row>
    <row r="133" spans="2:16" s="1128" customFormat="1" ht="21.9" customHeight="1" x14ac:dyDescent="0.25">
      <c r="B133" s="1123"/>
      <c r="C133" s="1123"/>
      <c r="D133" s="2106" t="s">
        <v>1205</v>
      </c>
      <c r="E133" s="2106"/>
      <c r="F133" s="2106">
        <f>OP1_TEL!N115</f>
        <v>6.9213250517598341</v>
      </c>
      <c r="G133" s="1275"/>
      <c r="H133" s="1275" t="s">
        <v>1226</v>
      </c>
      <c r="I133" s="2127">
        <f>J124*J132</f>
        <v>337440000</v>
      </c>
      <c r="J133" s="2127"/>
      <c r="K133" s="1274" t="s">
        <v>1099</v>
      </c>
      <c r="L133" s="1261" t="s">
        <v>1206</v>
      </c>
      <c r="M133" s="2112">
        <f>M124*N132</f>
        <v>220116000</v>
      </c>
      <c r="N133" s="2112"/>
      <c r="O133" s="1274" t="s">
        <v>1099</v>
      </c>
      <c r="P133" s="1123"/>
    </row>
    <row r="134" spans="2:16" s="1128" customFormat="1" ht="9.9" customHeight="1" x14ac:dyDescent="0.25">
      <c r="B134" s="1123"/>
      <c r="C134" s="1123"/>
      <c r="D134" s="1123"/>
      <c r="E134" s="1272"/>
      <c r="F134" s="1272"/>
      <c r="G134" s="1272"/>
      <c r="H134" s="1272"/>
      <c r="I134" s="1272"/>
      <c r="J134" s="1272"/>
      <c r="K134" s="1272"/>
      <c r="L134" s="1272"/>
      <c r="M134" s="1272"/>
      <c r="N134" s="1273"/>
      <c r="O134" s="1123"/>
      <c r="P134" s="1123"/>
    </row>
    <row r="135" spans="2:16" s="1128" customFormat="1" ht="20.100000000000001" customHeight="1" x14ac:dyDescent="0.25">
      <c r="B135" s="1123"/>
      <c r="C135" s="1123"/>
      <c r="D135" s="1123"/>
      <c r="E135" s="1274"/>
      <c r="F135" s="1253"/>
      <c r="G135" s="1275"/>
      <c r="H135" s="1275"/>
      <c r="I135" s="1275"/>
      <c r="J135" s="1275"/>
      <c r="K135" s="1276"/>
      <c r="L135" s="1277" t="s">
        <v>1207</v>
      </c>
      <c r="M135" s="1253"/>
      <c r="N135" s="1253"/>
      <c r="O135" s="1123"/>
      <c r="P135" s="1123"/>
    </row>
    <row r="136" spans="2:16" s="1128" customFormat="1" ht="20.100000000000001" customHeight="1" x14ac:dyDescent="0.25">
      <c r="B136" s="1123"/>
      <c r="C136" s="1123"/>
      <c r="D136" s="1123"/>
      <c r="E136" s="1274"/>
      <c r="F136" s="1253"/>
      <c r="G136" s="1275"/>
      <c r="H136" s="1275"/>
      <c r="I136" s="1275"/>
      <c r="J136" s="1275"/>
      <c r="K136" s="1276"/>
      <c r="L136" s="1278" t="s">
        <v>1208</v>
      </c>
      <c r="M136" s="1279" t="s">
        <v>1209</v>
      </c>
      <c r="N136" s="1279" t="s">
        <v>1210</v>
      </c>
      <c r="O136" s="1123"/>
      <c r="P136" s="1123"/>
    </row>
    <row r="137" spans="2:16" s="1128" customFormat="1" ht="20.100000000000001" customHeight="1" x14ac:dyDescent="0.25">
      <c r="B137" s="1123"/>
      <c r="C137" s="1123"/>
      <c r="D137" s="1123"/>
      <c r="E137" s="1274"/>
      <c r="F137" s="1253"/>
      <c r="G137" s="1275"/>
      <c r="H137" s="1275"/>
      <c r="I137" s="1275"/>
      <c r="J137" s="1275"/>
      <c r="K137" s="1276"/>
      <c r="L137" s="1280" t="s">
        <v>1211</v>
      </c>
      <c r="M137" s="1281"/>
      <c r="N137" s="1281"/>
      <c r="O137" s="1123"/>
      <c r="P137" s="1123"/>
    </row>
    <row r="138" spans="2:16" s="1128" customFormat="1" ht="20.100000000000001" customHeight="1" x14ac:dyDescent="0.25">
      <c r="B138" s="1123"/>
      <c r="C138" s="1123"/>
      <c r="D138" s="1123"/>
      <c r="E138" s="1274"/>
      <c r="F138" s="1253"/>
      <c r="G138" s="1275"/>
      <c r="H138" s="1275"/>
      <c r="I138" s="1275"/>
      <c r="J138" s="1275"/>
      <c r="K138" s="1276"/>
      <c r="L138" s="1280" t="s">
        <v>1212</v>
      </c>
      <c r="M138" s="1281"/>
      <c r="N138" s="1281"/>
      <c r="O138" s="1123"/>
      <c r="P138" s="1123"/>
    </row>
    <row r="139" spans="2:16" s="1128" customFormat="1" ht="20.100000000000001" customHeight="1" x14ac:dyDescent="0.25">
      <c r="B139" s="1123"/>
      <c r="C139" s="1123"/>
      <c r="D139" s="1123"/>
      <c r="E139" s="1123"/>
      <c r="F139" s="1253"/>
      <c r="G139" s="1253"/>
      <c r="H139" s="1253"/>
      <c r="I139" s="1253"/>
      <c r="J139" s="1253"/>
      <c r="K139" s="1276"/>
      <c r="L139" s="1280" t="s">
        <v>1213</v>
      </c>
      <c r="M139" s="1281"/>
      <c r="N139" s="1281"/>
      <c r="O139" s="1123"/>
      <c r="P139" s="1123"/>
    </row>
    <row r="140" spans="2:16" s="1128" customFormat="1" ht="20.100000000000001" customHeight="1" x14ac:dyDescent="0.25">
      <c r="B140" s="1123"/>
      <c r="C140" s="1123"/>
      <c r="D140" s="1123"/>
      <c r="E140" s="1123"/>
      <c r="F140" s="1253"/>
      <c r="G140" s="1253"/>
      <c r="H140" s="1253"/>
      <c r="I140" s="1253"/>
      <c r="J140" s="1253"/>
      <c r="K140" s="1276"/>
      <c r="L140" s="1280" t="s">
        <v>1182</v>
      </c>
      <c r="M140" s="1281"/>
      <c r="N140" s="1281"/>
      <c r="O140" s="1123"/>
      <c r="P140" s="1123"/>
    </row>
    <row r="141" spans="2:16" s="1128" customFormat="1" ht="20.100000000000001" customHeight="1" x14ac:dyDescent="0.25">
      <c r="B141" s="1123"/>
      <c r="C141" s="1123"/>
      <c r="D141" s="1123"/>
      <c r="E141" s="1123"/>
      <c r="F141" s="1253"/>
      <c r="G141" s="1253"/>
      <c r="H141" s="1253"/>
      <c r="I141" s="1253"/>
      <c r="J141" s="1253"/>
      <c r="K141" s="1276"/>
      <c r="L141" s="1280" t="s">
        <v>1214</v>
      </c>
      <c r="M141" s="1281"/>
      <c r="N141" s="1281"/>
      <c r="O141" s="1123"/>
      <c r="P141" s="1123"/>
    </row>
    <row r="142" spans="2:16" s="1128" customFormat="1" ht="20.100000000000001" customHeight="1" x14ac:dyDescent="0.25">
      <c r="B142" s="1123"/>
      <c r="C142" s="1123"/>
      <c r="D142" s="1123"/>
      <c r="E142" s="1253"/>
      <c r="F142" s="1253"/>
      <c r="G142" s="1253"/>
      <c r="H142" s="1253"/>
      <c r="I142" s="1253"/>
      <c r="J142" s="1253"/>
      <c r="K142" s="1276"/>
      <c r="L142" s="1280" t="s">
        <v>1215</v>
      </c>
      <c r="M142" s="1281"/>
      <c r="N142" s="1281"/>
      <c r="O142" s="1123"/>
      <c r="P142" s="1123"/>
    </row>
    <row r="143" spans="2:16" s="1128" customFormat="1" ht="20.100000000000001" customHeight="1" x14ac:dyDescent="0.25">
      <c r="B143" s="1123"/>
      <c r="C143" s="1123"/>
      <c r="D143" s="1123"/>
      <c r="E143" s="1253"/>
      <c r="F143" s="1253"/>
      <c r="G143" s="1253"/>
      <c r="H143" s="1253"/>
      <c r="I143" s="1253"/>
      <c r="J143" s="1253"/>
      <c r="K143" s="1276"/>
      <c r="L143" s="1280" t="s">
        <v>1216</v>
      </c>
      <c r="M143" s="1281"/>
      <c r="N143" s="1281"/>
      <c r="O143" s="1123"/>
      <c r="P143" s="1123"/>
    </row>
    <row r="144" spans="2:16" s="1128" customFormat="1" ht="12" x14ac:dyDescent="0.25">
      <c r="B144" s="1123"/>
      <c r="C144" s="1123"/>
      <c r="D144" s="1123"/>
      <c r="E144" s="1254"/>
      <c r="F144" s="1274"/>
      <c r="G144" s="1274"/>
      <c r="H144" s="1274"/>
      <c r="I144" s="1274"/>
      <c r="J144" s="1274"/>
      <c r="K144" s="1123"/>
      <c r="L144" s="1123"/>
      <c r="M144" s="1123"/>
      <c r="N144" s="1123"/>
      <c r="O144" s="1123"/>
      <c r="P144" s="1123"/>
    </row>
    <row r="145" spans="2:16" x14ac:dyDescent="0.25">
      <c r="B145" s="1118"/>
      <c r="C145" s="1282"/>
      <c r="D145" s="1118"/>
      <c r="E145" s="1283"/>
      <c r="F145" s="1138"/>
      <c r="G145" s="1138"/>
      <c r="H145" s="1138"/>
      <c r="I145" s="1138"/>
      <c r="J145" s="1138"/>
      <c r="K145" s="1138"/>
      <c r="L145" s="1138"/>
      <c r="M145" s="1138"/>
      <c r="N145" s="1138"/>
      <c r="O145" s="1138"/>
      <c r="P145" s="1118"/>
    </row>
    <row r="147" spans="2:16" x14ac:dyDescent="0.25">
      <c r="E147" s="1284"/>
    </row>
  </sheetData>
  <mergeCells count="6">
    <mergeCell ref="C4:C5"/>
    <mergeCell ref="D4:D5"/>
    <mergeCell ref="N4:N5"/>
    <mergeCell ref="O4:O5"/>
    <mergeCell ref="I133:J133"/>
    <mergeCell ref="M133:N133"/>
  </mergeCells>
  <printOptions gridLinesSet="0"/>
  <pageMargins left="0.55118110236220474" right="0.15748031496062992" top="0.47244094488188981" bottom="0.43307086614173229" header="0.27559055118110237" footer="0.31496062992125984"/>
  <pageSetup paperSize="8" scale="61" fitToHeight="0" orientation="portrait" r:id="rId1"/>
  <headerFooter alignWithMargins="0"/>
  <rowBreaks count="1" manualBreakCount="1">
    <brk id="69" max="12" man="1"/>
  </rowBreaks>
  <drawing r:id="rId2"/>
</worksheet>
</file>

<file path=docMetadata/LabelInfo.xml><?xml version="1.0" encoding="utf-8"?>
<clbl:labelList xmlns:clbl="http://schemas.microsoft.com/office/2020/mipLabelMetadata">
  <clbl:label id="{a11ee6e5-21a0-48c4-8af4-6cc1347f763e}" enabled="1" method="Privileged" siteId="{a27ddcc1-bea5-4183-aa29-fd96d7612a1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24</vt:i4>
      </vt:variant>
    </vt:vector>
  </HeadingPairs>
  <TitlesOfParts>
    <vt:vector size="38" baseType="lpstr">
      <vt:lpstr>가이드</vt:lpstr>
      <vt:lpstr>Summary</vt:lpstr>
      <vt:lpstr>산출기준_CI</vt:lpstr>
      <vt:lpstr>Input_CI</vt:lpstr>
      <vt:lpstr>OP1_CI</vt:lpstr>
      <vt:lpstr>OP2-1_CI</vt:lpstr>
      <vt:lpstr>OP2-2_CI</vt:lpstr>
      <vt:lpstr>OP2-3_CI</vt:lpstr>
      <vt:lpstr>산출기준_TEL</vt:lpstr>
      <vt:lpstr>Input_TEL</vt:lpstr>
      <vt:lpstr>OP1_TEL</vt:lpstr>
      <vt:lpstr>OP2-1_TEL</vt:lpstr>
      <vt:lpstr>OP2-2_TEL</vt:lpstr>
      <vt:lpstr>OP2-3_TEL</vt:lpstr>
      <vt:lpstr>Input_CI!Print_Area</vt:lpstr>
      <vt:lpstr>Input_TEL!Print_Area</vt:lpstr>
      <vt:lpstr>OP1_CI!Print_Area</vt:lpstr>
      <vt:lpstr>OP1_TEL!Print_Area</vt:lpstr>
      <vt:lpstr>'OP2-1_CI'!Print_Area</vt:lpstr>
      <vt:lpstr>'OP2-1_TEL'!Print_Area</vt:lpstr>
      <vt:lpstr>'OP2-2_CI'!Print_Area</vt:lpstr>
      <vt:lpstr>'OP2-2_TEL'!Print_Area</vt:lpstr>
      <vt:lpstr>'OP2-3_CI'!Print_Area</vt:lpstr>
      <vt:lpstr>'OP2-3_TEL'!Print_Area</vt:lpstr>
      <vt:lpstr>Summary!Print_Area</vt:lpstr>
      <vt:lpstr>가이드!Print_Area</vt:lpstr>
      <vt:lpstr>산출기준_CI!Print_Area</vt:lpstr>
      <vt:lpstr>산출기준_TEL!Print_Area</vt:lpstr>
      <vt:lpstr>OP1_CI!Print_Titles</vt:lpstr>
      <vt:lpstr>OP1_TEL!Print_Titles</vt:lpstr>
      <vt:lpstr>'OP2-1_CI'!Print_Titles</vt:lpstr>
      <vt:lpstr>'OP2-1_TEL'!Print_Titles</vt:lpstr>
      <vt:lpstr>'OP2-2_CI'!Print_Titles</vt:lpstr>
      <vt:lpstr>'OP2-2_TEL'!Print_Titles</vt:lpstr>
      <vt:lpstr>'OP2-3_CI'!Print_Titles</vt:lpstr>
      <vt:lpstr>'OP2-3_TEL'!Print_Titles</vt:lpstr>
      <vt:lpstr>산출기준_CI!Print_Titles</vt:lpstr>
      <vt:lpstr>산출기준_TEL!Print_Titles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제제헬프랑카(JEZEHEL FRANCA) 책임매니저</dc:creator>
  <cp:lastModifiedBy>제제헬프랑카(JEZEHEL FRANCA) 책임매니저</cp:lastModifiedBy>
  <dcterms:created xsi:type="dcterms:W3CDTF">2026-08-28T07:22:30Z</dcterms:created>
  <dcterms:modified xsi:type="dcterms:W3CDTF">2026-08-28T07:23:12Z</dcterms:modified>
</cp:coreProperties>
</file>